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gga\iCloudDrive\Documents\01 - Home\01 - Files\Data Science\Projects\Hospital Inequality\"/>
    </mc:Choice>
  </mc:AlternateContent>
  <xr:revisionPtr revIDLastSave="0" documentId="13_ncr:1_{499377F0-6113-4B39-BE83-2997BA595650}" xr6:coauthVersionLast="47" xr6:coauthVersionMax="47" xr10:uidLastSave="{00000000-0000-0000-0000-000000000000}"/>
  <bookViews>
    <workbookView xWindow="-110" yWindow="-110" windowWidth="19420" windowHeight="10300" xr2:uid="{0DA2907A-FC11-461F-81CE-E6703ABACD88}"/>
  </bookViews>
  <sheets>
    <sheet name="hospital_population_cleaned" sheetId="2" r:id="rId1"/>
    <sheet name="province_summary" sheetId="3" r:id="rId2"/>
  </sheets>
  <definedNames>
    <definedName name="ExternalData_1" localSheetId="0" hidden="1">hospital_population_cleaned!$A$1:$N$3156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C2" i="3" s="1"/>
  <c r="B9" i="3" l="1"/>
  <c r="B17" i="3"/>
  <c r="B25" i="3"/>
  <c r="B33" i="3"/>
  <c r="B8" i="3"/>
  <c r="B24" i="3"/>
  <c r="B18" i="3"/>
  <c r="B11" i="3"/>
  <c r="B19" i="3"/>
  <c r="B27" i="3"/>
  <c r="B35" i="3"/>
  <c r="B16" i="3"/>
  <c r="B10" i="3"/>
  <c r="B3" i="3"/>
  <c r="B4" i="3"/>
  <c r="B12" i="3"/>
  <c r="B20" i="3"/>
  <c r="B28" i="3"/>
  <c r="B36" i="3"/>
  <c r="B5" i="3"/>
  <c r="B13" i="3"/>
  <c r="B21" i="3"/>
  <c r="B29" i="3"/>
  <c r="B37" i="3"/>
  <c r="B32" i="3"/>
  <c r="B26" i="3"/>
  <c r="B6" i="3"/>
  <c r="B14" i="3"/>
  <c r="B22" i="3"/>
  <c r="B30" i="3"/>
  <c r="B38" i="3"/>
  <c r="B2" i="3"/>
  <c r="I2" i="3" s="1"/>
  <c r="B34" i="3"/>
  <c r="B7" i="3"/>
  <c r="B15" i="3"/>
  <c r="B23" i="3"/>
  <c r="B31" i="3"/>
  <c r="B39" i="3"/>
  <c r="G9" i="3"/>
  <c r="G17" i="3"/>
  <c r="G25" i="3"/>
  <c r="G33" i="3"/>
  <c r="G2" i="3"/>
  <c r="G10" i="3"/>
  <c r="G18" i="3"/>
  <c r="G26" i="3"/>
  <c r="G34" i="3"/>
  <c r="G3" i="3"/>
  <c r="G11" i="3"/>
  <c r="G19" i="3"/>
  <c r="G27" i="3"/>
  <c r="G35" i="3"/>
  <c r="G38" i="3"/>
  <c r="G4" i="3"/>
  <c r="G12" i="3"/>
  <c r="G20" i="3"/>
  <c r="G28" i="3"/>
  <c r="G36" i="3"/>
  <c r="G5" i="3"/>
  <c r="G13" i="3"/>
  <c r="G21" i="3"/>
  <c r="G29" i="3"/>
  <c r="G37" i="3"/>
  <c r="G6" i="3"/>
  <c r="G14" i="3"/>
  <c r="G22" i="3"/>
  <c r="G30" i="3"/>
  <c r="G7" i="3"/>
  <c r="G15" i="3"/>
  <c r="G23" i="3"/>
  <c r="G31" i="3"/>
  <c r="G39" i="3"/>
  <c r="G8" i="3"/>
  <c r="G16" i="3"/>
  <c r="G24" i="3"/>
  <c r="G32" i="3"/>
  <c r="C3" i="3"/>
  <c r="I3" i="3" s="1"/>
  <c r="C35" i="3"/>
  <c r="I35" i="3" s="1"/>
  <c r="E7" i="3"/>
  <c r="E39" i="3"/>
  <c r="F32" i="3"/>
  <c r="C36" i="3"/>
  <c r="I36" i="3" s="1"/>
  <c r="D30" i="3"/>
  <c r="E16" i="3"/>
  <c r="F9" i="3"/>
  <c r="C13" i="3"/>
  <c r="I13" i="3" s="1"/>
  <c r="D15" i="3"/>
  <c r="D39" i="3"/>
  <c r="F34" i="3"/>
  <c r="C19" i="3"/>
  <c r="I19" i="3" s="1"/>
  <c r="D13" i="3"/>
  <c r="D37" i="3"/>
  <c r="E31" i="3"/>
  <c r="F16" i="3"/>
  <c r="C4" i="3"/>
  <c r="I4" i="3" s="1"/>
  <c r="C28" i="3"/>
  <c r="I28" i="3" s="1"/>
  <c r="D14" i="3"/>
  <c r="D38" i="3"/>
  <c r="E24" i="3"/>
  <c r="F17" i="3"/>
  <c r="H17" i="3" s="1"/>
  <c r="C5" i="3"/>
  <c r="I5" i="3" s="1"/>
  <c r="C37" i="3"/>
  <c r="I37" i="3" s="1"/>
  <c r="D23" i="3"/>
  <c r="D31" i="3"/>
  <c r="E9" i="3"/>
  <c r="E17" i="3"/>
  <c r="E25" i="3"/>
  <c r="E33" i="3"/>
  <c r="F2" i="3"/>
  <c r="H2" i="3" s="1"/>
  <c r="F10" i="3"/>
  <c r="F18" i="3"/>
  <c r="H18" i="3" s="1"/>
  <c r="F26" i="3"/>
  <c r="H26" i="3" s="1"/>
  <c r="C6" i="3"/>
  <c r="I6" i="3" s="1"/>
  <c r="C14" i="3"/>
  <c r="I14" i="3" s="1"/>
  <c r="C22" i="3"/>
  <c r="I22" i="3" s="1"/>
  <c r="C30" i="3"/>
  <c r="I30" i="3" s="1"/>
  <c r="C38" i="3"/>
  <c r="D8" i="3"/>
  <c r="D16" i="3"/>
  <c r="D24" i="3"/>
  <c r="D32" i="3"/>
  <c r="E2" i="3"/>
  <c r="E10" i="3"/>
  <c r="E18" i="3"/>
  <c r="E26" i="3"/>
  <c r="E34" i="3"/>
  <c r="F3" i="3"/>
  <c r="H3" i="3" s="1"/>
  <c r="F11" i="3"/>
  <c r="H11" i="3" s="1"/>
  <c r="F19" i="3"/>
  <c r="H19" i="3" s="1"/>
  <c r="F27" i="3"/>
  <c r="H27" i="3" s="1"/>
  <c r="F35" i="3"/>
  <c r="C27" i="3"/>
  <c r="I27" i="3" s="1"/>
  <c r="D21" i="3"/>
  <c r="E15" i="3"/>
  <c r="F8" i="3"/>
  <c r="H8" i="3" s="1"/>
  <c r="C12" i="3"/>
  <c r="I12" i="3" s="1"/>
  <c r="F33" i="3"/>
  <c r="H33" i="3" s="1"/>
  <c r="C29" i="3"/>
  <c r="D7" i="3"/>
  <c r="C15" i="3"/>
  <c r="I15" i="3" s="1"/>
  <c r="C31" i="3"/>
  <c r="I31" i="3" s="1"/>
  <c r="D9" i="3"/>
  <c r="D25" i="3"/>
  <c r="E3" i="3"/>
  <c r="E19" i="3"/>
  <c r="E35" i="3"/>
  <c r="F12" i="3"/>
  <c r="F36" i="3"/>
  <c r="H36" i="3" s="1"/>
  <c r="C8" i="3"/>
  <c r="I8" i="3" s="1"/>
  <c r="C16" i="3"/>
  <c r="I16" i="3" s="1"/>
  <c r="C24" i="3"/>
  <c r="I24" i="3" s="1"/>
  <c r="C32" i="3"/>
  <c r="I32" i="3" s="1"/>
  <c r="D2" i="3"/>
  <c r="D10" i="3"/>
  <c r="D18" i="3"/>
  <c r="D26" i="3"/>
  <c r="D34" i="3"/>
  <c r="E4" i="3"/>
  <c r="E12" i="3"/>
  <c r="E20" i="3"/>
  <c r="E28" i="3"/>
  <c r="E36" i="3"/>
  <c r="F5" i="3"/>
  <c r="H5" i="3" s="1"/>
  <c r="F13" i="3"/>
  <c r="H13" i="3" s="1"/>
  <c r="F21" i="3"/>
  <c r="H21" i="3" s="1"/>
  <c r="F29" i="3"/>
  <c r="H29" i="3" s="1"/>
  <c r="F37" i="3"/>
  <c r="H37" i="3" s="1"/>
  <c r="C9" i="3"/>
  <c r="I9" i="3" s="1"/>
  <c r="C17" i="3"/>
  <c r="I17" i="3" s="1"/>
  <c r="C25" i="3"/>
  <c r="I25" i="3" s="1"/>
  <c r="C33" i="3"/>
  <c r="I33" i="3" s="1"/>
  <c r="D3" i="3"/>
  <c r="D11" i="3"/>
  <c r="D19" i="3"/>
  <c r="D27" i="3"/>
  <c r="D35" i="3"/>
  <c r="E5" i="3"/>
  <c r="E13" i="3"/>
  <c r="E21" i="3"/>
  <c r="E29" i="3"/>
  <c r="E37" i="3"/>
  <c r="F6" i="3"/>
  <c r="H6" i="3" s="1"/>
  <c r="F14" i="3"/>
  <c r="H14" i="3" s="1"/>
  <c r="F22" i="3"/>
  <c r="H22" i="3" s="1"/>
  <c r="F30" i="3"/>
  <c r="H30" i="3" s="1"/>
  <c r="F38" i="3"/>
  <c r="C11" i="3"/>
  <c r="I11" i="3" s="1"/>
  <c r="D5" i="3"/>
  <c r="D29" i="3"/>
  <c r="E23" i="3"/>
  <c r="F24" i="3"/>
  <c r="H24" i="3" s="1"/>
  <c r="C20" i="3"/>
  <c r="I20" i="3" s="1"/>
  <c r="D6" i="3"/>
  <c r="D22" i="3"/>
  <c r="E8" i="3"/>
  <c r="E32" i="3"/>
  <c r="F25" i="3"/>
  <c r="H25" i="3" s="1"/>
  <c r="C21" i="3"/>
  <c r="I21" i="3" s="1"/>
  <c r="C7" i="3"/>
  <c r="I7" i="3" s="1"/>
  <c r="C23" i="3"/>
  <c r="I23" i="3" s="1"/>
  <c r="C39" i="3"/>
  <c r="I39" i="3" s="1"/>
  <c r="D17" i="3"/>
  <c r="D33" i="3"/>
  <c r="E11" i="3"/>
  <c r="E27" i="3"/>
  <c r="F4" i="3"/>
  <c r="H4" i="3" s="1"/>
  <c r="F20" i="3"/>
  <c r="H20" i="3" s="1"/>
  <c r="F28" i="3"/>
  <c r="H28" i="3" s="1"/>
  <c r="C10" i="3"/>
  <c r="I10" i="3" s="1"/>
  <c r="C18" i="3"/>
  <c r="C26" i="3"/>
  <c r="I26" i="3" s="1"/>
  <c r="C34" i="3"/>
  <c r="I34" i="3" s="1"/>
  <c r="D4" i="3"/>
  <c r="D12" i="3"/>
  <c r="D20" i="3"/>
  <c r="D28" i="3"/>
  <c r="D36" i="3"/>
  <c r="E6" i="3"/>
  <c r="E14" i="3"/>
  <c r="E22" i="3"/>
  <c r="E30" i="3"/>
  <c r="E38" i="3"/>
  <c r="F7" i="3"/>
  <c r="F15" i="3"/>
  <c r="F23" i="3"/>
  <c r="H23" i="3" s="1"/>
  <c r="F31" i="3"/>
  <c r="F39" i="3"/>
  <c r="H39" i="3" s="1"/>
  <c r="K7" i="3" l="1"/>
  <c r="M7" i="3"/>
  <c r="M23" i="3"/>
  <c r="K23" i="3"/>
  <c r="L19" i="3"/>
  <c r="J19" i="3"/>
  <c r="M4" i="3"/>
  <c r="K4" i="3"/>
  <c r="L9" i="3"/>
  <c r="J9" i="3"/>
  <c r="K34" i="3"/>
  <c r="M34" i="3"/>
  <c r="J8" i="3"/>
  <c r="L8" i="3"/>
  <c r="K15" i="3"/>
  <c r="M15" i="3"/>
  <c r="M30" i="3"/>
  <c r="K30" i="3"/>
  <c r="L4" i="3"/>
  <c r="J4" i="3"/>
  <c r="M27" i="3"/>
  <c r="K27" i="3"/>
  <c r="J29" i="3"/>
  <c r="L29" i="3"/>
  <c r="M37" i="3"/>
  <c r="K37" i="3"/>
  <c r="L11" i="3"/>
  <c r="J11" i="3"/>
  <c r="L34" i="3"/>
  <c r="J34" i="3"/>
  <c r="J21" i="3"/>
  <c r="L21" i="3"/>
  <c r="K26" i="3"/>
  <c r="M26" i="3"/>
  <c r="I38" i="3"/>
  <c r="K31" i="3"/>
  <c r="M31" i="3"/>
  <c r="H9" i="3"/>
  <c r="J15" i="3"/>
  <c r="L15" i="3"/>
  <c r="L12" i="3"/>
  <c r="J12" i="3"/>
  <c r="M29" i="3"/>
  <c r="K29" i="3"/>
  <c r="L26" i="3"/>
  <c r="J26" i="3"/>
  <c r="K18" i="3"/>
  <c r="M18" i="3"/>
  <c r="M33" i="3"/>
  <c r="K33" i="3"/>
  <c r="J37" i="3"/>
  <c r="L37" i="3"/>
  <c r="K16" i="3"/>
  <c r="M16" i="3"/>
  <c r="L27" i="3"/>
  <c r="J27" i="3"/>
  <c r="J16" i="3"/>
  <c r="L16" i="3"/>
  <c r="J5" i="3"/>
  <c r="L5" i="3"/>
  <c r="K8" i="3"/>
  <c r="M8" i="3"/>
  <c r="L18" i="3"/>
  <c r="J18" i="3"/>
  <c r="J7" i="3"/>
  <c r="L7" i="3"/>
  <c r="K10" i="3"/>
  <c r="M10" i="3"/>
  <c r="K25" i="3"/>
  <c r="M25" i="3"/>
  <c r="K24" i="3"/>
  <c r="M24" i="3"/>
  <c r="L13" i="3"/>
  <c r="J13" i="3"/>
  <c r="J30" i="3"/>
  <c r="L30" i="3"/>
  <c r="K32" i="3"/>
  <c r="M32" i="3"/>
  <c r="L3" i="3"/>
  <c r="J3" i="3"/>
  <c r="M14" i="3"/>
  <c r="K14" i="3"/>
  <c r="L33" i="3"/>
  <c r="J33" i="3"/>
  <c r="K21" i="3"/>
  <c r="M21" i="3"/>
  <c r="M6" i="3"/>
  <c r="K6" i="3"/>
  <c r="I18" i="3"/>
  <c r="J17" i="3"/>
  <c r="L17" i="3"/>
  <c r="J22" i="3"/>
  <c r="L22" i="3"/>
  <c r="M13" i="3"/>
  <c r="K13" i="3"/>
  <c r="M36" i="3"/>
  <c r="K36" i="3"/>
  <c r="L10" i="3"/>
  <c r="J10" i="3"/>
  <c r="M35" i="3"/>
  <c r="K35" i="3"/>
  <c r="I29" i="3"/>
  <c r="K2" i="3"/>
  <c r="M2" i="3"/>
  <c r="K17" i="3"/>
  <c r="M17" i="3"/>
  <c r="J38" i="3"/>
  <c r="L38" i="3"/>
  <c r="L20" i="3"/>
  <c r="J20" i="3"/>
  <c r="M12" i="3"/>
  <c r="K12" i="3"/>
  <c r="L23" i="3"/>
  <c r="J23" i="3"/>
  <c r="M22" i="3"/>
  <c r="K22" i="3"/>
  <c r="L36" i="3"/>
  <c r="J36" i="3"/>
  <c r="J6" i="3"/>
  <c r="L6" i="3"/>
  <c r="M5" i="3"/>
  <c r="K5" i="3"/>
  <c r="M28" i="3"/>
  <c r="K28" i="3"/>
  <c r="L2" i="3"/>
  <c r="J2" i="3"/>
  <c r="M19" i="3"/>
  <c r="K19" i="3"/>
  <c r="J32" i="3"/>
  <c r="L32" i="3"/>
  <c r="K9" i="3"/>
  <c r="M9" i="3"/>
  <c r="J14" i="3"/>
  <c r="L14" i="3"/>
  <c r="L25" i="3"/>
  <c r="J25" i="3"/>
  <c r="M38" i="3"/>
  <c r="K38" i="3"/>
  <c r="K11" i="3"/>
  <c r="M11" i="3"/>
  <c r="L28" i="3"/>
  <c r="J28" i="3"/>
  <c r="L35" i="3"/>
  <c r="J35" i="3"/>
  <c r="M20" i="3"/>
  <c r="K20" i="3"/>
  <c r="M3" i="3"/>
  <c r="K3" i="3"/>
  <c r="J24" i="3"/>
  <c r="L24" i="3"/>
  <c r="J31" i="3"/>
  <c r="L31" i="3"/>
  <c r="J39" i="3"/>
  <c r="L39" i="3"/>
  <c r="K39" i="3"/>
  <c r="M39" i="3"/>
  <c r="H16" i="3"/>
  <c r="H31" i="3"/>
  <c r="H38" i="3"/>
  <c r="H34" i="3"/>
  <c r="H12" i="3"/>
  <c r="H10" i="3"/>
  <c r="H35" i="3"/>
  <c r="H32" i="3"/>
  <c r="H15" i="3"/>
  <c r="H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A3A9A2-EA58-48F7-BE8F-2C5D2E3D96C7}" keepAlive="1" name="Query - hospital_population_cleaned" description="Connection to the 'hospital_population_cleaned' query in the workbook." type="5" refreshedVersion="8" background="1" saveData="1">
    <dbPr connection="Provider=Microsoft.Mashup.OleDb.1;Data Source=$Workbook$;Location=hospital_population_cleaned;Extended Properties=&quot;&quot;" command="SELECT * FROM [hospital_population_cleane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<sst xmlns="http://schemas.openxmlformats.org/spreadsheetml/2006/main" count="25267" uniqueCount="6867">
  <si>
    <t>id</t>
  </si>
  <si>
    <t>province</t>
  </si>
  <si>
    <t>population_density</t>
  </si>
  <si>
    <t>hospital_name</t>
  </si>
  <si>
    <t>type</t>
  </si>
  <si>
    <t>class</t>
  </si>
  <si>
    <t>total_beds</t>
  </si>
  <si>
    <t>total_services</t>
  </si>
  <si>
    <t>total_labors</t>
  </si>
  <si>
    <t>ownership</t>
  </si>
  <si>
    <t>blu_status</t>
  </si>
  <si>
    <t>city</t>
  </si>
  <si>
    <t>address</t>
  </si>
  <si>
    <t>Aceh</t>
  </si>
  <si>
    <t>RS Umum Daerah Cut Nyak Dhien</t>
  </si>
  <si>
    <t>Rumah Sakit Umum</t>
  </si>
  <si>
    <t>B</t>
  </si>
  <si>
    <t>Pemkab</t>
  </si>
  <si>
    <t>BLUD</t>
  </si>
  <si>
    <t>Aceh Barat</t>
  </si>
  <si>
    <t xml:space="preserve">Jl. Gajah Mada Meulaboh </t>
  </si>
  <si>
    <t>RS Umum Harapan Sehat</t>
  </si>
  <si>
    <t>D</t>
  </si>
  <si>
    <t>SWASTA/LAINNYA</t>
  </si>
  <si>
    <t>Non BLU/BLUD</t>
  </si>
  <si>
    <t>Jl. Sisingamangaraja, Dusun III, Desa Gampa, Kecamatan Johan Pahlawan, Kabupaten Aceh Barat. Provinsi Aceh</t>
  </si>
  <si>
    <t>RS Tk. IV IM 07.02</t>
  </si>
  <si>
    <t>TNI AD</t>
  </si>
  <si>
    <t>Jl. Pocut Baren Ujung Karang Desa Suak Indrapuri Kec. Johan Pahlawan Meulaboh Aceh Barat</t>
  </si>
  <si>
    <t>RS Umum Montella</t>
  </si>
  <si>
    <t>Jl. Beringin jaya ,  kel.  seunubok Kec. Johan pahlawan , kabupaten aceh barat,  Aceh 23611</t>
  </si>
  <si>
    <t>RS Umum Daerah Teungku Peukan</t>
  </si>
  <si>
    <t>C</t>
  </si>
  <si>
    <t>Aceh Barat Daya</t>
  </si>
  <si>
    <t>Jl. Nasional Padang Meurante Desa Ujung Padang, Kec. Susoh</t>
  </si>
  <si>
    <t>RS Umum Daerah Kabupaten Aceh Besar</t>
  </si>
  <si>
    <t>Aceh Besar</t>
  </si>
  <si>
    <t>Jl. Banda Aceh-Medan Km. 25 Desa Sinyeu, Kec. Indrapuri</t>
  </si>
  <si>
    <t>RS Hermina Aceh</t>
  </si>
  <si>
    <t>Jl. Soekarno Hatta,  Kec. Ingin Jaya</t>
  </si>
  <si>
    <t>RS Umum Ibnu Sina</t>
  </si>
  <si>
    <t xml:space="preserve">Jl. Banda Aceh-Medan Km 25,5 Kecamatan Indrapuri, Kabupaten Aceh Besar, Provinsi Aceh. </t>
  </si>
  <si>
    <t>RS Umum Daerah Teuku Umar Kabupaten Aceh Jaya</t>
  </si>
  <si>
    <t>Aceh Jaya</t>
  </si>
  <si>
    <t>Jln. Ali Gunong, Lr. PMI No. 1, Calang, Kec. Krueng Sabee Kabupaten Aceh Jaya Propinsi Aceh</t>
  </si>
  <si>
    <t>RS Umum Daerah Dr. H. Yulidin Away</t>
  </si>
  <si>
    <t>Aceh Selatan</t>
  </si>
  <si>
    <t>Jl. T. Ben Mahmud Nomor 86 A Tapaktuan</t>
  </si>
  <si>
    <t>RS Cahaya Sehat</t>
  </si>
  <si>
    <t>Kementerian Lain</t>
  </si>
  <si>
    <t>Jl. Panglima Raja Lelo, No. 10, Gampong Hilir, Kec. Tapaktuan</t>
  </si>
  <si>
    <t>RS Umum Daerah Type D Pratama T. Cut Ali</t>
  </si>
  <si>
    <t>D PRATAMA</t>
  </si>
  <si>
    <t>Jl. Padang Ketek Gampong Kedai Rundeng Kec. Kluet Selatan</t>
  </si>
  <si>
    <t>RS Umum Daerah Aceh Singkil</t>
  </si>
  <si>
    <t>Aceh Singkil</t>
  </si>
  <si>
    <t>Jl. Rimo-Singkil Km. 8 Desa Gunung Lagan Kec. Gunung Meriah</t>
  </si>
  <si>
    <t>RS Umum Daerah Muda Sedia Kabupaten Aceh Tamiang</t>
  </si>
  <si>
    <t>Aceh Tamiang</t>
  </si>
  <si>
    <t xml:space="preserve">Jl. Kesehatan Kab.Aceh Tamiang </t>
  </si>
  <si>
    <t>RS Umum Pertamina Rantau</t>
  </si>
  <si>
    <t>BUMN</t>
  </si>
  <si>
    <t>Jl. Cepu No 1 Komplek Pertamina Rantau Aceh Tamiang</t>
  </si>
  <si>
    <t>RS Umum Daerah Datu Beru Takengon</t>
  </si>
  <si>
    <t>Aceh Tengah</t>
  </si>
  <si>
    <t xml:space="preserve">Jl. Rumah Sakit No.153 Kec. Kebayakan </t>
  </si>
  <si>
    <t>RS Umum Fandika</t>
  </si>
  <si>
    <t>Jl. Terminal Simpang Wariji Blangkolak 1 Kec. Bebesen</t>
  </si>
  <si>
    <t>RS Gayo Medical Centre</t>
  </si>
  <si>
    <t>Jl. Paya Tumpi-Mandale, No. 126  Kec. Kebayakan</t>
  </si>
  <si>
    <t>RS Ibu dan Anak Keluarga Desa</t>
  </si>
  <si>
    <t>Rumah Sakit Khusus Ibu dan Anak</t>
  </si>
  <si>
    <t>Aceh Tenggara</t>
  </si>
  <si>
    <t>Jl. Iskandar Muda No. 58 Kutacane</t>
  </si>
  <si>
    <t>RS Umum Daerah H. Sahudin Kutacane</t>
  </si>
  <si>
    <t>Jl. Kutacane - Blangkejeren Km. 3 Kec. Badar Kabupaten Aceh Tenggara Provinsi Aceh</t>
  </si>
  <si>
    <t>RS Umum Nurul Hasanah</t>
  </si>
  <si>
    <t>Jl. A. Yani No. 23 Pulo Kemiri Kutacane</t>
  </si>
  <si>
    <t>RS Umum Daerah dr. Zubir Mahmud</t>
  </si>
  <si>
    <t>Aceh Timur</t>
  </si>
  <si>
    <t>Jl. Banda Aceh-Medan Km. 372 Desa Seuneubok Barat Kecamatan Idi Timur</t>
  </si>
  <si>
    <t>RS Umum Daerah Sultan Abdul Aziz Syah Peureulak</t>
  </si>
  <si>
    <t>Jl. Monisa No.1 Desa Lhok Dalam Kecamatan Peureulak Kabupaten Aceh Timur Provinsi Aceh</t>
  </si>
  <si>
    <t xml:space="preserve">RS Umum Graha Bunda </t>
  </si>
  <si>
    <t>Organisasi Sosial</t>
  </si>
  <si>
    <t xml:space="preserve"> Jl. Medan - Banda Aceh Bukit Pala, Idi Rayeuk - Aceh Timur </t>
  </si>
  <si>
    <t>RS Zahra</t>
  </si>
  <si>
    <t>Aceh Utara</t>
  </si>
  <si>
    <t>Jl. Medan-Banda Aceh, KM 303, Meunasah Reudeup, Kec Lhoksukon</t>
  </si>
  <si>
    <t>RS Umum Prima Inti Medika</t>
  </si>
  <si>
    <t>Perusahaan</t>
  </si>
  <si>
    <t>Jl. Singgalang No. 1 Komplek Perumahan PT. PIM Krueng Geukeuh Kab. Aceh Utara</t>
  </si>
  <si>
    <t>RS Umum Daerah dr. Muchtar Hasbi</t>
  </si>
  <si>
    <t>Jl. Medan Banda Aceh Alue Mudem Landing Lhoksukon</t>
  </si>
  <si>
    <t>RS Ibu dan Anak Azalia</t>
  </si>
  <si>
    <t>Perorangan</t>
  </si>
  <si>
    <t>Bener Meriah</t>
  </si>
  <si>
    <t>Jl. Empun Bayak Kampung Bale Atu  Kec. Bukit</t>
  </si>
  <si>
    <t>RS Umum Daerah Muyang Kute Redelong Bener Meriah</t>
  </si>
  <si>
    <t>Jl. Simpang Teritit-Pondok Baru, Simpang Empat Kute Kering Redelong Kec. Bukit</t>
  </si>
  <si>
    <t>RS Umum Daerah Dr. Fauziah Bireun</t>
  </si>
  <si>
    <t>Bireuen</t>
  </si>
  <si>
    <t>Jl. Mayjen T. Hamzah Bendahara No. 13 Bireuen</t>
  </si>
  <si>
    <t>RS Umum Jeumpa Hospital</t>
  </si>
  <si>
    <t>Jl. B.Aceh - Medan, Km 220 No 102 Dsn.Teratai, Desa Geulanggang Baro, Kecamatan Kota Juang</t>
  </si>
  <si>
    <t xml:space="preserve">RS Umum Bireuen Medical Center </t>
  </si>
  <si>
    <t>Bireuen, Aceh</t>
  </si>
  <si>
    <t>RS Umum Telaga Bunda</t>
  </si>
  <si>
    <t>Jl. Peutua Banta 7, Gampong Bireuen Meunasah Blang</t>
  </si>
  <si>
    <t>RS Umum Malahayati</t>
  </si>
  <si>
    <t>Jl. Medan-Banda Aceh No. 100 M, Meunasah Blang, Bireuen</t>
  </si>
  <si>
    <t>RS Umum Avicenna</t>
  </si>
  <si>
    <t>Jln. Laksamana Malahayati/Kuala Raja No.1 Lhok Awe Teungoh, Kecamatan Kota Juang, Kabupaten Bireuen, Provinsi Aceh, 24252</t>
  </si>
  <si>
    <t>RS Umum Muhammad Ali Kasim</t>
  </si>
  <si>
    <t>Gayo Lues</t>
  </si>
  <si>
    <t>Jl. Pangur, Desa Pangur, Kecamatan Dabun Gelang</t>
  </si>
  <si>
    <t>RS Tanoh Gayo</t>
  </si>
  <si>
    <t>Jl. Blower Kp Pers. Sentang, Desa/Kelurahan Bustanussalam, Kec. Blangkejeren</t>
  </si>
  <si>
    <t>RS Gigi Mulut Universitas Syiah Kuala</t>
  </si>
  <si>
    <t>Rumah Sakit Khusus Gigi dan Mulut</t>
  </si>
  <si>
    <t>BLU</t>
  </si>
  <si>
    <t>Kota Banda Aceh</t>
  </si>
  <si>
    <t>Jl. Prof A. Madjid Ibrahim I No. 5 Banda Aceh Kel. Punge Jurong</t>
  </si>
  <si>
    <t>RS Ibu dan Anak Pemerintah Aceh</t>
  </si>
  <si>
    <t>Pemprop</t>
  </si>
  <si>
    <t>Jl. Prof. A. Madjid Ibrahim I No. 3 Punge Jurong Kec. Meuraxa</t>
  </si>
  <si>
    <t>RS Ibu dan Anak Cempaka Az Zahra Banda Aceh</t>
  </si>
  <si>
    <t>Jl. Syiah Kuala No. 88, Bandar Baru, Kec. Kuta Alam, Kota Banda Aceh, Provinsi Aceh</t>
  </si>
  <si>
    <t>RS Jiwa Aceh</t>
  </si>
  <si>
    <t>Rumah Sakit Khusus Jiwa</t>
  </si>
  <si>
    <t>A</t>
  </si>
  <si>
    <t>Jl. Dr. T. Syarief Thayeb No.25 Banda Aceh</t>
  </si>
  <si>
    <t>RS Umum Daerah  Dr. Zainoel Abidin</t>
  </si>
  <si>
    <t>Jl. Tgk Daud Beureueh, NO. 108 B. Aceh</t>
  </si>
  <si>
    <t>RS Tk. II Iskandar Muda Banda Aceh</t>
  </si>
  <si>
    <t>Jl. T.  Hamzah Bendahara No. 1, Kel. Kuta Alam, Kec. Kuta Alam, 24415</t>
  </si>
  <si>
    <t>RS Umum Daerah Meuraxa</t>
  </si>
  <si>
    <t>Pemkot</t>
  </si>
  <si>
    <t>Jl. Soekarno Hatta Km. 2 Desa Mibo Kecamatan Banda Raya</t>
  </si>
  <si>
    <t>RS Umum Teungku Fakinah</t>
  </si>
  <si>
    <t>Jl. Jend. Sudirman 27-29 Banda Aceh</t>
  </si>
  <si>
    <t>RS Umum Cempaka Lima</t>
  </si>
  <si>
    <t>Jl. Politeknik No 23 Dusun Meunasah Dayah, Lr B, Gp.Beurawe, Kecamatan Kuta Alam, Banda Aceh</t>
  </si>
  <si>
    <t>RS Umum Harapan Bunda Banda Aceh</t>
  </si>
  <si>
    <t>Jl. Teuku Umar No. 181-211, Kel. Setui, Kec. Baiturrahman</t>
  </si>
  <si>
    <t>RS Bhayangkara Banda Aceh</t>
  </si>
  <si>
    <t>POLRI</t>
  </si>
  <si>
    <t>Jl. Cut Nyak Dhien No. 23, Lamteumen Barat Banda Aceh</t>
  </si>
  <si>
    <t>RS Umum Pertamedika Ummi Rosnati</t>
  </si>
  <si>
    <t>Jl. Sekolah No. 5 Gampoeng Ateuk Pahlawan, Kecamatan Baiturahman, Kota Banda Aceh 23241</t>
  </si>
  <si>
    <t>RS Umum Meutia</t>
  </si>
  <si>
    <t>Jl. Cut Meutia No. 55</t>
  </si>
  <si>
    <t>Jl. Cut Nyak Dhien No. 498 Banda Aceh</t>
  </si>
  <si>
    <t>RS Pendidikan Universitas Syiah Kuala</t>
  </si>
  <si>
    <t>Jl. Lingkar Kampus USK, Kopelma Darussalam, Kota Banda Aceh</t>
  </si>
  <si>
    <t>RS Umum Daerah Langsa</t>
  </si>
  <si>
    <t>Kota Langsa</t>
  </si>
  <si>
    <t>Jl. Jend. Ahmad Yani No.1, Gampong Jawa, Kec. Langsa Kota, Kota Langsa, Provinsi Aceh.</t>
  </si>
  <si>
    <t>RS Umum Cut Meutia</t>
  </si>
  <si>
    <t>Jl. Garuda No. 1  Kebun Baru, Kec. Paya Bujok Seulemak, Langsa Baro, Kota Langsa, Aceh</t>
  </si>
  <si>
    <t>RS Cut Nyak Dhien Langsa</t>
  </si>
  <si>
    <t>Jl. T.M. Bachrun No.1. Kabupaten Kota Langsa Provinsi Aceh</t>
  </si>
  <si>
    <t>RS Umum Ummi Langsa</t>
  </si>
  <si>
    <t>Jl. Prof. Majid Ibrahim No.10 A Kelurahan. Gp Sungai Pauh Kecamatan Langsa Barat  Kota Langsa, Aceh</t>
  </si>
  <si>
    <t>RS Ibu dan Anak ABBY</t>
  </si>
  <si>
    <t>Kota Lhokseumawe</t>
  </si>
  <si>
    <t>Jl. T. Chik Ditiro Nomor 28 Lancang Garam, Kec. Banda Sakti, Kota Lhokseumawe Propinsi Aceh</t>
  </si>
  <si>
    <t>RS Umum Cut Meutia Kab. Aceh Utara</t>
  </si>
  <si>
    <t>Jl. Banda Aceh-Medan Km.6 Buket Rata Lhokseumawe</t>
  </si>
  <si>
    <t>RS Arun Lhokseumawe</t>
  </si>
  <si>
    <t>Jl. Plaju Komplek Perumahan PT Arun Batuphat Timur, Kec. Muara Satu</t>
  </si>
  <si>
    <t xml:space="preserve">RS Umum Bunda </t>
  </si>
  <si>
    <t>Jl. Darussalam Nomor 16, Desa/Kel. Lancang Garam, Kec. Banda Sakti</t>
  </si>
  <si>
    <t>RS Tk. IV Lhokseumawe Aceh Utara</t>
  </si>
  <si>
    <t xml:space="preserve">Jl. Samudra No.53A Kp Jawa Kec. Banda Sakti  Kota Lhokseumawe </t>
  </si>
  <si>
    <t>RS Umum Kasih Ibu Lhokseumawe</t>
  </si>
  <si>
    <t>Jl. Merdeka No. 17 Dusun III, Kel. Kuta Blang, Kec. Banda Sakti</t>
  </si>
  <si>
    <t>RS Umum PMI Cabang Aceh Utara</t>
  </si>
  <si>
    <t>Jl. Samudera, Desa/Kel Kampung Jawa, Kec. Banda Sakti</t>
  </si>
  <si>
    <t>RS Umum Sakinah</t>
  </si>
  <si>
    <t>Jl. Antara No. 30 Kp. Jawa Baru Lhokseumawe</t>
  </si>
  <si>
    <t>RS Umum Az-Zuhra</t>
  </si>
  <si>
    <t>Jl. Pasar. Impres No.2 LK. IV Desa Kuta Blang  Kec. Banda Sakti, Kota Lhokseumawe, Aceh 24352</t>
  </si>
  <si>
    <t>RS Umum Bunga Melati</t>
  </si>
  <si>
    <t>Jl. Samudra Baru No.3, Keude Aceh Kec. Banda Sakti</t>
  </si>
  <si>
    <t>RS Umum Metro Medical Center</t>
  </si>
  <si>
    <t>Jl. Merdeka Barat No. 70 A, Kecamatan Muara Dua, Kota Lhokseumawe , Nanggroe Aceh Darussalam</t>
  </si>
  <si>
    <t>RS Umum Daerah Sabang</t>
  </si>
  <si>
    <t>Kota Sabang</t>
  </si>
  <si>
    <t>Jl. Teuku Umar No. 21 Gampong Kuta Ateuh Kec. Sukakarya</t>
  </si>
  <si>
    <t>RS AL Sabang</t>
  </si>
  <si>
    <t>TNI AL</t>
  </si>
  <si>
    <t>Jl. Teuku Chik Ditiro, Kel. Kota Atas, Kec. Sukakarya</t>
  </si>
  <si>
    <t>RS Umum Daerah Kota Subulussalam</t>
  </si>
  <si>
    <t>Kota Subulussalam</t>
  </si>
  <si>
    <t xml:space="preserve">  Jl. Hamzah Fansyuri (Subulussalam-Rundeng) Kec. Simpang Kiri Kota Subulussalam Aceh 24782</t>
  </si>
  <si>
    <t>RS Umum Daerah Sultan Iskandar Muda Nagan Raya</t>
  </si>
  <si>
    <t>Nagan Raya</t>
  </si>
  <si>
    <t>Jl. Nasional Meulaboh-Tapak Tuan KM. 28,5 Ujung Patihah Kabupaten Nagan Raya</t>
  </si>
  <si>
    <t>RS Umum Daerah TGK Chik Ditiro Sigli</t>
  </si>
  <si>
    <t>Pidie</t>
  </si>
  <si>
    <t>Jl. Prof. A. Majid Ibrahim Sigli</t>
  </si>
  <si>
    <t>RS Umum Daerah TGK. Abdullah Syafii Beureuneun</t>
  </si>
  <si>
    <t>Jl. Banda Aceh-Medan Km. 125,5 Kota Mini  Beureunuen Kec. Mutiara Timur</t>
  </si>
  <si>
    <t>RS Umum Mufid</t>
  </si>
  <si>
    <t>JL. PROF. A. MAJID IBRAHIM, NO. 62-66, KEC. KOTA SIGLI KABUPATEN PIDIE, ACEH</t>
  </si>
  <si>
    <t>RS Umum Citra Husada</t>
  </si>
  <si>
    <t>Jl. Prof. A. Majid Ibrahim Kelurahan Lampeudeu Baroh Kecamatan  Pidie. Kabupaten Pidie. Provinsi Aceh.</t>
  </si>
  <si>
    <t>RS Umum Harapan Ibu</t>
  </si>
  <si>
    <t>Jl. Kembang Ranjong-Teupin Raya, Desa Gampong Sagoe No. 7 Kec. Glumpang Baro</t>
  </si>
  <si>
    <t>RS Islam Ibnu Sina Sigli</t>
  </si>
  <si>
    <t>Jl Lingkar Keunire no 21-24, Gampong Cot</t>
  </si>
  <si>
    <t>RS Umum Daerah Pidie Jaya</t>
  </si>
  <si>
    <t>Pidie Jaya</t>
  </si>
  <si>
    <t xml:space="preserve">Jl. Banda Aceh - Medan Gp.Dayah Timu  KM. 158 Meureudu </t>
  </si>
  <si>
    <t>RS Umum Daerah Simeulue</t>
  </si>
  <si>
    <t>Simeulue</t>
  </si>
  <si>
    <t>Jl. Teuku Raja Mahmud Desa Amiria Bahagia,  Kecamatan Simeulue Timur,  Kabupaten Simeulue,  Provinsi Aceh</t>
  </si>
  <si>
    <t>Bali</t>
  </si>
  <si>
    <t>RS Khusus Bedah BIMC Nusa Dua</t>
  </si>
  <si>
    <t>Rumah Sakit Khusus Bedah</t>
  </si>
  <si>
    <t>Badung</t>
  </si>
  <si>
    <t>Kawasan ITDC Blok D, Nusa Dua, Badung</t>
  </si>
  <si>
    <t>RS Khusus Bedah BIMC</t>
  </si>
  <si>
    <t>Jl. By Pass Ngurah Rai No. 100X Kuta Badung</t>
  </si>
  <si>
    <t>RS Universitas Udayana</t>
  </si>
  <si>
    <t>Jl. Rumah Sakit Universitas Udayana No. 1, Lingk. Perarudan Kel. Jimbaran Kec. Kuta Selatan</t>
  </si>
  <si>
    <t>RS Daerah Mangusada</t>
  </si>
  <si>
    <t xml:space="preserve">Jl. Raya Kapal Mengwi, Badung, Bali </t>
  </si>
  <si>
    <t>RS Umum Siloam Bali</t>
  </si>
  <si>
    <t>Jl. Sunset Road No. 818 Kel. Kuta, Kec Kuta</t>
  </si>
  <si>
    <t>RS Bali Jimbaran</t>
  </si>
  <si>
    <t>Jl. Raya Kampus Unud No.52, Jimbaran, Kec. Kuta Sel., Kabupaten Badung, Bali</t>
  </si>
  <si>
    <t>RS Umum Surya Husadha Nusa Dua</t>
  </si>
  <si>
    <t>Jl. Siligita Blok I No 14, Nusa Dua, Kuta Selatan</t>
  </si>
  <si>
    <t>RS Umum Garba Med</t>
  </si>
  <si>
    <t>Jl. Raya Kerobokan No. 53 Lingkungan Jambe Kerobokan Kuta Utara</t>
  </si>
  <si>
    <t>RS Umum Murni Teguh Tuban Bali</t>
  </si>
  <si>
    <t>Jl. Raya Tuban N0.1A/45, Tuban Kuta Kab. Badung</t>
  </si>
  <si>
    <t>RS Umum Kasih Ibu Kedonganan</t>
  </si>
  <si>
    <t xml:space="preserve">Jl. Uluwatu No. 69 Kedonganan, Kuta, Badung </t>
  </si>
  <si>
    <t>RS Windu Husada</t>
  </si>
  <si>
    <t>Jl. Raya Mambal-Ubud, Mekar Bhuwana, Kec. Abiansemal</t>
  </si>
  <si>
    <t>RS Jiwa Provinsi Bali</t>
  </si>
  <si>
    <t>Bangli</t>
  </si>
  <si>
    <t>Jl.Kusuma Yudha No. 29 Bangli</t>
  </si>
  <si>
    <t>RS Umum Daerah Bangli</t>
  </si>
  <si>
    <t>Jl. Brigjen Ngurah Rai No. 99X Bangli</t>
  </si>
  <si>
    <t>RS Umum Bangli Medika Canti</t>
  </si>
  <si>
    <t>Jl. Tirta Giri Kutri, LC Subak Aya, Bebalang</t>
  </si>
  <si>
    <t>RS Ibu dan Anak Puri Bunda Singaraja</t>
  </si>
  <si>
    <t>Buleleng</t>
  </si>
  <si>
    <t>Jl. Pulau Komodo No. 6 Banyuning</t>
  </si>
  <si>
    <t>RS Umum Daerah Kab. Buleleng</t>
  </si>
  <si>
    <t>Jl. Ngurah Rai 30 Singaraja</t>
  </si>
  <si>
    <t>RS umum Karya Dharma Husada</t>
  </si>
  <si>
    <t>Jl. Yudistra No. 7 Singaraja</t>
  </si>
  <si>
    <t xml:space="preserve">RS Umum Parama Sidhi </t>
  </si>
  <si>
    <t xml:space="preserve"> Jl. Ahmad Yani No.171 A Baktiseraga, Singaraja </t>
  </si>
  <si>
    <t>RS Umum Kertha Usadha</t>
  </si>
  <si>
    <t>Organisasi Hindu</t>
  </si>
  <si>
    <t>Jl. Cendrawasih No. 5-7 Singaraja</t>
  </si>
  <si>
    <t>RS Balimed Buleleng</t>
  </si>
  <si>
    <t>Jl. Gunung Lempuyang, Singaraja, Banjar Tegal</t>
  </si>
  <si>
    <t>RS Umum Shanti Graha</t>
  </si>
  <si>
    <t>Desa Sulanyah, Kecamatan Seririt, Singaraja</t>
  </si>
  <si>
    <t>RS Umum Daerah Tangguwisia</t>
  </si>
  <si>
    <t>Jl. Singaraja-Seriri, Desa Tangguwisia, Kecamatan Seririt, Kabupaten Buleleng, Provinsi Bali</t>
  </si>
  <si>
    <t>RS Umum Daerah Giri Emas</t>
  </si>
  <si>
    <t>Jl. Raya Sangsit, Desa Giri Emas Kecamatan Sawan Kabupaten Buleleng</t>
  </si>
  <si>
    <t>RS Tk. IV Singaraja</t>
  </si>
  <si>
    <t>Jl. Ngurah Rai No. 70 Singaraja</t>
  </si>
  <si>
    <t>RS Umum Daerah Sanjiwani Gianyar</t>
  </si>
  <si>
    <t>Gianyar</t>
  </si>
  <si>
    <t>Jl. Ciung Wenara No. 2 Gianyar</t>
  </si>
  <si>
    <t>RS Umum Premagana</t>
  </si>
  <si>
    <t>Jalan Hyang Sangsi No.2 Komplek Perumahan Chandra Ayu, Banjar Tubuh, Batubulan Sukawati</t>
  </si>
  <si>
    <t>RS Umum Famili Husada</t>
  </si>
  <si>
    <t>Jl. Astina Timur No. 8A Samplangan, Kecamatan Gianyar, Kabupaten Gianyar</t>
  </si>
  <si>
    <t>RS Umum Payangan</t>
  </si>
  <si>
    <t>Jl. Giri Kesuma, Br. Melinggih, Kecamatan Payangan, Kabupaten Gianyar, Provinsi Bali</t>
  </si>
  <si>
    <t>RS Umum Ganesha</t>
  </si>
  <si>
    <t>Jl Raya Celuk Sukawati</t>
  </si>
  <si>
    <t>RS Umum Kasih Ibu Saba</t>
  </si>
  <si>
    <t>Jl. Raya Pantai Saba No. 9, Saba, Blahbatuh, Gianyar (80581)</t>
  </si>
  <si>
    <t>RS Umum Ari Canti</t>
  </si>
  <si>
    <t>Jl. Raya Mas Ubud, Kab.Gianyar</t>
  </si>
  <si>
    <t>RS Kenak Medika</t>
  </si>
  <si>
    <t>Banjar Batanancak Jl. Raya Mas Ubud Gianyar</t>
  </si>
  <si>
    <t>RS Umum Daerah Negara</t>
  </si>
  <si>
    <t>Jembrana</t>
  </si>
  <si>
    <t>Jl. Wijaya Kusuma No. 17 Kel. Baler Bale Agung Kec. Negara</t>
  </si>
  <si>
    <t>RS Umum Bunda</t>
  </si>
  <si>
    <t>Jl. Rajawali No. 36, Kelurahan Pendem, Kecamatan Jembrana</t>
  </si>
  <si>
    <t>RS Umum Balimed Negara</t>
  </si>
  <si>
    <t>Jl. Hayam Wuruk No. 23 Negara, Dangintukadaya, Kecamatan Jembrana, 82218</t>
  </si>
  <si>
    <t>RS Umum Kertayasa</t>
  </si>
  <si>
    <t>Jl. Ngurah Rai 143 Negara</t>
  </si>
  <si>
    <t>RS Kasna Medika</t>
  </si>
  <si>
    <t>Karangasem</t>
  </si>
  <si>
    <t>Jl. Raya Singaraja Amlapura, Desa Tianyar Barat, Kec. Kubu</t>
  </si>
  <si>
    <t>RS Umum Daerah Karangasem</t>
  </si>
  <si>
    <t>Jl. Ngurah Rai No. 58 Amlapura</t>
  </si>
  <si>
    <t>RS Umum Balimed Karangasem</t>
  </si>
  <si>
    <t>Jl. Nenas, Kecicang, Karangasem</t>
  </si>
  <si>
    <t>RS Pratama Kubu</t>
  </si>
  <si>
    <t>Dusun Labuan Sari, Desa Tianyar Barat, Kecamatan Kubu, Kabupaten Karangasem, Provinsi Bali</t>
  </si>
  <si>
    <t>RS Umum Daerah Klungkung</t>
  </si>
  <si>
    <t>Klungkung</t>
  </si>
  <si>
    <t>Jl. Flamboyan No. 40 Semarapura, Kecamatan Klungkung, Kabupaten Klungkung - Bali</t>
  </si>
  <si>
    <t>RS Umum Grha Bhakti Medika</t>
  </si>
  <si>
    <t>Jl. By Pass Prof. Dr. Ida Bagus Mantra Desa Negari Kec. Banjarangkan</t>
  </si>
  <si>
    <t>RS Umum Bintang</t>
  </si>
  <si>
    <t>Jl. Ngurah Rai No. 10</t>
  </si>
  <si>
    <t>RS Umum Permata Hati</t>
  </si>
  <si>
    <t>Jl. Kecubung No. 22 Samarapura</t>
  </si>
  <si>
    <t>RS Umum Daerah Gema Santi Nusa Penida</t>
  </si>
  <si>
    <t>Banjar Nyuh, Desa Ped, Kecamatan Nusa Penida</t>
  </si>
  <si>
    <t>RS Khusus Bedah Dharma Usadha Sidhi</t>
  </si>
  <si>
    <t>Kota Denpasar</t>
  </si>
  <si>
    <t>Jl. Serma Kawi No 13-17 Denpasar</t>
  </si>
  <si>
    <t>RS Gigi dan Mulut Saraswati Denpasar</t>
  </si>
  <si>
    <t>Jl. Kamboja No. 11 A Denpasar</t>
  </si>
  <si>
    <t>RS Ibu dan Anak Bunda Denpasar</t>
  </si>
  <si>
    <t>Jl. Gatot Subroto Barat 455X</t>
  </si>
  <si>
    <t>RS Ibu dan Anak Puri Bunda</t>
  </si>
  <si>
    <t>Jl. Gatot Subroto VI No. 19 Denpasar</t>
  </si>
  <si>
    <t>RS Khusus Ibu dan Anak Pucuk Permata Hati</t>
  </si>
  <si>
    <t>Jalan Teuku Umar Barat NO. 71 xx, Kelurahan Padang Sambian Kelod, Kecamatan Denpasar Barat, Denpasar - Bali</t>
  </si>
  <si>
    <t>RS Ibu dan Anak Bali Royal (Bros Ina)</t>
  </si>
  <si>
    <t>Jl. Tantular Barat, Desa/Kelurahan Dangin Puri Kelod</t>
  </si>
  <si>
    <t>RS Ibu dan Anak Harapan Bunda</t>
  </si>
  <si>
    <t xml:space="preserve">Jl. Tukad Unda No. 1 , Banjar Sembung Sari, Desa Sumerta Kelod, Kecamatan Denpasar Timur, Kota Denpasar, Propinsi Bali. </t>
  </si>
  <si>
    <t>RS Khusus Mata Bali Mandara</t>
  </si>
  <si>
    <t>Rumah Sakit Khusus Mata</t>
  </si>
  <si>
    <t>Jl. Angsoka No. 8 Denpasar</t>
  </si>
  <si>
    <t>RS Khusus Mata Ramata</t>
  </si>
  <si>
    <t>Jl. Gatot Subroto Barat No. 429</t>
  </si>
  <si>
    <t>RSUP Prof. Dr. I.G.N.G. Ngoerah</t>
  </si>
  <si>
    <t xml:space="preserve">Kemkes </t>
  </si>
  <si>
    <t>Jl. Diponegoro Denpasar Bali</t>
  </si>
  <si>
    <t>RS Umum Daerah Wangaya</t>
  </si>
  <si>
    <t>Jl. Kartini No. 133 Denpasar</t>
  </si>
  <si>
    <t>RS Umum Daerah Bali Mandara Provinsi Bali</t>
  </si>
  <si>
    <t>Jl. By Pass Ngurah Rai No 548 Denpasar</t>
  </si>
  <si>
    <t>RS Umum Puri Raharja</t>
  </si>
  <si>
    <t>Jl. WR. Supratman 14  dan 19 Denpasar</t>
  </si>
  <si>
    <t>RS TK. II Udayana</t>
  </si>
  <si>
    <t>Jl. PB. Sudirman No. 1 Denpasar</t>
  </si>
  <si>
    <t>RS Umum Kasih Ibu</t>
  </si>
  <si>
    <t>Jl. Teuku Umar 120 Denpasar</t>
  </si>
  <si>
    <t>RS Umum Surya Husadha</t>
  </si>
  <si>
    <t>Jl. Pulau Serangan No. 7 Denpasar</t>
  </si>
  <si>
    <t>RS Umum Balimed</t>
  </si>
  <si>
    <t>Jl.Mahendradatta No.57,Denpasar Bali</t>
  </si>
  <si>
    <t>RS Bhayangkara Denpasar</t>
  </si>
  <si>
    <t>Jl. Trijata no.32 Denpasar</t>
  </si>
  <si>
    <t>RS Umum Dharma Yadnya</t>
  </si>
  <si>
    <t>Jl. WR. Supratman 256 Denpasar</t>
  </si>
  <si>
    <t>RS Umum Bali Royal</t>
  </si>
  <si>
    <t>JL. Letda Tantular No. 6 Denpasar</t>
  </si>
  <si>
    <t>RS Umum Manuaba</t>
  </si>
  <si>
    <t>Jl. Cokroaminoto 28 Denpasar</t>
  </si>
  <si>
    <t>RS Umum Prima Medika</t>
  </si>
  <si>
    <t>Jl. Raya Sesetan No.10 Kota Denpasar</t>
  </si>
  <si>
    <t>Jl. Cokroaminoto No. 356 Denpasar</t>
  </si>
  <si>
    <t>RS Umum Bhakti Rahayu</t>
  </si>
  <si>
    <t>Jl. Gatot Subroto II /11 Denpasar</t>
  </si>
  <si>
    <t>RS Ibu dan Anak Cahaya Bunda</t>
  </si>
  <si>
    <t>Tabanan</t>
  </si>
  <si>
    <t>Jl. Ir. Soekarno Nomor 88X Gerokgak Gede Tabanan</t>
  </si>
  <si>
    <t>RS Ibu dan Anak Puri Bunda Tabanan</t>
  </si>
  <si>
    <t xml:space="preserve">Jl. By Pass Ir. Soekarno Kediri </t>
  </si>
  <si>
    <t>RS Umum Daerah Tabanan</t>
  </si>
  <si>
    <t>Jl. Pahlawan No. 14 Tabanan Bali</t>
  </si>
  <si>
    <t>RS Umum Wisma Prashanti</t>
  </si>
  <si>
    <t>Jl. Yeh Gangga No. 9</t>
  </si>
  <si>
    <t>RS Umum Semara Ratih</t>
  </si>
  <si>
    <t>Jalan Raya Denpasar - Singaraja, Banjar Luwus, Desa Luwus, Kecamatan Baturiti, Kabupaten Tabanan, Provinsi Bali</t>
  </si>
  <si>
    <t>RS Umum Daerah Singasana</t>
  </si>
  <si>
    <t>Banjar Tegal Antugan, Desa Nyitdah, Kec. Kediri , Kab.Tabanan, Prov.Bali, 82121.</t>
  </si>
  <si>
    <t>RS Umum Kasih Ibu Tabanan</t>
  </si>
  <si>
    <t>Jl. Flamboyan No.9 kampung Kodok. Tegal Belodan, Tabanan</t>
  </si>
  <si>
    <t>RS Umum Bhakti Rahayu Tabanan</t>
  </si>
  <si>
    <t xml:space="preserve">Jl. Batukaru No.2 Tuakilang Tabanan  </t>
  </si>
  <si>
    <t>RS Umum Bali Holistik</t>
  </si>
  <si>
    <t>Jl. Raya Umabian Desa Belayu, Kec. Marga Kab. Tabanan, Bali</t>
  </si>
  <si>
    <t>RS Umum Dharma Kerti</t>
  </si>
  <si>
    <t>Jl. Teratai No. 16 Dauh Pala</t>
  </si>
  <si>
    <t>Banten</t>
  </si>
  <si>
    <t>RS Ibu dan Anak Mutiara Bunda</t>
  </si>
  <si>
    <t>Kota Cilegon</t>
  </si>
  <si>
    <t>Jl. S.A.Tirtayasa Ruko Maisonnete Blok B1-8 Simpang Tiga, Ramanuju, Purwakarta, Cilegon, Banten</t>
  </si>
  <si>
    <t>RS Umum Daerah Kota Cilegon</t>
  </si>
  <si>
    <t>Jl. Kapten P. Tendean Km. 3 Cilegon</t>
  </si>
  <si>
    <t>RS Krakatau Medika</t>
  </si>
  <si>
    <t>Jl. Semang Raya No. 01</t>
  </si>
  <si>
    <t>RS Umum Hermina Cilegon</t>
  </si>
  <si>
    <t>Kawasan PT. Bonauli Real Estate Jl. Terusan Bonakarta Rt 01/01</t>
  </si>
  <si>
    <t>RS Kurnia</t>
  </si>
  <si>
    <t>Jl. Jombang Masjid No.4 Cilegon</t>
  </si>
  <si>
    <t>RS Citra sundari</t>
  </si>
  <si>
    <t>Jl. Temu Putih No. 100 Kel. Jombang Wetan Kec. Jombang, Kota Cilegon, Provinsi Banten</t>
  </si>
  <si>
    <t>RS Ibu dan Anak Puri Garcia</t>
  </si>
  <si>
    <t>Kota Serang</t>
  </si>
  <si>
    <t>Jl. Griya Purnama No. 99, Drangong, Kecamatan Taktakan, Kota Serang, Provinsi Banten</t>
  </si>
  <si>
    <t>RS Mata Achmad Wardi BWI-DD</t>
  </si>
  <si>
    <t>Jl. Raya Taktakan KM 01</t>
  </si>
  <si>
    <t>RS Sari Asih Serang</t>
  </si>
  <si>
    <t>Jl.Raya Jenderal Sudirman No.38, Kel.Penancangan, Kec.Cipocok, Kota Serang</t>
  </si>
  <si>
    <t>RS Umum Daerah Banten</t>
  </si>
  <si>
    <t xml:space="preserve">  JL Syeh Nawawi Al-Bantani Kelurahan Banjarsari Kecamatan Cipocok Jaya Kota Serang, Propinsi Banten</t>
  </si>
  <si>
    <t>RS Budiasih</t>
  </si>
  <si>
    <t>Jl. KH. Sohari No.39 Serang 42118</t>
  </si>
  <si>
    <t>RS Umum Daerah Kota Serang</t>
  </si>
  <si>
    <t>Jl. Raya Jakarta KM. 04 Lingk Kp. Turus Rt. 02 Rw. 11 Kelurahan Penancangan Kecamatan Cipocok Jaya</t>
  </si>
  <si>
    <t>RS Tk. IV Kencana Serang</t>
  </si>
  <si>
    <t xml:space="preserve">Jl. A. Yani No. 21-23 Serang </t>
  </si>
  <si>
    <t>RS Bhayangkara Tk. IV Biddokkes Polda Banten</t>
  </si>
  <si>
    <t>Jl. Raya Serang Pandeglang KM. 2 Sempu Cipare Serang</t>
  </si>
  <si>
    <t>RS Citra Arafiq Serang</t>
  </si>
  <si>
    <t>Jl. Raya Serang-Pandeglang, Tembong, Cipocok Jaya</t>
  </si>
  <si>
    <t>RS Benggala</t>
  </si>
  <si>
    <t>Jl. Yusuf Martadilaga No. 56 . RT 03 / RW 09. Kel Cipare. Kec Serang. Banten. 42117</t>
  </si>
  <si>
    <t>RS Fatimah</t>
  </si>
  <si>
    <t>Jl. Raya Serang Cilegon KM 3,5 Kelurahan Drangong Kec. Taktakan, Kota Serang, Banten 42162</t>
  </si>
  <si>
    <t>RS Jannah</t>
  </si>
  <si>
    <t>Jl. KH. Abdul Hadi No. 20 RT.003/014 Kebon Jahe, Cipare</t>
  </si>
  <si>
    <t>RS Andalucia</t>
  </si>
  <si>
    <t>Jl. Raya Serang-Pandeglang KM.05 Kelurahan Tembong, Kec. Cipocok Jaya</t>
  </si>
  <si>
    <t>RS Umum Ibunda</t>
  </si>
  <si>
    <t>Jl. Ki Uju No. 1 Kaujon Masjid Kuno Kel. Serang Kec. Serang</t>
  </si>
  <si>
    <t>RS Ibu dan Anak Makiyah</t>
  </si>
  <si>
    <t>Kota Tangerang</t>
  </si>
  <si>
    <t>Jl. KH. Kuding RT. 005 RW. 006, Kelurahan Belendung, Kecamatan Benda, Kota Tangerang, Provinsi Banten</t>
  </si>
  <si>
    <t>RS Ibu dan Anak Pratiwi</t>
  </si>
  <si>
    <t>Jl. RHM Noeradji Kel. Sumur Pacing Kec. Karawaci</t>
  </si>
  <si>
    <t>RS Ibu dan Anak Karunia Bunda</t>
  </si>
  <si>
    <t>Jl. Aria Santika No. 28, Kel. Margasari, Kec. Karawaci, Kota Tangerang, Provinsi Banten, 15113</t>
  </si>
  <si>
    <t>RS Ibu dan Anak Gebang Medika</t>
  </si>
  <si>
    <t xml:space="preserve">Jl Prabu Kian Santang No. 30 Rt. 001 Rw. 001 Kel. Gebang Raya Kec. Periuk Kota Tangerang Provinsi Banten </t>
  </si>
  <si>
    <t xml:space="preserve">RS Ibu dan Anak Assyifa </t>
  </si>
  <si>
    <t>Jl. Paus Raya No.1, RT.002/RW.004, Karawaci Baru, Kec. Karawaci, Kota Tangerang, Banten 15116</t>
  </si>
  <si>
    <t>RS Ibu dan Anak PKU Muhammadiyah Cipondoh</t>
  </si>
  <si>
    <t xml:space="preserve">Organisasi Islam </t>
  </si>
  <si>
    <t>Jl. Maulana Hasanudin No. 63, Kelurahan Cipondoh, Kecamatan Cipondoh, Kota Tangerang, Provinsi Banten</t>
  </si>
  <si>
    <t>RSUP Dr. Sitanala Tangerang</t>
  </si>
  <si>
    <t>Jl. Dr Sitanala No. 99 Kota Tangerang</t>
  </si>
  <si>
    <t>RS Primaya</t>
  </si>
  <si>
    <t>Jl. M.H. Thamrin No. 3 Kebon Nanas, Cikokol, Kota Tangerang 15117</t>
  </si>
  <si>
    <t>RS EMC Tangerang</t>
  </si>
  <si>
    <t>Jl. KH. Hasyim Ashari No. 24 Kel. Buaran Indah, Kec. Tangerang, Kota Tangerang, Prov. Banten 15119</t>
  </si>
  <si>
    <t>RS Metro Hospitals M. Toha</t>
  </si>
  <si>
    <t>Jl. Raya Mohammad Toha Km. 2  No. 1 Kel. Nambo Jaya Kecamatan Karawaci 15112</t>
  </si>
  <si>
    <t>RS Mayapada</t>
  </si>
  <si>
    <t>Jl. Honoris Raya Kav. 6 , Kota Modern, Tangerang</t>
  </si>
  <si>
    <t>RS Mandaya Royal Puri</t>
  </si>
  <si>
    <t>Jl. Metland Boulevard Lot C3 Metland Cyber City RT. 001 RW. 002 Pondok Bahar</t>
  </si>
  <si>
    <t>RS Dinda</t>
  </si>
  <si>
    <t>Jl. Galuh No. 2 Jatiuwung, Cibodas - Tangerang</t>
  </si>
  <si>
    <t>RS Mulya</t>
  </si>
  <si>
    <t>Jl.KH. Hasyim Ashari No. 18 Sudimara Pinang Pinang</t>
  </si>
  <si>
    <t>RS Murni Teguh Ciledug</t>
  </si>
  <si>
    <t>Jl. HOS Cokroaminoto (Ciledug Raya) No. 4A Kreo Selatan Larangan Tangerang 15156</t>
  </si>
  <si>
    <t>Brawijaya Hospital Tangerang</t>
  </si>
  <si>
    <t>Jl. KH. Mas Mansyur No. 2 Kunciran Tangerang</t>
  </si>
  <si>
    <t xml:space="preserve">RS An-Nisa </t>
  </si>
  <si>
    <t>Jl. Gatot Subroto No. 96 Km. 3 Kel. Uwung Jaya Kec. Cibodas Tangerang</t>
  </si>
  <si>
    <t>RS Hermina Periuk Tangerang</t>
  </si>
  <si>
    <t>Jl. Moh. Toha Kp. Nagrak RT.004/006 Kel.Periuk, Kec. Periuk</t>
  </si>
  <si>
    <t>RS Melati</t>
  </si>
  <si>
    <t>Jl. Merdeka No. 92, Kelurahan Gerendeng, Kecamatan Karawaci, Kota Tangerang, Provinsi Banten.</t>
  </si>
  <si>
    <t>RS Umum Daerah Kota Tangerang</t>
  </si>
  <si>
    <t>Jl Pulau Puteri Raya Perumahan Modernland, Kel. Kelapa Indah Kec. Tangerang</t>
  </si>
  <si>
    <t>RS Sari Asih Cipondoh</t>
  </si>
  <si>
    <t>Jl. Maulana Hasanudin No. 108 Kel. Cipondoh Makmur Kec. Cipondoh Kota Tangerang Provinsi Banten Kode Pos: 15148</t>
  </si>
  <si>
    <t>RS Karang Tengah Medika</t>
  </si>
  <si>
    <t xml:space="preserve">Jl. Karyawan IV Kec Karang Tengah Ciledug </t>
  </si>
  <si>
    <t>RS Umum Bhakti Asih</t>
  </si>
  <si>
    <t>Jl. Raden saleh No.10 Karang Tengah, Tangerang</t>
  </si>
  <si>
    <t>RS Umum Hermina Tangerang</t>
  </si>
  <si>
    <t>Jl. KS, Tubun No.10 Kel. Pasar Baru Kec. Karawaci Kota Tangerang</t>
  </si>
  <si>
    <t>RS Sari Asih Karawaci</t>
  </si>
  <si>
    <t>Jl. Imam Bonjol No. 38 Karawaci Sukajadi Kota Tangerang</t>
  </si>
  <si>
    <t>RS Sari Asih Sangiang</t>
  </si>
  <si>
    <t>Jl. Moh. Toha KM 3,5 (Simpang Tiga Sangiang) Kota Tangerang</t>
  </si>
  <si>
    <t>RS Islam Sari Asih Ar-rahmah</t>
  </si>
  <si>
    <t>Jl. K.S Tubun No. 44 Kelurahan Koang Jaya, Kecamatan Karawaci - Kota Tangerang, Banten</t>
  </si>
  <si>
    <t>RS Sari Asih Ciledug</t>
  </si>
  <si>
    <t>JL. HOS Cokroaminoto No 38 Ciledug, Desa/Kelurahan Sudimara Timur, Kec. Ciledug, Kota Tangerang, Provinsi Banten, Kode Pos: 15151</t>
  </si>
  <si>
    <t>RS Medika Lestari</t>
  </si>
  <si>
    <t>Jl. HOS Cokroaminoto Perum Pondok Lestari Blok C1 No.1-2 Ciledug, Kota Tangerang - Banten</t>
  </si>
  <si>
    <t>RS Aqidah</t>
  </si>
  <si>
    <t>Jl. Raden Fatah No.40</t>
  </si>
  <si>
    <t>RS Bunda Sejati</t>
  </si>
  <si>
    <t>Jl. Prabu Siliwangi No. 11 Jatiuwung Tangerang</t>
  </si>
  <si>
    <t>RS Daan Mogot Kesdam Jaya</t>
  </si>
  <si>
    <t>Jl. Daan Mogot No. 59 Kota Tangerang</t>
  </si>
  <si>
    <t>RS Hermina Ciledug</t>
  </si>
  <si>
    <t>Jl. Dr. Cipto Mangunkusumo No. 3 Kec. Ciledug</t>
  </si>
  <si>
    <t xml:space="preserve">RS Tiara </t>
  </si>
  <si>
    <t>Jln Beringin Raya No.3-5 Kel.Nusajaya, Kec.Karawaci, Kota Tangerang, Provinsi Banten</t>
  </si>
  <si>
    <t>RS Umum Daerah Benda</t>
  </si>
  <si>
    <t>Jl. Halim Perdanakusuma, Desa/Kel. Jurumudi Baru Kec. Benda</t>
  </si>
  <si>
    <t>RS Khusus Bedah Via Medika</t>
  </si>
  <si>
    <t>Kota Tangerang Selatan</t>
  </si>
  <si>
    <t>Jl. WR Supratman, RT/RW 005/006, Kel. Cempaka Putih, Kec. Ciputat Timur</t>
  </si>
  <si>
    <t>RS Ibu dan Anak Bina Medika</t>
  </si>
  <si>
    <t>Jl. Rasuna Said Kav B7/A5-08 Sektor 7 CBD Bintaro Jaya</t>
  </si>
  <si>
    <t>RS Ibu dan Anak Dhia</t>
  </si>
  <si>
    <t>Jl. Cendrawasih No. 90 Sawah Lama, Ciputat, Tangerang Selatan, Banten 15413</t>
  </si>
  <si>
    <t>RS Ibu dan Anak Permata Dalima</t>
  </si>
  <si>
    <t>Bumi Serpong Damai Sektor 1-2 Blok K/5-UA/26-27,Tangerang</t>
  </si>
  <si>
    <t>RS Ibu dan Anak Buah Hati Pamulang</t>
  </si>
  <si>
    <t>Jl Raya Siliwangi No 189 Kelurahan Benda Baru, Kecamatan Pamulang</t>
  </si>
  <si>
    <t xml:space="preserve">RS Ibu dan Anak Vitalaya </t>
  </si>
  <si>
    <t>Jl. Raya Siliwangi No. 50  Pondok Benda, Pamulang, Tangerang Selatan 15416</t>
  </si>
  <si>
    <t>RS Ibu dan Anak Permata Sarana Husada</t>
  </si>
  <si>
    <t>Jl. Pamulang Permai Blok D3 No. 1-3</t>
  </si>
  <si>
    <t>RS Ibu dan Anak Bunda Ciputat</t>
  </si>
  <si>
    <t>Jl.RE Martadinata No.30 Kec.Ciputat Kel. Ciputat Kota.Tangerang Selatan</t>
  </si>
  <si>
    <t>RS Khusus Jiwa Dharma Graha</t>
  </si>
  <si>
    <t>Jl. Raya Astek No. 17 Lengkong Gudang Timur Serpong</t>
  </si>
  <si>
    <t>RS Khusus THT-Bedah KL Proklamasi BSD</t>
  </si>
  <si>
    <t>Rumah Sakit Khusus THT-KL</t>
  </si>
  <si>
    <t>Commercial Park Central Business of District BSD Kav.7 Tangerang Selatan</t>
  </si>
  <si>
    <t>RS Premier Bintaro</t>
  </si>
  <si>
    <t xml:space="preserve">Jl. MH. Thamrin No. 1 Sektor 7 Bintaro Jaya Tangerang </t>
  </si>
  <si>
    <t>RS Eka</t>
  </si>
  <si>
    <t>Central Business Distric Lot IX, BSD City.</t>
  </si>
  <si>
    <t>RS EMC Alam Sutera</t>
  </si>
  <si>
    <t>Jl. Alam Sutera Boulevard Kav. 25 Tangerang</t>
  </si>
  <si>
    <t>RS Columbia Asia BSD</t>
  </si>
  <si>
    <t>Jl. Letnan Soetopo Kav Kom. III A No.7, BSD Tangerang  Selatan, Banten</t>
  </si>
  <si>
    <t>RS. Mitra Keluarga Pamulang</t>
  </si>
  <si>
    <t>Jl. Moch Toha RT/RW 002/017</t>
  </si>
  <si>
    <t>RS Mitra Keluarga Bintaro</t>
  </si>
  <si>
    <t>Jl. Raya Bintaro Utama Sektor III A</t>
  </si>
  <si>
    <t>RS Permata Pamulang</t>
  </si>
  <si>
    <t>Jl Raya Siliwangi No 1A Pondok Benda</t>
  </si>
  <si>
    <t>RS Cinta Kasih</t>
  </si>
  <si>
    <t>Jl.Ciputat Baru Raya No.10, Ciputat</t>
  </si>
  <si>
    <t>RS Umum Daerah Kota Tangerang Selatan</t>
  </si>
  <si>
    <t xml:space="preserve"> Jl. Pajajaran No.101, Kec.Pamulang, Kota Tangerang Selatan </t>
  </si>
  <si>
    <t>RS Ichsan Medical Center</t>
  </si>
  <si>
    <t>Jl. Raya Jombang No. 56 , Kelurahan Jombang,  Kecamatan Ciputat, Kota Tangerang Selatan, Banten</t>
  </si>
  <si>
    <t>RS Hermina Serpong</t>
  </si>
  <si>
    <t>Jl. Raya Puspitek No.km 1 No 99, Buaran, Kec. Serpong, Kota Tangerang Selatan, Banten 15310</t>
  </si>
  <si>
    <t>RS Sari Asih Ciputat</t>
  </si>
  <si>
    <t>Jl. Otista Raya Sasak Tinggi No. 3 , RT 004/ RW 011,  Kelurahan Ciputat, Kecamatan Ciputat, Kota Tangerang Selatan, Banten, 15411</t>
  </si>
  <si>
    <t>RS Syarif Hidayatullah</t>
  </si>
  <si>
    <t>Jl. Ir. H. Juanda No. 95, Ciputat Timur</t>
  </si>
  <si>
    <t>RS Insan Permata</t>
  </si>
  <si>
    <t>Jl. Bhayangkara 1 No.68 Kel. Pakujaya Kec. Serpong Utara Tangerang Selatan</t>
  </si>
  <si>
    <t>RS Hermina Ciputat</t>
  </si>
  <si>
    <t>Jl Ciputat Raya No 2 Kertamukti Ciputat</t>
  </si>
  <si>
    <t>RS Umum Daerah Serpong Utara</t>
  </si>
  <si>
    <t>Jl. Raya Serpong Kel. Pakulonan Kec. Serpong Utara Kota Tangerang Selatan</t>
  </si>
  <si>
    <t>RS Umum Daerah Pondok Aren</t>
  </si>
  <si>
    <t>Jalan Raya Pondok Betung, Kelurahan Pondok Betung, Kecamatan Pondok Aren, Kota Tangerang Selatan, Provinsi Banten</t>
  </si>
  <si>
    <t>RS Buah Hati Ciputat</t>
  </si>
  <si>
    <t>Jl Aria Putra No 399 Serua Indah</t>
  </si>
  <si>
    <t>RS Rumah Indonesia Sehat</t>
  </si>
  <si>
    <t xml:space="preserve">Jl. Lengkong Gudang Timur Raya No. 777 BSD - Tangerang Selatan </t>
  </si>
  <si>
    <t>RS Pondok Indah Bintaro Jaya</t>
  </si>
  <si>
    <t>CBD Emerald Blok CE/C No. 01, Boulevard Bintaro Jaya</t>
  </si>
  <si>
    <t>RS Umum Daerah Dr. Adjidarmo</t>
  </si>
  <si>
    <t>Lebak</t>
  </si>
  <si>
    <t>Jl. Iko Jatmiko No. 1 Rangkasbitung</t>
  </si>
  <si>
    <t>RS Umum Daerah Malingping</t>
  </si>
  <si>
    <t xml:space="preserve">  Jl. Raya Saketi Km.01, Malingping Kab.Lebak</t>
  </si>
  <si>
    <t>RS Misi Lebak</t>
  </si>
  <si>
    <t>Organisasi Katholik</t>
  </si>
  <si>
    <t>Jl. Multatuli No. 41 Muara Ciujung Barat, Rangkasbitung, Banten.</t>
  </si>
  <si>
    <t>RS Kartini</t>
  </si>
  <si>
    <t>Jl. Sunan Kalijaga No. 325, Blok Papanggo, Cijoro Pasir, Rangkasbitung, Lebak, Banten</t>
  </si>
  <si>
    <t>RS Ibu dan Anak Permata Ibunda</t>
  </si>
  <si>
    <t>Pandeglang</t>
  </si>
  <si>
    <t>Jl. Stadion Badak No 20 Saruni Majasari Pandeglang</t>
  </si>
  <si>
    <t>RS Umum Daerah Berkah Pandeglang</t>
  </si>
  <si>
    <t>Jl. Raya Labuan KM. 5, Desa/Kelurahan Paluruhan, Kec Kaduhejo, Kab.Pandeglang, Provinsi Banten, Kode Pos 42253</t>
  </si>
  <si>
    <t>RS SHL</t>
  </si>
  <si>
    <t>Jl. Amd Lintas Timur No. 17 Ciputri, Kec. Kadu Hejo, Kab. Pandeglang, Prov. Banten</t>
  </si>
  <si>
    <t>RS Alinda Husada</t>
  </si>
  <si>
    <t>Jl. Raya Tanjung Lesung KM. 1 Panimbang Kp. Neglasari Ds. Panmbangjaya Kec. Panimbang Kab. Pandeglang Prov. Banten</t>
  </si>
  <si>
    <t>RS Umum Aulia Pandeglang</t>
  </si>
  <si>
    <t>Jl. Raya Labuan-Pandeglang KM. 12 Menes Pandeglang 42262. Kp Soreang Desa Menes Kecamatan Menes. Desa Menes, Kecamatan Menes, Kabupaten Pandeglang, Provinsi Banten.</t>
  </si>
  <si>
    <t xml:space="preserve">RS Umum Daerah dr. Drajat Prawiranegara </t>
  </si>
  <si>
    <t>Serang</t>
  </si>
  <si>
    <t>Jl. Rumah Sakit No. 1 Serang</t>
  </si>
  <si>
    <t>RS Kurnia Serang</t>
  </si>
  <si>
    <t>Jl. Raya Cilegon KM 8 Kramatwatu</t>
  </si>
  <si>
    <t>RS Bethsaida Hospital Serang</t>
  </si>
  <si>
    <t>Jl. Lingkar Selatan Cilegon Km. 1,8 , Kel/Desa Harjatani, Kec. Kramatwatu</t>
  </si>
  <si>
    <t>RS Hermina Ciruas</t>
  </si>
  <si>
    <t>Jl.Raya Serang-Jakarta Km.9 Ds.Ranjeng Rt 01/01 Kec.Ciruas</t>
  </si>
  <si>
    <t>RS Otika Medika</t>
  </si>
  <si>
    <t>Jl. Raya Serang Pandeglang KM. 11 Kampung Pertanian RT.003/RW.001 Desa Baros, Kecamatan Baros, Kabupaten Serang, Provinsi Banten.</t>
  </si>
  <si>
    <t>RS Permata Serdang</t>
  </si>
  <si>
    <t>Jl. Raya Waringin Kurung RT 001/ RW 003, Desa Serdang, Kecamatan Kramatwatu, Kabupaten Serang, Provinsi Banten</t>
  </si>
  <si>
    <t>RS Tonggak Husada</t>
  </si>
  <si>
    <t>Jl. Raya Bojonegara No 8 Kp. Tunggak Rt. 002 Rw. 002 Ds. Kertasana Kec. Bojonegara Kab. Serang Prov. Banten</t>
  </si>
  <si>
    <t>RS Ibu dan Anak Bunda Sejahtera</t>
  </si>
  <si>
    <t>Tangerang</t>
  </si>
  <si>
    <t>Jl.Puri Agung No.3 Pondok Makmur Kel.Kuta Baru Kec.Pasar kemis</t>
  </si>
  <si>
    <t>RS Ibu dan Anak Tiara</t>
  </si>
  <si>
    <t>Jl. Raya serang KM 14.5 No.1 Pasir Gadung</t>
  </si>
  <si>
    <t>RS Ibu dan Anak Selaras</t>
  </si>
  <si>
    <t xml:space="preserve">Jl. Raya Serang KM. 18,5 Desa Bojong Kec. Cikupa </t>
  </si>
  <si>
    <t>RS Ibu dan Anak Ilanur</t>
  </si>
  <si>
    <t>Jl. Raya Serang KM 24 No.1 Balaraja, Kab. Tangerang, Banten</t>
  </si>
  <si>
    <t>RS Ibu dan Anak Harapan Mulia</t>
  </si>
  <si>
    <t>Jl. Raya Pemda Tigaraksa RT 001/RW 001 Kel/Desa Matagara Kecamatan Tigaraksa Kabupaten Tangerang Provinsi Banten</t>
  </si>
  <si>
    <t>RS Umum Daerah Kabupaten Tangerang</t>
  </si>
  <si>
    <t>Jl. A Yani No. 9 Tangerang Kota Tangerang</t>
  </si>
  <si>
    <t>RS Bethsaida</t>
  </si>
  <si>
    <t>Jl. Boulevard Raya Gading Serpong Kav. 29, Tangerang</t>
  </si>
  <si>
    <t>RS Siloam Hospitals Lippo Village</t>
  </si>
  <si>
    <t>Jl. Siloam No. 6  Lippo Village Tangerang</t>
  </si>
  <si>
    <t xml:space="preserve">RS Ciputra </t>
  </si>
  <si>
    <t>Jl. Citra Raya Boulevard Blok V.00/08, Tangerang</t>
  </si>
  <si>
    <t>RS Umum Daerah Balaraja</t>
  </si>
  <si>
    <t xml:space="preserve"> Jl.Rumah Sakit NO. 88 Desa Tobat Kec. Balaraja</t>
  </si>
  <si>
    <t>RS Umum Daerah Pakuhaji</t>
  </si>
  <si>
    <t>Jl. KH. Sa'adullah No. 88 Kelurahan Pakuhaji Kabupaten Tangerang</t>
  </si>
  <si>
    <t>RS Mentari</t>
  </si>
  <si>
    <t>Jl. Raya Legok KM 4 Bojong Nangka, Kelapa Dua, Tangerang</t>
  </si>
  <si>
    <t>RS Umum Murni Asih</t>
  </si>
  <si>
    <t xml:space="preserve">Jl. Raya Legok No.86, Rt 2/Rw 1 Kelurahan Medang, Kecamatan Pagedangan, Kabupaten Tangerang -15810 Banten </t>
  </si>
  <si>
    <t>RS Umum Daerah Tigaraksa</t>
  </si>
  <si>
    <t>Jl. Tigaraksa-Adiyasa, Kel/Desa Kadu Agung, Kec. Tigaraksa, Kab. Tangerang, Prov Banten, Kode Pos: 15720</t>
  </si>
  <si>
    <t>RS Umum BUN</t>
  </si>
  <si>
    <t>Jl. Raya Kosambi Timur no.2 RT. 011/004, Kosambi  Timur, Kosambi</t>
  </si>
  <si>
    <t>RS Umum Primaya Pasar Kemis</t>
  </si>
  <si>
    <t>Jl. Raya Pasar  RT. 004 RW. 002 Kel. Kutajaya Kec. Pasar Kemis</t>
  </si>
  <si>
    <t>RS Umum Keluarga Kita</t>
  </si>
  <si>
    <t>Jl. Raya PLP Curug KM. 4 No. 8 Curug</t>
  </si>
  <si>
    <t>RS Umum Hermina Bitung</t>
  </si>
  <si>
    <t xml:space="preserve">JL. RAYA SERANG KM 10 POS BITUNG KEC. CURUG KAB. TANGERANG - BANTEN </t>
  </si>
  <si>
    <t xml:space="preserve">RS St. Carolus Summarecon Serpong </t>
  </si>
  <si>
    <t>Jl Gading Golf Boulevard Kav. 08 Desa Cihuni Kec. Pagedangan</t>
  </si>
  <si>
    <t>Metro Hospitals Cikupa</t>
  </si>
  <si>
    <t>JL. Raya Serang Km. 16,8 Cikupa</t>
  </si>
  <si>
    <t>RS Mitra Husada</t>
  </si>
  <si>
    <t>Jl. Kp. Melayu Barat No. 11A Teluk Naga - Tangerang -  Banten</t>
  </si>
  <si>
    <t>RS Mitra Keluarga Gading Serpong</t>
  </si>
  <si>
    <t>Jl. Kp. Anggris, Kelurahan Medang, Kecamatan Pagedangan, Kabupaten Tangerang</t>
  </si>
  <si>
    <t>RS Siloam Hospitals Kelapa Dua</t>
  </si>
  <si>
    <t>Jl. Kelapa Dua Raya No.1001 Kel. Kelapa Dua Kec. Kelapa Dua Tangerang</t>
  </si>
  <si>
    <t>RS UniMedika Sepatan</t>
  </si>
  <si>
    <t>Jl. Raya Pakuhaji No. 3 RT. 002 RW. 001 Kel. Sepatan Kab. Tangerang</t>
  </si>
  <si>
    <t>RS Qadr</t>
  </si>
  <si>
    <t>Komp Islamic Village, Kelapa Dua, Tangerang</t>
  </si>
  <si>
    <t>RS Selaras</t>
  </si>
  <si>
    <t>JL. RAYA LAPAN DESA SURADITA RT 007 RW 001 CISAUK KAB.TANGERANG, Desa/Kelurahan Suradita, Kec. Cisauk, Kab. Tangerang, Provinsi Banten,</t>
  </si>
  <si>
    <t>RS Permata Hati</t>
  </si>
  <si>
    <t>Jl. Raya Serang KM. 12,5 Kp. Cirewed, Kel.Sukadamai Kec.Cikupa</t>
  </si>
  <si>
    <t>RS Suci Paramita</t>
  </si>
  <si>
    <t>Jl. Raya Serang Km. 28,5 Kawasan Industri CCM Kav. F 1 - 8 Cangkudu, Balaraja</t>
  </si>
  <si>
    <t>Bengkulu</t>
  </si>
  <si>
    <t>RS Umum Daerah Hasanuddin Damrah Manna</t>
  </si>
  <si>
    <t>Bengkulu Selatan</t>
  </si>
  <si>
    <t>Jl. Raya Padang Panjang Manna Kabupaten Bengkulu Selatan</t>
  </si>
  <si>
    <t>RS As-syifa</t>
  </si>
  <si>
    <t>Jl. Gerak Alam RT. 13 Kelurahan Kota Medan Kecamatan Kota Manna</t>
  </si>
  <si>
    <t>RS Umum Daerah Bengkulu Tengah</t>
  </si>
  <si>
    <t>Bengkulu Tengah</t>
  </si>
  <si>
    <t xml:space="preserve">   Jl. Raya Bengkulu - Kepahiang  Km.27,5 Desa Durian Demang Kecamatan Karang Tinggi, Kabupaten Bengkulu Tengah, Propinsi Bengkulu 38385</t>
  </si>
  <si>
    <t>RS Umum Daerah Arga Makmur</t>
  </si>
  <si>
    <t>Bengkulu Utara</t>
  </si>
  <si>
    <t>Jl. Siti Khadijah No. 08 Arga Makmur Kabupaten Bengkulu Utara</t>
  </si>
  <si>
    <t>Charitas Hospital Arga Makmur</t>
  </si>
  <si>
    <t>Jl. Ir. Soekarno No.12 Rama Agung Arga Makmur, Bengkulu Utara</t>
  </si>
  <si>
    <t>RS Bergerak Enggano</t>
  </si>
  <si>
    <t>Jl. Raya Malakoni KM 3 Kecamatan Enggano Kabupaten Bengkulu Utara</t>
  </si>
  <si>
    <t>RS Umum Daerah Lagita</t>
  </si>
  <si>
    <t>Jl. Pusat KTM Lagita Desa Urai Kecamatan Ketahun Kab Bengkulu Utara Provinsi Bengkulu</t>
  </si>
  <si>
    <t>RS Umum Daerah Kaur</t>
  </si>
  <si>
    <t>Kaur</t>
  </si>
  <si>
    <t>Jl. Lintas Barat Sumatera, Cahaya Bathin, Kec. Semidang Gumay, Kabupaten Kaur, Provinsi Bengkulu</t>
  </si>
  <si>
    <t>RS Umum Daerah Kepahiang</t>
  </si>
  <si>
    <t>Kepahiang</t>
  </si>
  <si>
    <t>Jl. Lintas Kepahiang-Bengkulu KM 03 Desa Tebat Monok Kepahiang</t>
  </si>
  <si>
    <t>RS Ibu dan Anak Tino Galo Kota Bengkulu</t>
  </si>
  <si>
    <t>Kota Bengkulu</t>
  </si>
  <si>
    <t>Jl. Budi Utomo Kel. Beringin Raya</t>
  </si>
  <si>
    <t>RS Jiwa Soeprapto Provinsi Bengkulu</t>
  </si>
  <si>
    <t>Jl. Bhakti Husada Lingkar Barat Bengkulu</t>
  </si>
  <si>
    <t>RS Umum Daerah Dr. M. Yunus Bengkulu</t>
  </si>
  <si>
    <t>Jl. Bayangkara Kel. Sido Mulyo Kec. Gading Cempaka Kota Bengkulu</t>
  </si>
  <si>
    <t>RS Tiara Sella</t>
  </si>
  <si>
    <t>Jl.S.Parman No.61 Kota Bengkulu</t>
  </si>
  <si>
    <t>RS Gading Medika</t>
  </si>
  <si>
    <t>Jl. Citandui No. 34 Kel. Lingkar Barat Kec. Gading Cempaka</t>
  </si>
  <si>
    <t>RS Umum Ummi Bengkulu</t>
  </si>
  <si>
    <t>Jln. Hibrida Raya No. 01 RT 23 RW 08</t>
  </si>
  <si>
    <t>RS Bhayangkara Jitra Kota Bengkulu</t>
  </si>
  <si>
    <t>Jl. Veteran No.2 Kelurahan Jitra Kota Bengkulu</t>
  </si>
  <si>
    <t>RS Rafflesia Bengkulu</t>
  </si>
  <si>
    <t>Jln. Mahoni No.10 Kelurahan Padang Jati Kecamatan Ratu Samban Kota Bengkulu Kode Pos 38227</t>
  </si>
  <si>
    <t>RS Umum Daerah Harapan dan Doa</t>
  </si>
  <si>
    <t xml:space="preserve"> Jl. Let. Jend. Basuki Rahmad  Kecamatan Ratu Samban Kota Bengkulu</t>
  </si>
  <si>
    <t>RS Tk. IV Bengkulu</t>
  </si>
  <si>
    <t>Jl. Zainul Arifin RT 05/01 Kel. Padang Nangka Kecamatan Singaran Pati Bengkulu</t>
  </si>
  <si>
    <t>RS Umum Daerah Lebong</t>
  </si>
  <si>
    <t>Lebong</t>
  </si>
  <si>
    <t>Jln. Muara Aman - Curup, Desa Muning Agung , Kecamatan Lebong Sakti, Kabupaten Lebong , Provinsi Bengkulu</t>
  </si>
  <si>
    <t>RS Ibu dan Anak AL-Barra</t>
  </si>
  <si>
    <t>Muko Muko</t>
  </si>
  <si>
    <t>Jl. Pulai Berantai Desa Ujung Padang Kecamatan Kota Mukomuko</t>
  </si>
  <si>
    <t>RS Umum Daerah Mukomuko</t>
  </si>
  <si>
    <t>Jl. Danau Nibung Desa Kota Praja Kecamatan Air Manjunto Kabupaten Mukomuko Provinsi Bengkulu</t>
  </si>
  <si>
    <t>RS Umum Daerah Kabupaten Rejang Lebong</t>
  </si>
  <si>
    <t>Rejang Lebong</t>
  </si>
  <si>
    <t>Jalan  Jalur Dua Kelurahan Durian Depun  Kecamatan Merigi  Kabupaten  Kepahiang  Provinsi  Bengkulu  Kode  Pos 39371</t>
  </si>
  <si>
    <t>RS Assalam</t>
  </si>
  <si>
    <t>Jl. MH. Thamrin No. 04 Kel. Air Rambai, Kec. Curup</t>
  </si>
  <si>
    <t>RS An-Nissa</t>
  </si>
  <si>
    <t>Jl. Lintas Curup-Lubuk Linggau, Kelurahan Simpang Nangka, Kecamatan Selupu Rejang, Kabupaten Rejang Lebong, Provinsi Bengkulu.</t>
  </si>
  <si>
    <t>RS Umum Daerah Tais Kabupaten Seluma</t>
  </si>
  <si>
    <t>Seluma</t>
  </si>
  <si>
    <t>Jl. Raya Bengkulu-Manna Km. 64 Kelurahan Selebar Kecamatan Seluma Timur Kabupaten Seluma, Propinsi Bengkulu</t>
  </si>
  <si>
    <t>DKI Jakarta</t>
  </si>
  <si>
    <t>RS Umum Daerah Kepulauan Seribu</t>
  </si>
  <si>
    <t>021-26071997</t>
  </si>
  <si>
    <t>Kepulauan Seribu</t>
  </si>
  <si>
    <t xml:space="preserve">Pulau Pramuka Rt.001 RW.004, Kelurahan : Pulau Panggang, Kecamatan </t>
  </si>
  <si>
    <t>RS Kapal Nusa Waluya II</t>
  </si>
  <si>
    <t>RS Kapal/Bergerak</t>
  </si>
  <si>
    <t>Kota Jakarta Barat</t>
  </si>
  <si>
    <t>RUKO MAQNA UNIT 12 &amp; 15 APARTEMEN MAQNA  RESIDENCE KOMP. BUSINESS PARK KEBON JERUK JL RAYA MERUYA ILIR NO. 88, Desa/Kelurahan Meruya Utara, Kec. Kembangan</t>
  </si>
  <si>
    <t>RS Gigi dan Mulut FKG Universitas Trisakti</t>
  </si>
  <si>
    <t>Jl. Kyai Tapa No. 260 Grogol Jakarta Barat</t>
  </si>
  <si>
    <t>RS Anak dan Bunda Harapan Kita</t>
  </si>
  <si>
    <t>Jl. Let.Jend. S Parman Kav. 87 Slipi Jakbar</t>
  </si>
  <si>
    <t>RS Ibu dan Anak Metro Hospitals Kebon Jeruk</t>
  </si>
  <si>
    <t>Jl. Duri Raya No. 22 Duri Kepa Jakbar</t>
  </si>
  <si>
    <t>RS Jantung dan Pembuluh Darah Harapan Kita</t>
  </si>
  <si>
    <t>Rumah Sakit Khusus Jantung</t>
  </si>
  <si>
    <t>Jl. S. Parman Kav 87, Slipi</t>
  </si>
  <si>
    <t>RS Jiwa Dr. Soeharto Heerdjan</t>
  </si>
  <si>
    <t>Jl. Prof.Dr.Latumeten No. 1 Jakarta Barat</t>
  </si>
  <si>
    <t>RS Kanker Dharmais</t>
  </si>
  <si>
    <t>Rumah Sakit Khusus Kanker</t>
  </si>
  <si>
    <t>Jl. S Parman Kav.84-86 Slipi Jakarta Barat</t>
  </si>
  <si>
    <t>RS Khusus Mata Jakarta Eye Center Kedoya</t>
  </si>
  <si>
    <t>Jl. Terusan Arjuna Utara No.1, Kedoya Sel., Kec. Kb. Jeruk, Kota Jakarta Barat, Daerah Khusus Ibukota Jakarta 11520</t>
  </si>
  <si>
    <t>RS Umum  Royal Taruma</t>
  </si>
  <si>
    <t>Jl. Daan Mogot No.34,Jakarta Barat</t>
  </si>
  <si>
    <t>RS Umum Grha Kedoya</t>
  </si>
  <si>
    <t>Jln. Panjang Arteri No. 26 Kedoya Utara, kebon Jeruk</t>
  </si>
  <si>
    <t>RS Umum Daerah Cengkareng</t>
  </si>
  <si>
    <t>Jl.Kamal Raya Bumi Cengkareng Indah Cengkareng Timur</t>
  </si>
  <si>
    <t>RS Umum Ciputra Hospital Citragarden City</t>
  </si>
  <si>
    <t>Jl. Boulevard Blok G1 No.1 Citra 5 - CitraGarden City Jakarta Barat</t>
  </si>
  <si>
    <t>RS Umum Siloam Hospitals Kebon Jeruk</t>
  </si>
  <si>
    <t>Jl. Perjuangan Raya Kav.8 Jakarta Barat</t>
  </si>
  <si>
    <t>RS Umum Sumber Waras</t>
  </si>
  <si>
    <t>Jl. Kyai Tapa No.1 Grogol Jakbar</t>
  </si>
  <si>
    <t>RS Umum Pelni Petamburan</t>
  </si>
  <si>
    <t>Jl.Aipda KS Tubun No. 92-94, Desa/Kelurahan Slipi, Kec Palmerah, Kota Adm. Jakarta Barat, Provinsi DKI Jakarta Kode Pos  11410</t>
  </si>
  <si>
    <t>RS Umum Hermina Daan Mogot</t>
  </si>
  <si>
    <t>Jl. Kintamani Raya No. 2, Komp. Perumahan Daan Mogot Baru</t>
  </si>
  <si>
    <t xml:space="preserve">RS Pondok Indah Puri Indah </t>
  </si>
  <si>
    <t xml:space="preserve">Jl. Puri Indah Raya,Blok S-2,Kel.Kembangan Selatan,Jakbar </t>
  </si>
  <si>
    <t>RS Ukrida</t>
  </si>
  <si>
    <t>Jl. Arjuna Utara No. 6 Kel. Duri Kepa Kec. Kebon Jeruk</t>
  </si>
  <si>
    <t>RS Umum Daerah Kalideres</t>
  </si>
  <si>
    <t>Jl. Bedugul Blok NA, RT.008 RW.012, Perumahan Daan Mogot Baru, Kelurahan Kalideres, Kecamatan Kalideres, Kota Jakarta Barat, Provinsi DKI Jakarta Kode Pos: 11840</t>
  </si>
  <si>
    <t>RS Umum Eka Permata Hijau</t>
  </si>
  <si>
    <t>Jl. Kebayoran Lama  No.64 Jakarta Barat</t>
  </si>
  <si>
    <t>RS Umum Bhakti Mulia</t>
  </si>
  <si>
    <t>Jl. KS Tubun No.79 Slipi Jakbar</t>
  </si>
  <si>
    <t>RS Umum Mitra Keluarga Kalideres</t>
  </si>
  <si>
    <t>JL PETA SELATAN NO 1 RT/RW 007/011 KEL KALIDERES KEC KALIDERES JAKARTA BARAT</t>
  </si>
  <si>
    <t>RS Umum Cinta Kasih Tzu Chi</t>
  </si>
  <si>
    <t>JL. KAMAL RAYA OUTER RING ROAD CENGKARENG</t>
  </si>
  <si>
    <t>RS Umum Daerah  Kembangan</t>
  </si>
  <si>
    <t>Jl. Topaz Raya Blok F 2 No. 3 Rt.15 Rw. 07, Kelurahan Meruya Utara,  Kecamatan Kembangan, Jakarta Barat 11620</t>
  </si>
  <si>
    <t>RS Umum Patria IKKT</t>
  </si>
  <si>
    <t>Jl. Cendrawasih No.1, Komplek Kemhan Mabes TNI Slipi, Kel. Palmerah, Kec. Palmerah, Kota Adm. Jakarta Barat, Prov. DKI Jakarta 11480</t>
  </si>
  <si>
    <t>RS Umum Daerah Taman Sari</t>
  </si>
  <si>
    <t>Jalan Madu Rt/Rw 03/03 No.10 Mangga Besar Taman Sari Jakarta Barat 11180</t>
  </si>
  <si>
    <t>RS Umum Anggrek Mas</t>
  </si>
  <si>
    <t>Jl. Anggrek No. 2B rt.009/02 Kelapa Dua Kebon Jeruk</t>
  </si>
  <si>
    <t>RS Umum dr Abdul Radjak Cengkareng</t>
  </si>
  <si>
    <t>Jl. Daan mogot KM. 17. Komplek Imperial Business Center Blok A No.1-10 Kel. Kalideres Kec. Kalideres</t>
  </si>
  <si>
    <t>RS Khusus Bedah Bina Estetika</t>
  </si>
  <si>
    <t>Kota Jakarta Pusat</t>
  </si>
  <si>
    <t>JL. TEUKU CIKDITIRO NO.41, RT:10, RW:05, KELURAHAN MENTENG, KECAMATAN MENTENG, JAKARTA PUSAT, 10310</t>
  </si>
  <si>
    <t>RS Gigi dan Mulut FKG Univ. Indonesia</t>
  </si>
  <si>
    <t>Jl. Salemba Raya No. 4 Jakarta Pusat</t>
  </si>
  <si>
    <t>RS Gigi Dan Mulut YARSI</t>
  </si>
  <si>
    <t>Jl. LetJend Suprapto Kav. 13 Cempaka Putih. Jakarta Pusat. DKI Jakarta</t>
  </si>
  <si>
    <t>RSGM LADOKGI R.E MARTADINATA</t>
  </si>
  <si>
    <t xml:space="preserve"> Jl. Farmasi No.1, Bendungan Hilir, Tanah Abang, Jakarta Pusat</t>
  </si>
  <si>
    <t>RS Khusus Ibu Anak Bunda Jakarta</t>
  </si>
  <si>
    <t>Jl. Teuku Cik Ditiro No. 28 Menteng</t>
  </si>
  <si>
    <t>RS Ibu dan Anak Tambak</t>
  </si>
  <si>
    <t>Jl. Tambak No.18, Pegangsaan, Kec. Menteng, Kota Jakarta Pusat, Daerah Khusus Ibukota Jakarta 10320, Indonesia</t>
  </si>
  <si>
    <t>RS Khusus JEC @Menteng</t>
  </si>
  <si>
    <t>Jl. Teuku Cik Ditiro No.46 Jakarta Pusat</t>
  </si>
  <si>
    <t>RS Khusus THT Bedah KL Proklamasi</t>
  </si>
  <si>
    <t>Jl. Proklamasi No. 43, Menteng - Jakarta Pusat</t>
  </si>
  <si>
    <t>RS Khusus THT SS Medika</t>
  </si>
  <si>
    <t>JL. SALEMBA 1 NO.11-13 RT.06 RW 06 KELURAHAN KENARI , KECAMATAN SENEN, KOTA JAKARTA PUSAT PROV. DKI JAKARTA</t>
  </si>
  <si>
    <t>RS Khusus THT Prof Nizar</t>
  </si>
  <si>
    <t>Jl. Kesehatan No. 9 Jakpus</t>
  </si>
  <si>
    <t>RS Umum Daerah Tarakan</t>
  </si>
  <si>
    <t>Jl. Kyai Caringin no. 7 RT 11 / RW 04, Cideng, Kec. Gambir</t>
  </si>
  <si>
    <t>RS Umum PAD Gatot Soebroto</t>
  </si>
  <si>
    <t>Jl. dr. Abdul  Rahman Saleh No. 24  Senen Jakarta Pusat</t>
  </si>
  <si>
    <t>RSUPN Dr. Cipto Mangunkusumo</t>
  </si>
  <si>
    <t>Jl. Diponegoro 71 Jakarta Pusat</t>
  </si>
  <si>
    <t>RS Umum Yarsi</t>
  </si>
  <si>
    <t xml:space="preserve">Jl. Letjen Suprapto Kelurahan Cempaka Putih Timur Kecamatan Cempaka Putih Jakarta Pusat </t>
  </si>
  <si>
    <t>RS Umum Hermina Kemayoran</t>
  </si>
  <si>
    <t xml:space="preserve">Jl. Selangit Blok B.10 Kav No.4 Kel. Gunung Sahari Selatan Kec. Kemayoran </t>
  </si>
  <si>
    <t>RS Primaya PGI Cikini</t>
  </si>
  <si>
    <t>Organisasi Protestan</t>
  </si>
  <si>
    <t>Jl. Raden Saleh No. 40 Jakpus</t>
  </si>
  <si>
    <t>RS Umum dr. Abdul Radjak Salemba</t>
  </si>
  <si>
    <t>Jl. Salemba Tengah 24-28, Paseban, Senen, Jakarta Pusat, DKI Jakarta</t>
  </si>
  <si>
    <t>RS Umum Sint Carolus</t>
  </si>
  <si>
    <t>Jl. Salemba Raya No.41 Jakarta Pusat</t>
  </si>
  <si>
    <t>RS Umum Husada</t>
  </si>
  <si>
    <t>Jl. Raya Mangga Besar No.137/139 Jakarta Pusat</t>
  </si>
  <si>
    <t>RS Umum AL Dr. Mintoharjo</t>
  </si>
  <si>
    <t>Jl. Bendungan Hilir No.17, RT.4/RW.3, Bendungan. Hilir, Kecamatan Tanah Abang, Kota Jakarta Pusat, Daerah Khusus Ibukota Jakarta 10210</t>
  </si>
  <si>
    <t>RS Umum Mitra Kemayoran</t>
  </si>
  <si>
    <t>Jl. HBR Motik Rt 013 Rw 006 Kel. Kebon Kosong Kec. Kemayoran  Jakarta Pusat 10630</t>
  </si>
  <si>
    <t>RS Umum Abdi Waluyo</t>
  </si>
  <si>
    <t>Jl. Hos Cokroaminoto 31-33 Jakarta Pusat</t>
  </si>
  <si>
    <t>RS Islam Jakarta Cempaka Putih</t>
  </si>
  <si>
    <t>Jl. Cempaka Putih Tengah I / 1 Jakarta Pusat - Indonesia</t>
  </si>
  <si>
    <t>RS Umum Bunda Jakarta</t>
  </si>
  <si>
    <t>Jl. Teuku Cik Ditiro No. 21 Menteng</t>
  </si>
  <si>
    <t>RS Umum Kramat 128</t>
  </si>
  <si>
    <t>Jl. Kramat Raya No.128,Jakpus</t>
  </si>
  <si>
    <t>RS Umum Primaya Evasari Hospital</t>
  </si>
  <si>
    <t>Jl. Rawamangun No. 47, Rawasari, Cempaka Putih, Jakarta Pusat</t>
  </si>
  <si>
    <t>RS Umum Pertamina Jaya</t>
  </si>
  <si>
    <t>Jl. A. Yani No. 2 By Pass Jakarta Pusat</t>
  </si>
  <si>
    <t>RS Menteng Mitra Afia</t>
  </si>
  <si>
    <t>Jl. Kalipasir No.9 Kel. Kebon Sirih, Kec. Menteng, Jakarta Pusat</t>
  </si>
  <si>
    <t>RS Siloam Agora</t>
  </si>
  <si>
    <t xml:space="preserve">Jl. Letjend Suprapto No.1 </t>
  </si>
  <si>
    <t>RS Umum Murni Teguh Sudirman Jakarta</t>
  </si>
  <si>
    <t>Jl. Jend. Sudirman No. 86</t>
  </si>
  <si>
    <t>RS Umum Budi Kemuliaan</t>
  </si>
  <si>
    <t>Jl. Budi Kemuliaan No.25 Jakarta Pusat</t>
  </si>
  <si>
    <t>RS Umum Daerah Johar Baru</t>
  </si>
  <si>
    <t>Jl. Tanah Tinggi XII,  No.15-23, RT.10/RW.9, Tanah Tinggi, Kec. Johar Baru, Kota Jakarta Pusat, Daerah Khusus Ibukota Jakarta</t>
  </si>
  <si>
    <t>RS Umum Daerah Kemayoran</t>
  </si>
  <si>
    <t>Jl. Serdang Baru I  RT.6/RW.5 Kel. Serdang Kec. Kemayoran Kota Jakarta Pusat DKI Jakarta</t>
  </si>
  <si>
    <t>RS Umum Daerah Sawah Besar</t>
  </si>
  <si>
    <t>Jl. Dwi Warna Raya No. 6-8</t>
  </si>
  <si>
    <t>RS Umum Daerah Cempaka Putih</t>
  </si>
  <si>
    <t>Jl.Rawasari Selatan No1</t>
  </si>
  <si>
    <t>RS Umum YPK Mandiri</t>
  </si>
  <si>
    <t>Jl. Gereja Theresia No. 22 Menteng Jakpus</t>
  </si>
  <si>
    <t>RS Umum Daerah Tanah Abang</t>
  </si>
  <si>
    <t>Jl. KH. Mas Mansyur No. 30 Kel. Kebon Kacang Kec. Tanah Abang, Jakarta Pusat</t>
  </si>
  <si>
    <t>RS Bedah Siloam Asri</t>
  </si>
  <si>
    <t>Kota Jakarta Selatan</t>
  </si>
  <si>
    <t>Jl. Duren Tiga Raya No. 20, Duren Tiga, Pancoran</t>
  </si>
  <si>
    <t>RS Khusus Bedah Halimun</t>
  </si>
  <si>
    <t>Jl. Halimun No.9, Guntur Setiabudi, Desa/Kelurahan Guntur, Kec.Setiabudi, Kota Adm. Jakarta Selatan, Provinsi DKI Jakarta,Kode Pos: 12980</t>
  </si>
  <si>
    <t>RS Gigi dan Mulut Univ. Prof. Moestopo</t>
  </si>
  <si>
    <t>Jl. Bintaro Permai Raya No 3 Jaksel</t>
  </si>
  <si>
    <t>RS Ibu dan Anak Kemang Medical Care</t>
  </si>
  <si>
    <t>Jl. Ampera Raya No. 34</t>
  </si>
  <si>
    <t>RS Khusus Ibu dan Anak Brawijaya</t>
  </si>
  <si>
    <t>Jl..Taman Brawijaya No.1 Kel. Cepete Utara Kec. Kebayoran Baru</t>
  </si>
  <si>
    <t>RS Ibu dan Anak SamMarie Wijaya</t>
  </si>
  <si>
    <t>Jl. Wijaya I No.45, RW.5, Petogogan, Kec. Kebayoran. Baru, Kota Jakarta Selatan</t>
  </si>
  <si>
    <t>RS Ibu dan Anak Brawijaya Durentiga</t>
  </si>
  <si>
    <t>Jl. Duren Tiga Raya No.5 Pancoran Jaksel</t>
  </si>
  <si>
    <t>RS Ibu dan Anak JWCC Asih</t>
  </si>
  <si>
    <t>Jl. Panglima Polim III no.34 Melawai Kebayoran Baru</t>
  </si>
  <si>
    <t>RS Jantung dan Pembuluh Darah Heartology</t>
  </si>
  <si>
    <t>Jl. Birah III No. 4 Kel. Rawa Barat, Kebayoran Baru</t>
  </si>
  <si>
    <t>RS Jiwa Dharmawangsa</t>
  </si>
  <si>
    <t>Jl. Darmawangsa Raya Blok P/ II No.13, Kelurahan Pulo Kecamatan Kebayoran Baru Kotamadya Jakarta Selatan Provinsi DKI Jakarta</t>
  </si>
  <si>
    <t>RS Khusus Kanker MRCCC Siloam Semanggi</t>
  </si>
  <si>
    <t>Jl. Garnisun No. 2 - 3, RT 003, RW 004, Kel. Karet Semanggi, Kec. Setiabudi, Jakarta Selatan</t>
  </si>
  <si>
    <t>RS Khusus Mata Nusantara</t>
  </si>
  <si>
    <t>Jl. R.A. Kartini No. 99</t>
  </si>
  <si>
    <t>RS Orthopedi Siaga Raya</t>
  </si>
  <si>
    <t>Rumah Sakit Khusus Orthopedi</t>
  </si>
  <si>
    <t>Jl. Siaga Raya Kav.4-8, Pejaten Barat, Pasar Minggu, Jakarta Selatan</t>
  </si>
  <si>
    <t>RSUP Fatmawati</t>
  </si>
  <si>
    <t>Jl. RS Fatmawati Cilandak,Jaksel</t>
  </si>
  <si>
    <t>RS Umum Dr. Suyoto Kemhan</t>
  </si>
  <si>
    <t>Jl. RC. Veteran Raya No. 178 RT 09 RW 03 Kelurahan Bintaro Kecamatan Pesanggrahan Jakarta Selatan 12330</t>
  </si>
  <si>
    <t>RS Umum AL Cilandak</t>
  </si>
  <si>
    <t>Jl. Raya Cilandak KKO Cilandak Timur, Pasar Minggu Jakarta Selatan</t>
  </si>
  <si>
    <t>RS Umum Siloam TB Simatupang</t>
  </si>
  <si>
    <t>Jl. RA Kartini No. 8 Cilandak</t>
  </si>
  <si>
    <t>RS Umum Pondok Indah</t>
  </si>
  <si>
    <t>Jl. Metro Duta Kav. UE Pondok  Indah,Jaksel</t>
  </si>
  <si>
    <t>RS Umum Mayapada</t>
  </si>
  <si>
    <t>Jalan Lebak Bulus I. Kav. 29</t>
  </si>
  <si>
    <t>RS Umum Tebet</t>
  </si>
  <si>
    <t>Jl. Letjen MT Haryono kav 13 Jakarta Selatan</t>
  </si>
  <si>
    <t>RS Umum Daerah Pasar Minggu</t>
  </si>
  <si>
    <t>JL. TB. SIMATUPANG NO. 1 KELURAHAN RAGUNAN, KECAMATAN PASAR MINGGU - JAKARTA SELATAN</t>
  </si>
  <si>
    <t>RS Umum Medistra</t>
  </si>
  <si>
    <t>Jl. Jendral Gatot Subroto Kav  59 Kelurahan  Kuningan Timur,  Kecamatan  Setiabudi Jakarta Selatan DKI Jakarta</t>
  </si>
  <si>
    <t>RS Umum MMC</t>
  </si>
  <si>
    <t>Jl. H R. Rasuna Said Kav C 20 - 21, Karet Kuningan, Setiabudi, Jakarta Selatan</t>
  </si>
  <si>
    <t>RS Umum Pusat Pertamina</t>
  </si>
  <si>
    <t>Jl. Kyai Maja No.43 Kebayoran Baru,Jakarta Selatan</t>
  </si>
  <si>
    <t>RS Umum Agung</t>
  </si>
  <si>
    <t>Jl. Sultan Agung No.67 RT 1/ RW 8, Kelurahan Ps Manggis, Kecamatan Setiabudi, Kota Jakarta Selatan, Daerah Khusus Ibukota Jakarta 12970</t>
  </si>
  <si>
    <t>RS Umum Daerah Pesanggrahan</t>
  </si>
  <si>
    <t>Jalan Cenek I no. 1 Pesanggrahan</t>
  </si>
  <si>
    <t>RS Umum Aulia</t>
  </si>
  <si>
    <t>Jl. Jeruk Raya No.15 RT.011 RW 01 Kelurahan Jagakarsa, Kecamatan Jagakarsa, Kota Jakarta Selatan, Provinsi DKI Jakarta</t>
  </si>
  <si>
    <t>RS Umum Ali Sibroh Malisi</t>
  </si>
  <si>
    <t>Jl. Warung Silah No. 01 Gudang baru Rt. 08 Rw. 05 Kel. Cipedak Kec. Jagakarsa Jakarta Selatan 12630</t>
  </si>
  <si>
    <t>RS Umum Daerah Tebet</t>
  </si>
  <si>
    <t>Jl. Prof. Dr. Soepomo, SH. No. 54, Tebet, Jakarta Selatan</t>
  </si>
  <si>
    <t>RS Umum Tria Dipa</t>
  </si>
  <si>
    <t>Jl. Raya Pasar Minggu No.3A Rt 004 Rw 01 Kelurahan Pancoran, Kecamatan Pancoran, Jakarta Selatan</t>
  </si>
  <si>
    <t>RS Umum Andhika</t>
  </si>
  <si>
    <t>Jl. Warung Sila No. 8, RT.06/RW.04, Gudang Baru Ciganjur, Jagakarsa Jakarta Selatan</t>
  </si>
  <si>
    <t>RS Umum Jakarta Medical Center (JMC)</t>
  </si>
  <si>
    <t>Jl. Buncit Raya No.15, Kalibata, Pancoran</t>
  </si>
  <si>
    <t>RS Umum Zahirah</t>
  </si>
  <si>
    <t>Jl. Sirsak No.21 RT/RW 009/001, Jagakarsa, Jakarta Selatan, DKI JAKARTA, 12620</t>
  </si>
  <si>
    <t>RS Umum Prikasih</t>
  </si>
  <si>
    <t>Jl. RS Fatmawati Raya No. 74, Pondok Labu, Cilandak</t>
  </si>
  <si>
    <t>RS Umum Kartini</t>
  </si>
  <si>
    <t>Jl. Ciledug Raya No.94-96 Cipulir, Keabayoran Lama</t>
  </si>
  <si>
    <t>RS Umum Jakarta</t>
  </si>
  <si>
    <t>Jl. Garnisun No. 1, Jl. Jend. Sudirman</t>
  </si>
  <si>
    <t>RS Umum Setia Mitra</t>
  </si>
  <si>
    <t>Jl. Fatmawati No. 80-82, RT 3 RW 10, Kel. Cilandak Barat, Kec. Cilandak, Jakarta Selatan, DKI Jakarta, 12430</t>
  </si>
  <si>
    <t>RS Umum Siloam Mampang</t>
  </si>
  <si>
    <t>Jl. Mampang Prpt. Raya No.16, RW.5, Duren Tiga, Kec. Pancoran, Kota Jakarta Selatan, Daerah Khusus Ibukota Jakarta 12760</t>
  </si>
  <si>
    <t>RS Brawijaya Saharjo</t>
  </si>
  <si>
    <t>Jl. Dr. Saharjo No.199, RT.1/RW.1, Tebet Bar., Kec. Tebet, Kota Jakarta Selatan, Daerah Khusus Ibukota Jakarta 12810</t>
  </si>
  <si>
    <t>RS Umum Bhayangkara Lemdiklat Polri</t>
  </si>
  <si>
    <t>JL. CIPUTAT RAYA NO 40, KELURAHAN  PONDOK PINANG, KECAMATAN KEBAYORAN LAMA</t>
  </si>
  <si>
    <t>RS Muhammadiyah Taman Puring</t>
  </si>
  <si>
    <t>Jl. Gandaria 1 No.20, RT.1/RW.2, Kramat Pela, Kec. Kby. Baru, Kota Jakarta Selatan, Daerah Khusus Ibukota Jakarta 12130</t>
  </si>
  <si>
    <t>RS Yadika Kebayoran Lama</t>
  </si>
  <si>
    <t xml:space="preserve">Jl. Ciputat Raya No. 5  </t>
  </si>
  <si>
    <t>RS Umum Daerah Jati Padang</t>
  </si>
  <si>
    <t>Jl. Raya Ragunan No. 16 dan 17, Kelurahan Pasar Minggu, Kecamatan Pasar Minggu, Kota Administrasi Jakarta Selatan, Provinsi DKI Jakarta. Kode pos 12520</t>
  </si>
  <si>
    <t>RS Umum Daerah Mampang Prapatan</t>
  </si>
  <si>
    <t>Jl. Kapten P. Tendean No. 9A Jakarta Selatan</t>
  </si>
  <si>
    <t>RS Umum Gandaria</t>
  </si>
  <si>
    <t>Jl. Gandaria Tengah II, No 6 sd 14 Kebayoran Baru, Jakarta Selatan.</t>
  </si>
  <si>
    <t>RS Umum Daerah Kebayoran Lama</t>
  </si>
  <si>
    <t>Jl. Jatayu RT. 001 RW. 012 Kelurahan Kebayoran Lama Selatan Kecamatan Kebayoran Lama Jakarta Selatan</t>
  </si>
  <si>
    <t>RS Umum Petukangan</t>
  </si>
  <si>
    <t>Jl. Ciledug Raya No. 8A-B, Petukangan Selatan, Pesanggrahan</t>
  </si>
  <si>
    <t>RS Umum Daerah Kebayoran Baru</t>
  </si>
  <si>
    <t>Jl. Abdul Majid No 28, Kelurahan Cipete Utara, Kecamatan Kebayoran Baru, Kota Administrasi Jakarta S</t>
  </si>
  <si>
    <t>RS Umum Daerah Jagakarsa</t>
  </si>
  <si>
    <t>Jl. Moh. Kahfi  I No.27A, Kecamatan Jagakarsa Jakarta Selatan</t>
  </si>
  <si>
    <t>Mayapada Hospital Kuningan</t>
  </si>
  <si>
    <t>Jl. HR. Rasuna Said Kav. C 17 Kel. Karet Kuningan Kec. Setiabudi</t>
  </si>
  <si>
    <t>RS Ketergantungan Obat</t>
  </si>
  <si>
    <t>Rumah Sakit Ketergantungan Obat</t>
  </si>
  <si>
    <t>Kota Jakarta Timur</t>
  </si>
  <si>
    <t>Jl. Lapangan Tembak No 75 Kelurahan Cibubur Kecamatan  Ciracas Jakarta Timur 13720</t>
  </si>
  <si>
    <t>RS Khusus Bedah Columbia Asia Pulomas</t>
  </si>
  <si>
    <t>Jl. Kayu Putih Raya No. 1 Kel. Kayu Putih Kec. Pulogadung</t>
  </si>
  <si>
    <t>RS Khusus Bedah Rawamangun</t>
  </si>
  <si>
    <t>Jl. Balai Pustaka Raya No. 29 - 31, Rawamangun</t>
  </si>
  <si>
    <t>RS Gigi Dan Mulut Angkatan Udara</t>
  </si>
  <si>
    <t>TNI AU</t>
  </si>
  <si>
    <t>Jl.Puntodewo 1 Dirgantara 2, Halim Perdanakusuma</t>
  </si>
  <si>
    <t>RS Ibu dan Anak SamMarie Basra</t>
  </si>
  <si>
    <t>Jl. Basuki Rachmat No. 31 Pondok Bambu, Kota Administrasi Jakarta Timur, Provinsi DKI Jakarta</t>
  </si>
  <si>
    <t>RS Ibu dan Anak Sayyidah</t>
  </si>
  <si>
    <t xml:space="preserve"> Jl. Taman malaka Selatan No.6 Pondok Kelapa, Jaktim</t>
  </si>
  <si>
    <t>RS Ibu dan Anak Resti Mulya</t>
  </si>
  <si>
    <t>Jl. Pahlawan Komarudin no. 05 penggilingan - Cakung</t>
  </si>
  <si>
    <t>RS Ibu dan Anak AL-Fauzan</t>
  </si>
  <si>
    <t>RSIA Al Fauzan Jl. Pedati No. 3 Kel. Kampung Tengah, Kec. Kramat Jati, Kota Jakarta Timur, DKI Jakarta</t>
  </si>
  <si>
    <t>RS Jantung Jakarta</t>
  </si>
  <si>
    <t>Jl. Matraman Raya No. 23, RT 002 RW 001, Jakarta Timur, DKI Jakarta. 13140</t>
  </si>
  <si>
    <t>RS Jantung Binawaluya</t>
  </si>
  <si>
    <t>Jl. TB Simatupang No.71, RT.11/RW.5, Susukan, Kec. Ciracas</t>
  </si>
  <si>
    <t>RS Khusus Daerah Duren Sawit</t>
  </si>
  <si>
    <t>Jl. Duren Sawit Baru Jakarta Timur</t>
  </si>
  <si>
    <t>RS Jiwa Islam Klender</t>
  </si>
  <si>
    <t>Jl. Bunga Rampai X, Perumnas Klender , Malaka Jaya Kecamatan Duren Sawit Kota Administrasi Jakarta Timur, Provinsi DKI Jakarta</t>
  </si>
  <si>
    <t>RS Pusat Otak Nasional Prof DR. dr. Mahar Mardjono</t>
  </si>
  <si>
    <t>Rumah Sakit Khusus Otak</t>
  </si>
  <si>
    <t>Jl. MT Haryono Kav. 11 Kel. Cawang Kec. Kramat Jati</t>
  </si>
  <si>
    <t>RSUP Persahabatan</t>
  </si>
  <si>
    <t>Jl. Persahabatan Raya No. 1, Jakarta Timur</t>
  </si>
  <si>
    <t>RS Umum Bhayangkara Tk. I R.Said Sukanto</t>
  </si>
  <si>
    <t>Jl. Raya Bogor Kramat Jati,Jakarta Timur</t>
  </si>
  <si>
    <t>RS Umum Daerah Budhi Asih</t>
  </si>
  <si>
    <t>Jl. Dewi Sartika, Cawang III/ 200,Jakarta Timur</t>
  </si>
  <si>
    <t>RS Umum Haji Jakarta</t>
  </si>
  <si>
    <t>Jl. Raya Pondok Gede no. 4</t>
  </si>
  <si>
    <t>RS Angkatan Udara dr. Esnawan Antariksa</t>
  </si>
  <si>
    <t>Jl. Merpati No. 2 Halim Perdana Kusuma, Jakarta</t>
  </si>
  <si>
    <t>RS Islam Jakarta Pondok Kopi</t>
  </si>
  <si>
    <t>Jl. Raya Pondok Kopi Jakarta Timur</t>
  </si>
  <si>
    <t>RS Umum Universitas Kristen Indonesia</t>
  </si>
  <si>
    <t>Jl. May.Jen Soetoyo No.2 Kel.Cawang,Kec. Kramat jati, Jakarta Timur</t>
  </si>
  <si>
    <t>RS Umum Daerah Pasar Rebo</t>
  </si>
  <si>
    <t>Jl. TB Simatupang No.30</t>
  </si>
  <si>
    <t>RS Umum Adhyaksa</t>
  </si>
  <si>
    <t>Jl. Raya Hankam No. 60 Ceger Cipayung</t>
  </si>
  <si>
    <t>RS Tk. II M. Ridwan Meuraksa</t>
  </si>
  <si>
    <t>Jl. Taman Mini I RT 004 / RW 02 Kel. Pinangranti Kec. Makasar</t>
  </si>
  <si>
    <t>RS EMC Pulomas</t>
  </si>
  <si>
    <t xml:space="preserve">Jl. Pulomas Barat VI No. 20. </t>
  </si>
  <si>
    <t>RS Umum Premier Jatinegara</t>
  </si>
  <si>
    <t>Jl. Jatinegara Timur No.85-87,Jaktim</t>
  </si>
  <si>
    <t>RS Umum Harapan Bunda</t>
  </si>
  <si>
    <t>Jl. Raya Bogor Km.22 No. 44 Jakarta Timur</t>
  </si>
  <si>
    <t>RS Umum Hermina Jatinegara</t>
  </si>
  <si>
    <t xml:space="preserve">Jl. Jatinegara Barat 126, Jakarta Timur </t>
  </si>
  <si>
    <t>RS Pusdikkes</t>
  </si>
  <si>
    <t>Jl. Raya Bogor Km. 20, Kramat Jati, Jakarta Timur</t>
  </si>
  <si>
    <t>RS Umum Daerah Kramat Jati</t>
  </si>
  <si>
    <t xml:space="preserve">Jln. Raya Inpres No. 48 </t>
  </si>
  <si>
    <t>RS Umum Harum</t>
  </si>
  <si>
    <t xml:space="preserve">Jl. Tarum Barat, Kalimalang </t>
  </si>
  <si>
    <t>RS Umum Kartika Pulo Mas</t>
  </si>
  <si>
    <t>Jl. Pulo Mas Timur K No 2 Jakarta Timur</t>
  </si>
  <si>
    <t>RS Umum Antam Medika</t>
  </si>
  <si>
    <t>Jl. Pemuda Raya No. 1A, Kelurahan Jatinegara Kaum, Kecamatan Pulo Gadung, Kota Jakarta Timur, Provinsi DKI Jakarta</t>
  </si>
  <si>
    <t>RS Umum  Dr. EUIS</t>
  </si>
  <si>
    <t>Jl. H. Naman No.3 (TRANSITO) Kalimalang Kelurahan Pondok Kelapa Kecamatan Duren Sawit</t>
  </si>
  <si>
    <t>RS Tk. IV Cijantung</t>
  </si>
  <si>
    <t>Jl. Mahoni No. 1 Cijantung II Rt 005/004  Pasar Rebo Jakarta Timur</t>
  </si>
  <si>
    <t>RS Umum Restu Kasih</t>
  </si>
  <si>
    <t>Jl. Raya Bogor KM 19 No. 3A Kramat Jati</t>
  </si>
  <si>
    <t>RS Umum Yadika</t>
  </si>
  <si>
    <t>Jl. Pahlawan Revolusi No.47 Pondok Bambu Jaktim</t>
  </si>
  <si>
    <t>RS Umum Harapan Jayakarta</t>
  </si>
  <si>
    <t>Jl. Bekasi Timur Raya No.6 Km.18, Kel. Jatinegara, Kec. Cakung, Jaktim</t>
  </si>
  <si>
    <t>RS Umum Dharma Nugraha</t>
  </si>
  <si>
    <t>Jl. Balai Pustaka Baru 19 Rawamangun</t>
  </si>
  <si>
    <t>RS Umum Alia Hospital</t>
  </si>
  <si>
    <t>Jl. Pahlawan Revolusi No. 100 Pondok Bamabu</t>
  </si>
  <si>
    <t>RS Umum Daerah Matraman</t>
  </si>
  <si>
    <t>Jl. Kebon kelapa raya no. 29 kel. Utan kayu selatan kec. Matraman</t>
  </si>
  <si>
    <t>RS Umum Daerah Cipayung</t>
  </si>
  <si>
    <t>Jl. Mini III RT 004 RW 003 Kelurahan Bambu Apus, Kecamatan Cipayung Kota Jakarta Timur DKI Jakarta</t>
  </si>
  <si>
    <t>RS Umum Daerah Ciracas</t>
  </si>
  <si>
    <t>Jalan Lapangan Tembak Cibubur 1 , Kelurahan Cibubur, Kecamatan Ciracas, Kota Jakarta Timur, Provinsi DKI Jakarta</t>
  </si>
  <si>
    <t>RS Umum Olahraga Nasional</t>
  </si>
  <si>
    <t>Jl. Jambore Raya No. 1 Kelurahan Cibubur Kecamatan Ciracas 13720</t>
  </si>
  <si>
    <t>RS Umum Pengayoman Cipinang</t>
  </si>
  <si>
    <t>Jl. Raya Bekasi Timur 170 B, Jaktim</t>
  </si>
  <si>
    <t>RS Ibu dan Anak St. Yusuf</t>
  </si>
  <si>
    <t>Kota Jakarta Utara</t>
  </si>
  <si>
    <t>Jl. Ganggeng Raya No. 9 Kel. Sungai Bambu Tanjung Priok</t>
  </si>
  <si>
    <t>RS Khusus Ibu dan Anak Eka Grand Family</t>
  </si>
  <si>
    <t>Jl. Pantai Indah Selatan I Komp. Elang Laut Boulevard Kav. I No. 1 Penjaringan Jakarta Utara</t>
  </si>
  <si>
    <t>RS Khusus Ibu dan Anak Eka Family</t>
  </si>
  <si>
    <t>Jl. Pluit Mas I Blok A No 2A - 5A Pejagalan Penjaringan Jakarta Utara</t>
  </si>
  <si>
    <t>RS Penyakit Infeksi Prof. Dr. Sulianti Saroso</t>
  </si>
  <si>
    <t>Rumah Sakit Khusus Infeksi</t>
  </si>
  <si>
    <t>Jl. Sunter Permai Raya No. 2, Rt 02/Rw 12, Papanggo, Kec. Tanjung Priok, Jakarta Utara, DKI Jakarta</t>
  </si>
  <si>
    <t>RS Mata JEC Primasana @Tanjung Priok</t>
  </si>
  <si>
    <t xml:space="preserve">Jl. Kebon Bawang Raya No. 01 RT. 13 RW. 01 Kelurahan Kebon Bawang Kecamatan Tanjungpriok </t>
  </si>
  <si>
    <t>RS Umum Akademik Atma Jaya</t>
  </si>
  <si>
    <t>Jl. Pluit Raya Jakarta Utara No. 02</t>
  </si>
  <si>
    <t>RS Umum Pluit</t>
  </si>
  <si>
    <t>Jl. Raya Pluit Selatan 2 Jakut</t>
  </si>
  <si>
    <t>RS Umum Tzu Chi Hospital</t>
  </si>
  <si>
    <t>Organisasi Budha</t>
  </si>
  <si>
    <t>Jl. Pantai Indah Kapuk Boulevard,  Kel. Kamal Muara,  Kec. Penjaringan</t>
  </si>
  <si>
    <t>RS Umum Daerah Koja</t>
  </si>
  <si>
    <t>Jl. Deli No.4 Tanjung Priok,Jakut</t>
  </si>
  <si>
    <t>RS Umum Mitra Keluarga Kelapa Gading</t>
  </si>
  <si>
    <t>Jl. Bukit Gading Raya Kav.2</t>
  </si>
  <si>
    <t>RS Umum Royal Progress</t>
  </si>
  <si>
    <t>Jl. Danau Sunter Utara, Sunter Paradise I</t>
  </si>
  <si>
    <t>RS Umum Pantai Indah Kapuk</t>
  </si>
  <si>
    <t xml:space="preserve">Jl. Pantai Indah Utara 3 Pantai Indah Kapuk, Kapuk Muara, Penjaringan </t>
  </si>
  <si>
    <t>RS Umum Gading Pluit</t>
  </si>
  <si>
    <t xml:space="preserve">Jl. Boulevard Timur Raya Pegangsaan Dua,Kelapa Gading </t>
  </si>
  <si>
    <t>RS Islam Jakarta Sukapura</t>
  </si>
  <si>
    <t>Jl. Tipar Cakung No.5, Kelurahan Sukapura, Kecamatan Cilincing, Kota Jakarta Utara, Provinsi Daerah Khusus Ibukota Jakarta 14140</t>
  </si>
  <si>
    <t>RS Umum Firdaus</t>
  </si>
  <si>
    <t>Komp. Bea Cukai Jl. Siak J5/14</t>
  </si>
  <si>
    <t>RS Umum Daerah Cilincing</t>
  </si>
  <si>
    <t>Jl. Madya Kebantenan Nomor 4, Semper Timur, Cilincing</t>
  </si>
  <si>
    <t>RS Umum Mulyasari</t>
  </si>
  <si>
    <t xml:space="preserve">Jl. Raya Plumpung Semper No.19 RT.006/RW.015, Jakarta Utara </t>
  </si>
  <si>
    <t>RS Umum Duta Indah</t>
  </si>
  <si>
    <t>Jl. Teluk Gong Raya No. 12 Kel. Pejagalan Kec. Penjaringan</t>
  </si>
  <si>
    <t>RS Umum  Satya Negara</t>
  </si>
  <si>
    <t>Jl. Agung Utara Raya No. 1 Jakut</t>
  </si>
  <si>
    <t>RS Umum Daerah Tugu Koja</t>
  </si>
  <si>
    <t>Jl. Walang Permai No 39, RT.008 RW.012, Kel. Tugu Utara, Kec. Koja, Kota Administrasi Jakarta Utara, DKI Jakarta</t>
  </si>
  <si>
    <t>RS Umum  Pelabuhan Tanjung Priok</t>
  </si>
  <si>
    <t>Jl. Kramat Jaya Tg Priok Jakut</t>
  </si>
  <si>
    <t>RS Umum Sukmul</t>
  </si>
  <si>
    <t>Jl. Tawes No.18-20 Tanjung Priuk  Jakarta Utara 14310</t>
  </si>
  <si>
    <t>RS Umum Pekerja</t>
  </si>
  <si>
    <t xml:space="preserve">Jl. Raya Cakung Cilincing RT 002 RW 001 Kel. Sukapura Kec. Cilincing - Jakarta Utara </t>
  </si>
  <si>
    <t>RS Umum Hermina Podomoro</t>
  </si>
  <si>
    <t>Jl. Danau Agung 2 Sunter Jakarta Utara</t>
  </si>
  <si>
    <t>RS Umum Puri Medika</t>
  </si>
  <si>
    <t>Jl. Sungai Bambu No.5 Tanjung Priok</t>
  </si>
  <si>
    <t>RS Umum Port Medical Center</t>
  </si>
  <si>
    <t>Jl. Enggano No. 10 Tanjung Priok, Jakarta Utara</t>
  </si>
  <si>
    <t>RS Umum Daerah  Tanjung Priok</t>
  </si>
  <si>
    <t>Jl. Bugis No. 03 Kel. Kebon Bawang Kec. Tanjung Priok</t>
  </si>
  <si>
    <t>RS Umum Daerah  Pademangan</t>
  </si>
  <si>
    <t>Jl. Budi Mulia Raya No.2 Pademangan Barat</t>
  </si>
  <si>
    <t>Gorontalo</t>
  </si>
  <si>
    <t>RS Umum Daerah Tani dan Nelayan</t>
  </si>
  <si>
    <t>Boalemo</t>
  </si>
  <si>
    <t>Jln. Prof. Dr.Hi.Aloei Saboe, Desa Lamu, Kec.Tilamuta, Kab.Boalemo Provinsi Gorontalo</t>
  </si>
  <si>
    <t>RS Umum Daerah DR. Ir. Iwan Bokings Kab. Boalemo</t>
  </si>
  <si>
    <t>Jl. Trans Sulawesi, Desa Tangkobu, Kecamatan Paguyaman, Kabupaten Boalemo, Provinsi Gorontalo</t>
  </si>
  <si>
    <t>RS Umum Daerah Toto Kabila</t>
  </si>
  <si>
    <t>Bone Bolango</t>
  </si>
  <si>
    <t>Jl. Kesehatan No.25,  Desa Permata, Kec. Tilongkabila,  Kab. Bone Bolango Provinsi Gorontalo 96554</t>
  </si>
  <si>
    <t>RS Umum Daerah Tombulilato</t>
  </si>
  <si>
    <t>Jln.Trans Sulawesi Pantai selatan Km. 70 Desa Inomata Kec.Bone Raya Kab.Bone Bolango.Gorontalo</t>
  </si>
  <si>
    <t>RS Umum Daerah dr. M. Mohammad Dunda</t>
  </si>
  <si>
    <t>Jl. Achmad A. Wahab (eks Ahmad Yani No. 53) Limboto Gorontalo</t>
  </si>
  <si>
    <t>RS Umum Daerah dr. Hasri Ainun Habibie</t>
  </si>
  <si>
    <t>Jl. Ahmad A. Wahab, Kel. Dutulanaa, Kec. Limboto</t>
  </si>
  <si>
    <t>RS Bhayangkara Gorontalo</t>
  </si>
  <si>
    <t>Jl. Runi S. Kabli No.10 Kel.Hutuo Kec.Limboto Kab.Gorontalo, Provinsi Gorontalo</t>
  </si>
  <si>
    <t>RS Umum Daerah Boliyohuto</t>
  </si>
  <si>
    <t>Jl. Trans Sulawesi Kel/Desa Parungi Kec. Boliyohuto,Kabupaten Gorontalo.Provinsi Gorontalo</t>
  </si>
  <si>
    <t>Rumkit Tk.IV dr. Eddy Kounang Gorontalo</t>
  </si>
  <si>
    <t>Jl. Batu Doa Desa Tabongo Barat, Kec. Tabongo, Kab. Gorontalo</t>
  </si>
  <si>
    <t>RS Umum Daerah dr. Zainal Umar Sidiki</t>
  </si>
  <si>
    <t>Gorontalo Utara</t>
  </si>
  <si>
    <t xml:space="preserve"> Jl. Cimelati Desa Bulalo Kecamatan Kwandang, Kabupaten Gorontalo Utara, Provinsi Gorontalo</t>
  </si>
  <si>
    <t>RS Umum Daerah Tolinggula Melayani</t>
  </si>
  <si>
    <t>Jl. Trans Sulawesi Desa Tolinggula Pantai</t>
  </si>
  <si>
    <t>RS Ibu dan Anak Siti Khadidjah</t>
  </si>
  <si>
    <t>Kota Gorontalo</t>
  </si>
  <si>
    <t>Jl. Nani Wartabone No. 101, Kel. Heledulaa Selatan, Kec. Kota Timur, Kota Gorontalo, Provinsi Gorontalo</t>
  </si>
  <si>
    <t>RS Umum Daerah Prof Dr. H. Aloei Saboe</t>
  </si>
  <si>
    <t>Jl. Prof. Dr. H. Aloei Saboe, Kel. Wongkaditi, Kec. Kota Utara, Kota Gorontalo Provinsi Gorontalo</t>
  </si>
  <si>
    <t xml:space="preserve">RS Umum Daerah Otanaha </t>
  </si>
  <si>
    <t xml:space="preserve">  Jl. Rambutan No. 413 Kel. Buladu Kec. Kota Barat Kota Gorontalo Provinsi Gorontalo</t>
  </si>
  <si>
    <t>RS Multazam</t>
  </si>
  <si>
    <t>Jl. Gelatik No. 158 Kel. Heledulaa Utara, Kec. Kota Timur, Kota Gorontalo, Provinsi Gorontalo</t>
  </si>
  <si>
    <t>RS Islam</t>
  </si>
  <si>
    <t xml:space="preserve"> Jl. Prof. HB. Jassin No.457, Gorontalo</t>
  </si>
  <si>
    <t>RS Bunda</t>
  </si>
  <si>
    <t xml:space="preserve">Jl. H.B. Jassin No. 269, Kel. Wumialo, Kec. Kota Tengah, Provinsi Gorontalo. </t>
  </si>
  <si>
    <t>RS Umum Daerah Bumi Panua</t>
  </si>
  <si>
    <t>Pohuwato</t>
  </si>
  <si>
    <t>Jl. dr. Herizal Umar Desa Botubilotahu Kecamatan Marisa, Kabupaten Pohuwato, Provinsi Gorontalo</t>
  </si>
  <si>
    <t>RS Pratama Kab. Pohuwatu</t>
  </si>
  <si>
    <t>Desa Lomuli Kecamatan Lemito</t>
  </si>
  <si>
    <t>Jambi</t>
  </si>
  <si>
    <t>RS Mitra Medika Batang Hari</t>
  </si>
  <si>
    <t>Batang Hari</t>
  </si>
  <si>
    <t>Jl. Gajah Mada Kel. Teratai Kec. Muara Bulian</t>
  </si>
  <si>
    <t>RS Umum Daerah Haji Abdoel Madjid Batoe</t>
  </si>
  <si>
    <t>Jl. Prof. Dr. Sri Soedewi, SH Muara Bulian</t>
  </si>
  <si>
    <t>RS Ibu dan Anak Moelia</t>
  </si>
  <si>
    <t>Bungo</t>
  </si>
  <si>
    <t>Jl. Diponegoro RT. 13 RW. 04 Pasir Putih Muara Bungo</t>
  </si>
  <si>
    <t>RS Umum Daerah H. Hanafie</t>
  </si>
  <si>
    <t>Jl. Teuku Umar 88  Muara Bungo</t>
  </si>
  <si>
    <t>RS Kuamang Kuning</t>
  </si>
  <si>
    <t>Belum Ditetapkan</t>
  </si>
  <si>
    <t>Jl. Asahan Desa Purwasari Kecamatan Pelepat Ilir</t>
  </si>
  <si>
    <t>Jl.Lebai Hasan, Rt 06/02, Sungai Pinang, Muara Bungo</t>
  </si>
  <si>
    <t>RS Umum Daerah Rantau Ikil</t>
  </si>
  <si>
    <t>Desa Rantau Ikil Kec. Jujuhan Kab. Bungo</t>
  </si>
  <si>
    <t>RS Jabal Rahmah Medika</t>
  </si>
  <si>
    <t>Jl. RM Thaher RT. 015 RW. 005 Kel. Cadika Kec. Rimbo Tengah</t>
  </si>
  <si>
    <t>RS Ibu dan Anak Annisa</t>
  </si>
  <si>
    <t>Kota Jambi</t>
  </si>
  <si>
    <t>Jl. Kabia No.4 RT. 01 Kebun Handil</t>
  </si>
  <si>
    <t>RS Jiwa Daerah Provinsi Jambi</t>
  </si>
  <si>
    <t>Jl. Dr. Purwadi KM 9,5 Kelurahan Aur Kenali Kecamatan Telanaipura Jambi 36129</t>
  </si>
  <si>
    <t>RS Siloam Jambi</t>
  </si>
  <si>
    <t>Jl. Soekarno - Hatta Paal Merah,Jambi</t>
  </si>
  <si>
    <t>RS Umum Daerah Raden Mattaher Jambi</t>
  </si>
  <si>
    <t>Jl. Letjen Suprapto no. 31 Telanaipura Jambi</t>
  </si>
  <si>
    <t>RS Rapha Theresia</t>
  </si>
  <si>
    <t>Jl. Kardinal J Darmojuwono (Jl. Lingkar Selatan), Kel. Kenali Asam Bawah, Kec. Kota Baru</t>
  </si>
  <si>
    <t>RS Umum Santa Theresia</t>
  </si>
  <si>
    <t>Jl. Dr. Sutomo No.19 Jambi</t>
  </si>
  <si>
    <t>RS Royal Prima</t>
  </si>
  <si>
    <t>Jl. Raden Wijaya RT 35 Kebon Kopi Kec Jambi Selatan</t>
  </si>
  <si>
    <t>RS Bhayangkara Jambi</t>
  </si>
  <si>
    <t>Jl. Raden Mathaher No.03 Jambi</t>
  </si>
  <si>
    <t>RS Umum Daerah H. Abdul Manap</t>
  </si>
  <si>
    <t>Jl. SK. Rd. Syahbuddin Kel. Mayang Mangurai Kec. Alam Barajo Kota Jambi Provinsi Jambi</t>
  </si>
  <si>
    <t>RS Umum Kambang</t>
  </si>
  <si>
    <t xml:space="preserve">Jl. Kol. Amir Hamzah No. 53 Kel. Selamat Kec. Danau Sipin </t>
  </si>
  <si>
    <t>RS Islam Arafah</t>
  </si>
  <si>
    <t>Jl. Mpu Gandring No.1 Kebun Jeruk</t>
  </si>
  <si>
    <t>RS Umum Baiturahim Jambi</t>
  </si>
  <si>
    <t>Jl. Prof. M. Yamin SH, No. 30 Kel. Lebak Bandung</t>
  </si>
  <si>
    <t>RS Mitra</t>
  </si>
  <si>
    <t>Jl. Jenderal Basuki Rahmat No 77 Rt 07, Paal Lima, Kota Baru, Jambi</t>
  </si>
  <si>
    <t>RS Tk. III 02.06.01  dr. Bratanata</t>
  </si>
  <si>
    <t>Jl. Raden Mattaher No. 33,Jambi</t>
  </si>
  <si>
    <t>RS Umum Rimbo Medika</t>
  </si>
  <si>
    <t>Jalan, Kapten  Pattimura RT. 02 No. 58 kelurahan kenali besar,kecamatan Alam Barajo Kota Jambi Provinsi Jambi</t>
  </si>
  <si>
    <t>RS Umum Daerah H. Abdurrahman Sayoeti</t>
  </si>
  <si>
    <t>JL. K.H Hasan Anang No. 33 RT. 08 Kel. Olak Kemang Kec. Danau Teluk, Kota Jambi, Provinsi Jambi</t>
  </si>
  <si>
    <t>RS Umum Erni Medika</t>
  </si>
  <si>
    <t>Jl. Berlin RT 12 No.21 Kel. Talang Bakung</t>
  </si>
  <si>
    <t>RS Umum Daerah Mayjen H. A. Thalib</t>
  </si>
  <si>
    <t>Kota Sungai penuh</t>
  </si>
  <si>
    <t>Jl. Jenderal Basuki Rahmat, Desa Koto Renah, Kecamatan Pesisir Bukit, Kota Sungai Penuh, Provinsi Jambi</t>
  </si>
  <si>
    <t>RS Umum Melati</t>
  </si>
  <si>
    <t>Jln. Jendral A. Yani No. 36 ( Rumah Sakit Melati) Sungai Penuh</t>
  </si>
  <si>
    <t>RS Raudhah</t>
  </si>
  <si>
    <t>Merangin</t>
  </si>
  <si>
    <t>Jl Lintas Sumatera Km 1 Bukit Aur Bangko Jambi</t>
  </si>
  <si>
    <t>RS Umum Daerah Kolonel Abundjani/Bangko</t>
  </si>
  <si>
    <t>Jln. Kesehatan No. 20 Kelurahan Pematang Kandis Kecamatan Bangko Kabupaten Merangin Provinsi Jambi</t>
  </si>
  <si>
    <t>RS Merangin Medical Centre</t>
  </si>
  <si>
    <t>Jl. Lintas Sumatera KM. 03 Lingkungan Mensawang Kelurahan Dusun Bangko Kecamatan Bangko Kabupaten Merangin Kode Pos 37313</t>
  </si>
  <si>
    <t>RS Andimas</t>
  </si>
  <si>
    <t>Jl. Sapta Marga RT. 021 RW. 003 Kel. Pematang Kandis Kec. Bangko</t>
  </si>
  <si>
    <t>RS Umum Daerah Ahmad Ripin</t>
  </si>
  <si>
    <t>Muaro Jambi</t>
  </si>
  <si>
    <t>Jln. Lintas Timur Komp. Perkantoran Bukit Cinto Kenang. Kelurahan  Sengeti. Kecamatan  Sekernan. Kabupaten Muaro Jambi. Provinsi Jambi</t>
  </si>
  <si>
    <t>RS Umum Daerah Sungai Bahar</t>
  </si>
  <si>
    <t>Jl. Soekarno Hatta, Desa Suka Makmur, Kecamatan Sungai Bahar, Kabupaten Muaro Jambi, Provinsi Jambi</t>
  </si>
  <si>
    <t>RS Umum Daerah Sungai Gelam</t>
  </si>
  <si>
    <t>Jl. Ketaling KM. 21</t>
  </si>
  <si>
    <t>RS Umum Daerah Prof. Dr. H.  Chatib Quzwain</t>
  </si>
  <si>
    <t>Sarolangun</t>
  </si>
  <si>
    <t>Jl. Lintas Sumatera Km.09 Desa Bukit, Sarolangun</t>
  </si>
  <si>
    <t>RS Langit Golden Medika</t>
  </si>
  <si>
    <t>Jl. Lintas Sumatera KM. 02 Simpang MAN Aur Gading Sarolangun</t>
  </si>
  <si>
    <t>RS Umum Daerah KH. Daud Arif</t>
  </si>
  <si>
    <t>Tanjung Jabung Barat</t>
  </si>
  <si>
    <t>Jl. Syarif Hidayatullah, No. 14 Kuala Tungkal</t>
  </si>
  <si>
    <t>RS Umum Daerah Suryah Khairuddin</t>
  </si>
  <si>
    <t>Jl. Lintas Timur  Kec. Merlung, Kab. Tanjung Jabung Barat</t>
  </si>
  <si>
    <t>RS Umum Daerah Nurdin Hamzah</t>
  </si>
  <si>
    <t>Tanjung Jabung Timur</t>
  </si>
  <si>
    <t>Jl. WR. Supratman Kel. Parit Culum I Kec. Muara Sabak Barat Kab. Tanjung Jabung Timur Provinsi Jambi</t>
  </si>
  <si>
    <t>RS Umum Daerah Rantau Rasau</t>
  </si>
  <si>
    <t>Jl. Lintas Rantau Rasau SK 28 Desa Rantu Jaya Kode Pos 36771</t>
  </si>
  <si>
    <t>RS Umum Daerah Sultan Thaha Saifuddin</t>
  </si>
  <si>
    <t>Tebo</t>
  </si>
  <si>
    <t>Jl. Sultan Thaha Saifuddin KM. 04 Muara Tebo</t>
  </si>
  <si>
    <t>RS Umum Setia Budi</t>
  </si>
  <si>
    <t>Jl. Pahlawan RT. 001 RW. 005 Kelurahan Wirotho Agung Kecamatan Rimbo Bujang Kabupaten Tebo Provinsi Jambi Kode Pos 37553</t>
  </si>
  <si>
    <t>Jawa Barat</t>
  </si>
  <si>
    <t>RS Umum Daerah Oto Iskandar Di Nata</t>
  </si>
  <si>
    <t>Bandung</t>
  </si>
  <si>
    <t>Jl. Raya Gading Tutuka, Kp. Cingcin Kolot, RT 01 RW 17, Desa Cingcin, Kec. Soreang, Kab. Bandung, Provinsi Jawa Barat</t>
  </si>
  <si>
    <t>RS Umum Daerah Majalaya</t>
  </si>
  <si>
    <t>Jl. Raya Cipaku No.87 Majalaya Kabupaten Bandung</t>
  </si>
  <si>
    <t>RS Umum Daerah Al Ihsan Provinsi Jawa Barat</t>
  </si>
  <si>
    <t xml:space="preserve">  Jl. Ki Astramanggala Bale Endah Kab. Bandung</t>
  </si>
  <si>
    <t>RS Hermina Soreang</t>
  </si>
  <si>
    <t>Jl. Terusan Al Fathu No.9A, Sarilamping, Soreang, Kec. Soreang, Kabupaten Bandung, Jawa Barat 40911</t>
  </si>
  <si>
    <t xml:space="preserve">RS AMC </t>
  </si>
  <si>
    <t>Jl. Raya Cileunyi No.1, Cileunyi Wetan, Cileunyi, Bandung, Jawa Barat 40622</t>
  </si>
  <si>
    <t>RS Umum Daerah Cicalengka</t>
  </si>
  <si>
    <t xml:space="preserve">  Jl. H. Darham No.35 - Cikopo, Cicalengka Kab. Bandung </t>
  </si>
  <si>
    <t>RS Oetomo</t>
  </si>
  <si>
    <t>Jl. Raya Bojongsoang No. 156 RT. 003 RW. 002 Desa Lengkong Kec. Bojongsoang</t>
  </si>
  <si>
    <t>RS Unggul Karsa Medika</t>
  </si>
  <si>
    <t>Jl. Taman Kopo Indah III Blok H No. 1, Desa MekarRahayu, Kecamatan MargaAsih, Kabupaten Bandung</t>
  </si>
  <si>
    <t>RS Muhammadiyah Bandung Selatan</t>
  </si>
  <si>
    <t>Jl. Raya laswi RT. 02 RW. 12 Desa Ciheulang Kec. Ciparay</t>
  </si>
  <si>
    <t>RS Umum Daerah Bedas Tegalluar</t>
  </si>
  <si>
    <t>Jl. Rancawangi Desa Tegalluar Kec. Bojongsoang</t>
  </si>
  <si>
    <t>RS Umum Daerah Bedas Cimaung</t>
  </si>
  <si>
    <t>Jl. Raya Pengalengan Desa Cikalong, Kec. Cimaung 40374 Kab. Bandung</t>
  </si>
  <si>
    <t xml:space="preserve">RS Umum Bina Sehat </t>
  </si>
  <si>
    <t>Jl. Raya Dayeuhkolot No.325, Desa Citeureup, Kec. Dayeuhkolot, Kab. Bandung</t>
  </si>
  <si>
    <t>RS Umum Daerah Kesehatan Kerja</t>
  </si>
  <si>
    <t>Jl. Raya Rancaekek KM. 27 NO. 612 Desa Nanjungmekar Kec. Rancaekek</t>
  </si>
  <si>
    <t>RS Umum Karya Pangalengan Bhakti Sehat</t>
  </si>
  <si>
    <t>Jl. Raya Pangalengan No. 340 , Pangalengan Kab. Bandung Jawa Barat</t>
  </si>
  <si>
    <t>RS Umum Daerah Bedas Kertasari</t>
  </si>
  <si>
    <t>Jl. Raya Kertasari-Pacet, Desa Sukapura, Kecamatan Kertasari 40386 Kab. Bandung</t>
  </si>
  <si>
    <t>RS Umum Daerah Bedas Arjasari</t>
  </si>
  <si>
    <t>Jl. Raya Banjaran Barat No. 596 Desa Batukarut Kec. Arjasari</t>
  </si>
  <si>
    <t>RS Umum TNI AU Lanud Sulaiman</t>
  </si>
  <si>
    <t>JL. Terusan Kopo KM. 10 NO. 457, Kelurahan Sulaiman, Kecamatan Margahayu, Kabupaten Bandung</t>
  </si>
  <si>
    <t>RS Ibu dan Anak Graha Medika Padalarang</t>
  </si>
  <si>
    <t>Bandung Barat</t>
  </si>
  <si>
    <t xml:space="preserve">Jl. Raya Padalarang Ruko Padalarang Point No. 527 </t>
  </si>
  <si>
    <t>RS Ibu dan Anak Anugrah ALZ</t>
  </si>
  <si>
    <t>Kp. Pasirnangka RT. 002/015, Desa Batulayang, Kec. Cililin</t>
  </si>
  <si>
    <t>RS Ibu dan Anak Buah Hati</t>
  </si>
  <si>
    <t>Jl. Grand Hotel No. 66  RT. 005 RW. 006 Desa Lembang Kec. Lembang Kab. Bandung Barat</t>
  </si>
  <si>
    <t>RS Ibu dan Anak Kartini</t>
  </si>
  <si>
    <t>Jl. Letkol GA Manulang No. 46 Padalarang Bandung Barat</t>
  </si>
  <si>
    <t>RS Ibu dan Anak Parahyangan</t>
  </si>
  <si>
    <t>Jl. Parahyangan Raya No.Kav. 11, Kota Baru, Kec. Padalarang, Kab. Bandung Barat</t>
  </si>
  <si>
    <t>RS Jiwa Provinsi Jawa Barat</t>
  </si>
  <si>
    <t>Jl. Kolonel Masturi KM 7 Cisarua - Bandung Barat</t>
  </si>
  <si>
    <t>RS Umum Cahya Kawaluyan</t>
  </si>
  <si>
    <t>Jl. Parahyangan KM. 3 - Kota Baru Parahyangan Kec. Padalarang KBB</t>
  </si>
  <si>
    <t>RS Umum Daerah Cikalongwetan</t>
  </si>
  <si>
    <t>Jl. Raya Padalarang-Purwakarta No. 290 Km. 11, Desa/Kelurahan Ciptagumati, Kec. Cikalongwetan, Kab. Bandung Barat, Provinsi Jawa Barat</t>
  </si>
  <si>
    <t>RS Umum Daerah Cililin</t>
  </si>
  <si>
    <t>Jl. Cililin Kp. Cinta Karya Desa Cililin Kecamatan Cililin Kabupaten Bandung Barat Provinsi Jawa Barat 40562</t>
  </si>
  <si>
    <t>RS Umum Daerah Lembang</t>
  </si>
  <si>
    <t>Jl. Raya Lembang KM.11,4 No.11 Desa Gudang Kahuripan Kec. Lembang, Kabupaten Bandung Barat, Provinsi Jawa Barat</t>
  </si>
  <si>
    <t>RS Karisma Cimareme</t>
  </si>
  <si>
    <t>Jl. Raya Cimareme No. 235 RT. 03 RW. 01 Kec.Ngamprah</t>
  </si>
  <si>
    <t>RS Ibu dan Anak Gizar</t>
  </si>
  <si>
    <t>Bekasi</t>
  </si>
  <si>
    <t>Jl. Villa Mutiara Cikarang 1, Ruko Pasadena Blok RA No 3, 5 &amp; 6 Ciantra Kec. Cikarang Selatan Kab. Bekasi Provinsi Jawa Barat</t>
  </si>
  <si>
    <t>RS Ibu dan Anak Viola</t>
  </si>
  <si>
    <t>Jl. Pondok Ungu Permai Sektor V A1 No 22-26</t>
  </si>
  <si>
    <t>RS Ibu dan Anak Nurul Annisa</t>
  </si>
  <si>
    <t>Jl. Raya Cibarusah Rt 004/003 Desa Sukaresmi  Kec. Cikarang Selatan</t>
  </si>
  <si>
    <t>RS Eka Bekasi</t>
  </si>
  <si>
    <t>Kota Harapan Indah Blok i2-9 No. 9</t>
  </si>
  <si>
    <t>RS Umum Mitra Keluarga Cikarang</t>
  </si>
  <si>
    <t>Jl. Industri Raya 100, Lemah Abang</t>
  </si>
  <si>
    <t>RS EMC Cikarang</t>
  </si>
  <si>
    <t>Komplek Oasis Kav. 1, Jl. Raya Cikarang Cibarusah, Kelurahan Sukaresmi, Kecamatan Cikarang Selatan.</t>
  </si>
  <si>
    <t>Siloam Hospitals Lippo Cikarang</t>
  </si>
  <si>
    <t>Jl. MH Thamrin Kav.105 Bekasi</t>
  </si>
  <si>
    <t>RS Umum Hermina Grand Wisata</t>
  </si>
  <si>
    <t>Jl. Festival Boulevard Blok J AI No.1 Desa Lambang Sari Kec.Tambun Selatan Kab.Bekasi</t>
  </si>
  <si>
    <t>RS Umum Daerah Kab.Bekasi</t>
  </si>
  <si>
    <t xml:space="preserve"> Jl. Teuku Umar Cibitung,Bekasi</t>
  </si>
  <si>
    <t>RS Umum Sentra Medika</t>
  </si>
  <si>
    <t xml:space="preserve">Jl. Raya Industri Pasirgombong Cikarang </t>
  </si>
  <si>
    <t>RS Ananda Babelan</t>
  </si>
  <si>
    <t>Jl. Raya Babelan KM. 9.6 RT/RW 002/001 Kelurahan Kebalen Kecamatan Babelan</t>
  </si>
  <si>
    <t>RS DKH Cikarang Barat</t>
  </si>
  <si>
    <t>Jl. Raya Jatiwangi Ds. Cikedokan  001/001 Cikarang Barat, Kab. Bekasi Jawa Barat</t>
  </si>
  <si>
    <t>RS Umum Dokter Adam Talib</t>
  </si>
  <si>
    <t>JL. TEUKU UMAR NO. 25 CIKARANG BARAT</t>
  </si>
  <si>
    <t>RS Permata Bunda</t>
  </si>
  <si>
    <t>Blok C1 Jl. Gramapuri I No.8-10 Wanasari Cibitung Bekasi Regency 17520</t>
  </si>
  <si>
    <t>RS Umum Medirossa Cikarang</t>
  </si>
  <si>
    <t xml:space="preserve"> Jl. Industri Tegal Gede No.09, Cikarang Selatan Bekasi</t>
  </si>
  <si>
    <t>RS Mitra Keluarga Deltamas</t>
  </si>
  <si>
    <t>Jl. Deltamas Boulevard, Ds. Hegarmukti, Kecamatan Cikarang Pusat, Kabupaten Bekasi</t>
  </si>
  <si>
    <t>RS Umum Amanda</t>
  </si>
  <si>
    <t>Jl. Raya Industri No. 36 Cikarang Utara</t>
  </si>
  <si>
    <t>RS DKH Kedungwaringin</t>
  </si>
  <si>
    <t>Jl. Raya Karawang - Bekasi km.30 Ds. Bojongsari, Kec. Kedungwaringin, Kab.Bekasi, Prov.Jawa Barat</t>
  </si>
  <si>
    <t>RS Umum Tiara</t>
  </si>
  <si>
    <t>Jl. Raya Babelan No. 73 Desa Kebalen Kec. Babelan Kab. Bekasi</t>
  </si>
  <si>
    <t>RS Umum Ridhoka Salma</t>
  </si>
  <si>
    <t>Jl. Raya Imam Bonjol No 7 Cikarang Barat</t>
  </si>
  <si>
    <t>RS Umum Hosana Medica</t>
  </si>
  <si>
    <t>Jl. BIIE Utama no. 1, Lippo Cikarang, Kelurahan Cibatu, Kecamatan Cikarang Selatan, Kabupaten Bekasi Jawa Barat</t>
  </si>
  <si>
    <t>RS Umum Kartika Husada</t>
  </si>
  <si>
    <t>Jl. Raya Mangunjaya No.07 Kp.Rukem,Tambun - Bekasi</t>
  </si>
  <si>
    <t>RS Umum Bhakti Husada</t>
  </si>
  <si>
    <t>Jl. R. E. Martadinata (By Pass) Cikarang - Bekasi</t>
  </si>
  <si>
    <t>RS Umum Permata Keluarga Jababeka</t>
  </si>
  <si>
    <t xml:space="preserve">Jl. DR. Cipto Mangunkusumo Blok A Nomor  1 A Medical City Kota Jababeka </t>
  </si>
  <si>
    <t>RS Ananda Tambun Selatan</t>
  </si>
  <si>
    <t xml:space="preserve">JL. Raya Perum Jatimulya No. 1 RT/RW 008/007 Kel. Jatimulya Kec. Tambun Selatan Kab. Bekasi Prov. Jawa Barat </t>
  </si>
  <si>
    <t>RS Umum Medirossa 2</t>
  </si>
  <si>
    <t>JL Raya Serang Cibarusah No.5 Desa Sindangmulya Kecamatan Cibarusah Kab. Bekasi - 17340</t>
  </si>
  <si>
    <t>RS Cenka</t>
  </si>
  <si>
    <t>Jl.Pilar-Sukatani Desa Sukaraya Warung Pojok RT. 05 RW. 06 Kec. Karangbahagia, Kab. Bekasi, Jawa Barat 17530</t>
  </si>
  <si>
    <t>RS Amanda Cikarang Selatan</t>
  </si>
  <si>
    <t>Jln. Raya Serang No. 83 Desa Serang Kecamatan Cikarang Selatan Kabupaten Bekasi</t>
  </si>
  <si>
    <t>RS DKH Sukatani</t>
  </si>
  <si>
    <t>Jl Raya Pilar Sukatani No 9 Desa Karangsentosa, kec. Karang Bahagia, Kab. Bekasi, Jawa Barat</t>
  </si>
  <si>
    <t>RS Mitra Keluarga Grand Wisata</t>
  </si>
  <si>
    <t>Jl. Boulevard Grand Wisata, Kel. Lambangsari</t>
  </si>
  <si>
    <t>RS Umum Harapan Mulia</t>
  </si>
  <si>
    <t xml:space="preserve">Jl. Raya Cibarusah No. 5 Kebon Kopi Cibarusah Kelurahan Cibarusah Jaya, Kecamatan Cibarusah, Kabupaten Bekasi, Jawa Barat </t>
  </si>
  <si>
    <t>RS Umum Permata Keluarga Lippo Cikarang</t>
  </si>
  <si>
    <t>Jl. M.H Thamrin Kav. 129 Lippo Cikarang, Desa Cibatu, Kecamatan Cikarang Selatan, Kabupaten Bekasi</t>
  </si>
  <si>
    <t>RS Umum Karya Medika II</t>
  </si>
  <si>
    <t xml:space="preserve"> Jl. Sultan Hasanuddin No.63 Kec. Tambun Selatan</t>
  </si>
  <si>
    <t>RS Mitra Plumbon Cibitung</t>
  </si>
  <si>
    <t>Jl. H. Bosih No.117 Cibitung Kabupaten Bekasi</t>
  </si>
  <si>
    <t>RS EMC Cibitung</t>
  </si>
  <si>
    <t>Jl. Kalimantan Blok CB No.1 Kawasan Industri MM2100, Gandasari, Cikarang Barat</t>
  </si>
  <si>
    <t>RS Uni Medika Setu Bekasi</t>
  </si>
  <si>
    <t>Jl. Raya setu No.99 Desa Lubang Buaya Kec. Setu</t>
  </si>
  <si>
    <t>RS Umum Cikarang Medika</t>
  </si>
  <si>
    <t>Jl. KH. Fudholi No. 78 Cikarang Utara</t>
  </si>
  <si>
    <t>RS Umum Karya Medika</t>
  </si>
  <si>
    <t>Jl. Imam Bonjol No. 9B Kalijaya Cikarang Barat, Ka. Bekasi 17530</t>
  </si>
  <si>
    <t>RS Umum Kartika Husada Setu</t>
  </si>
  <si>
    <t>Jl. Raya Burangkeng Desa Burangkeng Rt. 001 Rw.06 Kec. Setu</t>
  </si>
  <si>
    <t>RS Hermina Metland Cibitung</t>
  </si>
  <si>
    <t>Perumahan Metland Cibitung</t>
  </si>
  <si>
    <t>RS Umum Metro Hospitals</t>
  </si>
  <si>
    <t>Jl.Anggrek I B2/2 RT 01/11 Kec Mekar Mukti</t>
  </si>
  <si>
    <t>RS dr. Abdul Radjak Jababeka</t>
  </si>
  <si>
    <t xml:space="preserve">Jl. Kasuari Raya Kav. IA &amp; 1B Cikarang Baru - Jababeka, Bekasi 17550 </t>
  </si>
  <si>
    <t xml:space="preserve">Altius Hospitals </t>
  </si>
  <si>
    <t>Jl. Harapan Indah Boulevard Sektor V Desa/Kelurahan Pusaka Rakyat Kec. Tarumajaya</t>
  </si>
  <si>
    <t>RS Umum Annisa</t>
  </si>
  <si>
    <t>Jl. Cikarang Baru No.31 Cikarang Utara Bekasi</t>
  </si>
  <si>
    <t>RS Umum Tarumajaya</t>
  </si>
  <si>
    <t>Jalan Raya Tarumajaya No. 1B RT 05 RW 01 , Desa Pantai Makmur, Kecamatan Tarumajaya, Kabupaten Bekasi, Provinsi Jawa Barat 17212</t>
  </si>
  <si>
    <t>RS Cahaya Medika</t>
  </si>
  <si>
    <t>Kampung Kebon RT. 002 RW. 01 Desa Jejalen Kec. Tambun Utara</t>
  </si>
  <si>
    <t>RS Umum dr. Abdul Radjak Cibitung</t>
  </si>
  <si>
    <t xml:space="preserve">Jl. Al-Huda, Cikarang Jati NO 61, RT.02 RW.02 Desa Sukajaya </t>
  </si>
  <si>
    <t>RS Umum Budi Asih</t>
  </si>
  <si>
    <t>Jl. Raya Serang-Cibarusah 001/001 Ds. Serang  Kec. CIkarang Kab. Bekasi</t>
  </si>
  <si>
    <t>RS Umum Daerah Cabangbungin</t>
  </si>
  <si>
    <t>Jl. Kp. Bojong RT 004/RW 001 Desa Jayalaksana Kecamatan Cabangbungin Kabupaten Bekasi</t>
  </si>
  <si>
    <t>RS Umum Dr. Iqbali Taufan</t>
  </si>
  <si>
    <t>Villa Mutiara Cikarang 2 Blok. E3 No.16-20 Sukasejati Kec. Cikarang Selatan Kab. Bekasi</t>
  </si>
  <si>
    <t>RS Umum Bunda Mulia</t>
  </si>
  <si>
    <t>Jl. Imam Bonjol No. 80A Desa Sukadanau, Kecamatan Cikarang Barat, Kabupaten Bekasi</t>
  </si>
  <si>
    <t>RS Umum Asri Medika</t>
  </si>
  <si>
    <t>Jl. Citanduy Raya L 11 No 1, Simpangan, Cikarang Utara, Kab Bekasi, Jawa Barat</t>
  </si>
  <si>
    <t>RS Umum Puspa Husada</t>
  </si>
  <si>
    <t>Jalan Pondok Timur Indah No.Km.1 No.27 Jatimulya Kec. Tambun Sel. Kabupaten Bekasi, Jawa Barat 17157, Indonesia</t>
  </si>
  <si>
    <t>RS Umum Pinna</t>
  </si>
  <si>
    <t>Jl. Raya KarangSatria No:4-5 RT/RW :002/006 Tambun Utara 17511 Kabupaten Bekasi. Jawa Barat</t>
  </si>
  <si>
    <t>RS Ibu dan Anak Kenari Graha Medika</t>
  </si>
  <si>
    <t>Bogor</t>
  </si>
  <si>
    <t>Griya Kenari Mas Blok B2 Cileungsi Bogor</t>
  </si>
  <si>
    <t>RS Ibu dan Anak Citra Insani</t>
  </si>
  <si>
    <t>Jl. Raya Parung No.242 Lebakwangi, Pemagarsari - Bogor</t>
  </si>
  <si>
    <t>RS Ibu dan Anak Assalam</t>
  </si>
  <si>
    <t>Jl. Raya Bogor KM 46,7 Nanggewer Mekar Cibinong Bogor</t>
  </si>
  <si>
    <t>RS Paru Dr. M. Goenawan Partowidigdo</t>
  </si>
  <si>
    <t>Rumah Sakit Khusus Paru</t>
  </si>
  <si>
    <t>Jl. Raya Puncak KM. 83 Kotak Pos 28, Cisarua - Bogor 16750</t>
  </si>
  <si>
    <t>RS Umum Daerah Ciawi</t>
  </si>
  <si>
    <t>Jl. Raya Puncak 479 Ciawi Bogor</t>
  </si>
  <si>
    <t>RS Eka Hospital</t>
  </si>
  <si>
    <t>Perum Kota Wisata Kav. V2, Desa Nagrak, Kec. Gunung Putri Kab. Bogor</t>
  </si>
  <si>
    <t>RS Umum Daerah Cileungsi</t>
  </si>
  <si>
    <t xml:space="preserve"> Jl. Raya Cileungsi - Jonggol KM. 10 Cipeucang, Kecamatan Cileungsi</t>
  </si>
  <si>
    <t>RS Umum Sentra Medika Cibinong</t>
  </si>
  <si>
    <t>Jl. Mayor Oking Jaya Atmaja No.9 Bogor</t>
  </si>
  <si>
    <t>RS EMC Sentul</t>
  </si>
  <si>
    <t>Jl. MH. Thamrin Kav. 57 Sentul City, Bogor 16810</t>
  </si>
  <si>
    <t>RS Umum Daerah Leuwiliang</t>
  </si>
  <si>
    <t>Jl. Raya Cibeber - Leuwiliang Bogor</t>
  </si>
  <si>
    <t>RS Umum Daerah Cibinong</t>
  </si>
  <si>
    <t>JL. KSR Dadi Kusmayadi No. 27 Cibinong Bogor</t>
  </si>
  <si>
    <t xml:space="preserve">RS Islam Aysha </t>
  </si>
  <si>
    <t>Perumahan Acropolis RT. 006 RW. 018 Blok MF Kel. Karadenan Kec. Cibinong Kab. Bogor 16913</t>
  </si>
  <si>
    <t>RS Umum Rumah Sehat Terpadu Dompet Dhuafa</t>
  </si>
  <si>
    <t>Jl. Raya Parung KM 42 Bogor</t>
  </si>
  <si>
    <t>RS Pena 98</t>
  </si>
  <si>
    <t>Jl. Pemuda No. 36 RT 001 RW 007 Desa Pengasinan Kecamatan Gunung Sindur Kabupaten Bogor Provinsi Jawa Barat.</t>
  </si>
  <si>
    <t>RS Umum Family Medical Center</t>
  </si>
  <si>
    <t>Jl. Raya Bogor Km.51 Ciluar, Bogor</t>
  </si>
  <si>
    <t>RS Umum Permata Jonggol</t>
  </si>
  <si>
    <t>Jl.Raya Jonggol No. 1A, Sukamanah, Kecamatan Jonggol Kabupaten Bogor Jawa Barat</t>
  </si>
  <si>
    <t>RS Sentosa</t>
  </si>
  <si>
    <t>Jl. Raya Kemang No. 18 Desa Pondok Udik Kec. Kemang Kab. Bogor</t>
  </si>
  <si>
    <t>RS Umum Trimitra</t>
  </si>
  <si>
    <t>Jl. Raya Jakarta Bogor Km.43, Kelurahan Pabuaran, Kecamatan Cibinong -  Kabupaten Bogor, ProvinsiÂ Jawa Barat</t>
  </si>
  <si>
    <t>RS Umum Bina Husada</t>
  </si>
  <si>
    <t>Jl. Mayor Oking Jaya Atmaja KM1 No.101 Cibinong - Bogor</t>
  </si>
  <si>
    <t>RS Helsa Citeureup</t>
  </si>
  <si>
    <t>Jl. Mayor Oking Jaya Atmaja No. 92A, Ds. Karang Asem Barat, Kec. Citeureup</t>
  </si>
  <si>
    <t>RS Paragon</t>
  </si>
  <si>
    <t>Kp. Kamurang RT 002 RW 006 Kelurahan Puspanegara Kec. Citeureup</t>
  </si>
  <si>
    <t>RS Harapan Sehati</t>
  </si>
  <si>
    <t>Jl. Raya Tegar Beriman Kp. Pondok Manggis RT. 01 RW. 04 Kel. Bojong Baru Kec. Bojong Gede Kab Bogor</t>
  </si>
  <si>
    <t>RS Hermina Ciawi</t>
  </si>
  <si>
    <t>Jl. Kampung Gadog, RT. 001 RW. 003, Desa Pandansari, Kec. Ciawi</t>
  </si>
  <si>
    <t>RS Umum Hermina Mekarsari</t>
  </si>
  <si>
    <t>Jl Raya Cileungsi Jonggol Km 1 Cileungsi Kab Bogor</t>
  </si>
  <si>
    <t>JL. Raya Karanggan No. 02 Puspasari, Citeureup Bogor</t>
  </si>
  <si>
    <t>RS dr. Abdul Radjak Cileungsi</t>
  </si>
  <si>
    <t>Jl. Raya Narogong Km.16, Limus Nunggal Cileungsi, Bogor</t>
  </si>
  <si>
    <t>RS Asysyifaa</t>
  </si>
  <si>
    <t>Jl. Raya Leuwiliang Cibeber 1 Kab Bogor 16640</t>
  </si>
  <si>
    <t>RS Umum Mary Cileungsi Hijau</t>
  </si>
  <si>
    <t>Jl. Raya Narogong Km 21 Cileungsi Bogor</t>
  </si>
  <si>
    <t>RS Umum Citama</t>
  </si>
  <si>
    <t>Jl. Raya Pabuaran No. 52 Bogor</t>
  </si>
  <si>
    <t>RS Umum Karya Bhakti Pratiwi</t>
  </si>
  <si>
    <t>Jl. Raya Dramaga KM. 7 Bogor</t>
  </si>
  <si>
    <t>RSAU Dr. M. Hassan Toto</t>
  </si>
  <si>
    <t>Jl. Sardjio No. 1  Kel. Atang Senjaya Kec. Kemang</t>
  </si>
  <si>
    <t>RS Khusus Orthopedi RSOP Ciamis</t>
  </si>
  <si>
    <t>Ciamis</t>
  </si>
  <si>
    <t>Jl. Raya Ciamis Banjar KM 7 No. 341 RT 16 RW 06 Desa Cijeungjing Kec Cijeungjing</t>
  </si>
  <si>
    <t>RS Umum Daerah Kab. Ciamis</t>
  </si>
  <si>
    <t xml:space="preserve">   Jl. Rumah Sakit No.76 Ciamis</t>
  </si>
  <si>
    <t>RS Umum Dadi Keluarga Ciamis</t>
  </si>
  <si>
    <t>Jl. RE. Martadinata Nomor 333-335 Baregbeg, Ciamis</t>
  </si>
  <si>
    <t>RS Umum Daerah Kawali</t>
  </si>
  <si>
    <t>Jl. Raya Kawali Cirebon Nomor 37, Desa Winduraja, Kec. Kawali</t>
  </si>
  <si>
    <t>RS Umum Permata Bunda</t>
  </si>
  <si>
    <t>Jl. Mr. Iwa Kusumasomantri No.1 Ciamis</t>
  </si>
  <si>
    <t>RS Umum Al-Arif</t>
  </si>
  <si>
    <t xml:space="preserve"> Jl. R.E. Martadinata No.158, Baregbeg - Ciamis</t>
  </si>
  <si>
    <t>RS Umum Daerah Sayang</t>
  </si>
  <si>
    <t>Cianjur</t>
  </si>
  <si>
    <t>Jl. Rumah Sakit No.1 Cianjur</t>
  </si>
  <si>
    <t xml:space="preserve">RS Umum Dr. Hafiz </t>
  </si>
  <si>
    <t>Jln. Pramuka No. 15 RT 003 RW 002 Desa Sukamulya Kecamtan Karangtengah Kabupaten Cianjur</t>
  </si>
  <si>
    <t xml:space="preserve">RS Edelweiss Bentang Salapan </t>
  </si>
  <si>
    <t>Jl. Raya Bandung RT. 001/RW. 011, Desa Bojong, Kec. Karangtengah</t>
  </si>
  <si>
    <t>RS Umum Daerah Cimacan</t>
  </si>
  <si>
    <t>Jl. Raya Cimacan No.17, Cianjur</t>
  </si>
  <si>
    <t>RS Umum Daerah Pagelaran</t>
  </si>
  <si>
    <t>JL.Raya Pagelaran No 18 Desa Pagelaran Kec. Pagelaran Kab. Cianjur 43266</t>
  </si>
  <si>
    <t>RS Umum Daerah Sindangbarang</t>
  </si>
  <si>
    <t>Jl. Raya Sindangbarang-Cidaun KM. 01 Desa Saganten Kec. Sindangbarang</t>
  </si>
  <si>
    <t>RS Bhayangkara Cianjur</t>
  </si>
  <si>
    <t>Jl. Suroso Nomor. 21,  Kel. Pamoyanan, Kec. Cianjur, Kab. Cianjur, Prov. Jawa Barat.</t>
  </si>
  <si>
    <t>RS Jantung Hasna Medika</t>
  </si>
  <si>
    <t>Cirebon</t>
  </si>
  <si>
    <t>Jl. Raden Gilap No 8 Palimanan, Kabupaten Cirebon</t>
  </si>
  <si>
    <t>RS Paru Provinsi Jawa Barat</t>
  </si>
  <si>
    <t xml:space="preserve">  Jl. Pangeran Kejaksan PO.BOX 4 Desa Sidawangi, Kecamatan Sumber Kab. Cirebon</t>
  </si>
  <si>
    <t>RS Umum Permata Cirebon</t>
  </si>
  <si>
    <t>Jl. Tuparev No.117 Cirebon</t>
  </si>
  <si>
    <t>RS Umum Mitra Plumbon</t>
  </si>
  <si>
    <t>Jl. Raya Plumbon Km.11 Cirebon</t>
  </si>
  <si>
    <t>RS Umum Daerah Waled</t>
  </si>
  <si>
    <t xml:space="preserve"> Jl. Prabu Kiansantang No. 4 Waled, Cirebon</t>
  </si>
  <si>
    <t>RS Umum Daerah Arjawinangun</t>
  </si>
  <si>
    <t>Jl. By Pass Palimanan - Jakarta KM. 2 No. 1  Arjawinangun</t>
  </si>
  <si>
    <t>Jl. Urip Sumoharjo No.5 Ciwaringin, Kab. Cirebon</t>
  </si>
  <si>
    <t>Sentra Medika Hospital Gempol</t>
  </si>
  <si>
    <t>Jl. KH. Agus Salim Blok Ketipa Desa Kedungbunder</t>
  </si>
  <si>
    <t>RS Umum Khalishah</t>
  </si>
  <si>
    <t>Jl. Dr. Setia Budi No.8 Desa Pegagan Kecamatan Palimanan, Kabupaten Cirebon, Provinsi Jawa Barat</t>
  </si>
  <si>
    <t>RS Pertamina Cirebon</t>
  </si>
  <si>
    <t>Jl. Patra Raya Klayan No 1 Cirebon</t>
  </si>
  <si>
    <t>RS Umum Universitas Muhammadiyah Cirebon</t>
  </si>
  <si>
    <t>Jl. KH. Wahid Hasyim No. 8 Desa Mertapeda Wetan, Kec. Astanajapura Kab. Cirebon 45181 Provinsi Jawa Barat</t>
  </si>
  <si>
    <t>RS Umum Sumber Hurip</t>
  </si>
  <si>
    <t>Jl. Rd. Dewi Sartika No. 15 Kel. Tukmudal, Kecamatan Sumber, Kabupaten Cirebon, Provinsi Jawa Barat</t>
  </si>
  <si>
    <t>RS Pasar Minggu Cirebon</t>
  </si>
  <si>
    <t xml:space="preserve">Jl. Ki Ageng Tepak Desa Semplo Kecamatan Palimanan </t>
  </si>
  <si>
    <t>RS Umum Daerah dr. Slamet Garut</t>
  </si>
  <si>
    <t>Garut</t>
  </si>
  <si>
    <t>Jl. Rumah Sakit No.12 RT 001 RW 001 Desa Sukakarya, Kecamatan Tarogong Kidul Kabupaten Garut, Provinsi Jawa Barat</t>
  </si>
  <si>
    <t>RS Umum Tk. IV Guntur</t>
  </si>
  <si>
    <t>Jl. Bratayuda No. 101 Kelurahan Kota Kulon Kecamatan Garut Kota Kabupaten Garut Provinsi Jawa Barat</t>
  </si>
  <si>
    <t>RS Umum Daerah Pameungpeuk Prov. Jabar</t>
  </si>
  <si>
    <t xml:space="preserve">Jl. Raya Miramareu No 99 Desa Sirnabakti Kec. Pameungpeuk </t>
  </si>
  <si>
    <t>RS Umum Intan Husada</t>
  </si>
  <si>
    <t>Jl. Suherman Nomor 72 Desa Tarogong Kec. Tarogong Kidul Kabupaten Garut 44151 Provinsi Jawa Barat</t>
  </si>
  <si>
    <t>RS Umum Daerah Malangbong</t>
  </si>
  <si>
    <t>Jl Raya Malangbong - Ciawi Kp Cinagka RT 01 RW 07 Desa Sukamanah Kec Malangbong Garut</t>
  </si>
  <si>
    <t>RS Medina</t>
  </si>
  <si>
    <t>Jl. Raya Wanaraja No. 500 RT. 004 RW. 008 Desa Cinunuk Kecamatan Wanaraja Kabupaten Garut Provinsi Jawa Barat 44183</t>
  </si>
  <si>
    <t>RS Umum Nurhayati Cikajang</t>
  </si>
  <si>
    <t>Jl. Raya Cikajang RT 005 RW 001, Kel. Girijaya, Kec. Cikajang</t>
  </si>
  <si>
    <t>RS Umum Annisa Queen</t>
  </si>
  <si>
    <t>Jln. Jenderal Sudirman No 208 Desa Suci Kaler Kecamatan Karangpawitan Kab. Garut</t>
  </si>
  <si>
    <t>RS Umum Nurhayati Garut</t>
  </si>
  <si>
    <t>Jl. Jendral Sudirman No. 6 RT. 05 RW. 05 Desa Suci Kecamatan Karangpawitan Kabupaten Garut Provinsi Jawa Barat Indonesia</t>
  </si>
  <si>
    <t>RS Ibu dan Anak Irhamna Indramayu</t>
  </si>
  <si>
    <t>Indramayu</t>
  </si>
  <si>
    <t>Jl. Raya Terusan No. 01, Kel. Terusan, Kec. Sindang, Kab. Indramayu, Prov. Jawa Barat</t>
  </si>
  <si>
    <t>RS Mitra Plumbon Indramayu</t>
  </si>
  <si>
    <t>Jl. By Pass Jalan Baru Desa Ujungaris Kec. Widasari Kab. Indramayu</t>
  </si>
  <si>
    <t>RS Umum Daerah Kab. Indramayu</t>
  </si>
  <si>
    <t>Jl. Murah Nara No. 7 Sindang Indramayu</t>
  </si>
  <si>
    <t>RS Sentra Medika Langut</t>
  </si>
  <si>
    <t>Jln. Raya Langut No. 100 Desa Langut Kecamatan Lohbener</t>
  </si>
  <si>
    <t>RS Umum Bhayangkara Indramayu</t>
  </si>
  <si>
    <t xml:space="preserve"> Jl. Raya Pantura Km.73-75 Losarang - Indramayu</t>
  </si>
  <si>
    <t>RS Mitra Plumbon Patrol</t>
  </si>
  <si>
    <t>Jl. Raya Patrol Blok Ranca Ketileng Desa  Patrol Baru</t>
  </si>
  <si>
    <t>RS Umum Daerah M. A. Sentot Patrol</t>
  </si>
  <si>
    <t>Jl. Raya Patrol Km. 46 Patrol Kab. Indramayu</t>
  </si>
  <si>
    <t>RS Umum Daerah Mursid Ibnu Syafiuddin</t>
  </si>
  <si>
    <t>Jl. Raya Krangkeng KM.28 Indramayu Provinsi Jawa Barat Kode Pos 45284</t>
  </si>
  <si>
    <t>RS Islam Zam-Zam Muhammadiyah Jatibarang</t>
  </si>
  <si>
    <t>Jl. Letnan Joni 1231, Desa Jatibarang Baru, Kecamatan Jatibarang, Kabupaten Indramayu, Provinsi Jawa Barat</t>
  </si>
  <si>
    <t>RS Umum MM Indramayu</t>
  </si>
  <si>
    <t>Jl. Let.Jend Soeprapto No. 292 Indramayu</t>
  </si>
  <si>
    <t>RS Syahid Al Irsyad</t>
  </si>
  <si>
    <t>Jl. Jendral Sudirman No. 240 Cipancuh Kec.Haurgeulis  - Indramayu</t>
  </si>
  <si>
    <t>RS Umum Pertamina Balongan Indramayu</t>
  </si>
  <si>
    <t>Jl. Bumi Patra No. 1 Komplek Perum Pertamina Indramayu.</t>
  </si>
  <si>
    <t>RS Ibu dan Anak Dr. Djoko Pramono</t>
  </si>
  <si>
    <t>Karawang</t>
  </si>
  <si>
    <t>Jl. Panatayuda I No.35, Karawang</t>
  </si>
  <si>
    <t>RS Umum Lira Medika</t>
  </si>
  <si>
    <t>Jl. Syech Quro No.14, Palumbonsari - Lamaran, Karawang</t>
  </si>
  <si>
    <t>RS Umum Daerah Karawang</t>
  </si>
  <si>
    <t xml:space="preserve"> Jl. Galuh Mas Raya No.1, Sukaharja, Teluk Jambe, Karawang</t>
  </si>
  <si>
    <t>RS Umum Mitra Family</t>
  </si>
  <si>
    <t>Jl. Raya Galuh Mas RT/RW 002/005, Desa Sukaharja, Kecamatan Teluk Jambe Timur</t>
  </si>
  <si>
    <t>RS Umum Dewi Sri</t>
  </si>
  <si>
    <t xml:space="preserve"> Jl. Arif Rahman Hakim No. 1 A Karawang</t>
  </si>
  <si>
    <t>RS Umum Izza</t>
  </si>
  <si>
    <t>Jl. Berlian Raya Ciselang, Cikampek Utara, Kec. Kota Baru, Karawang, Jawa Barat 41374</t>
  </si>
  <si>
    <t>RS Umum Daerah Jatisari Kabupaten Karawang</t>
  </si>
  <si>
    <t>Jl. Raya Jatisari Desa Jatisari Kec. Jatisari Kab. Karawang</t>
  </si>
  <si>
    <t>RS Hastien</t>
  </si>
  <si>
    <t>Cikangkung Barat II RT.007 RW.002 Desa Rengasdengklok Utara, Kecamatan Rengasdengklok</t>
  </si>
  <si>
    <t>RS Primaya Karawang</t>
  </si>
  <si>
    <t>Jl. Arteri Galuh Mas Kav. Komersial Galuh Mas Blok 10, Desa Puseurjaya Kec. Telukjambe Timur</t>
  </si>
  <si>
    <t>RS Umum Citra Sari Husada</t>
  </si>
  <si>
    <t xml:space="preserve">Jl. Raya Kosambi -Telaga Sari Km.3 Klari, Karawang </t>
  </si>
  <si>
    <t>RS Umum Islam Karawang</t>
  </si>
  <si>
    <t>Jl. Pangkal Perjuangan KM.2, Karawang</t>
  </si>
  <si>
    <t>RS Hermina Karawang</t>
  </si>
  <si>
    <t>Jl. Tuparev Sukasari Kel. Karawang Wetan Kec. Karawang Timur Karawang</t>
  </si>
  <si>
    <t>RS Umum Proklamasi</t>
  </si>
  <si>
    <t>Jl. Raya Proklamasi KM. 2 Rengasdengklok, Karawang</t>
  </si>
  <si>
    <t>RS Permata Keluarga Karawang</t>
  </si>
  <si>
    <t>Jl. Raya Galuh Mas Blok VI A No. 1</t>
  </si>
  <si>
    <t>RS Umum Helsa</t>
  </si>
  <si>
    <t>Jln. Ir. H. Juanda No 123 Cikampek Karawang</t>
  </si>
  <si>
    <t>RS Umum Mandaya</t>
  </si>
  <si>
    <t>Jl. Arteri Tol Karawang  Barat Teluk jambe Karawang</t>
  </si>
  <si>
    <t>RS Umum Puri Asih</t>
  </si>
  <si>
    <t>Jl. Raya Jatisari No. 3 Jatisari Karawang</t>
  </si>
  <si>
    <t>RS Umum Bayukarta</t>
  </si>
  <si>
    <t>Jl. Kertabumi No.44 Karawang</t>
  </si>
  <si>
    <t>RS Umum Fikri Medika</t>
  </si>
  <si>
    <t>Jl. Raya Kosambi - Telagasari KM 03 Klari Karawang</t>
  </si>
  <si>
    <t>RS Umum Karya Husada</t>
  </si>
  <si>
    <t>Jl. Jend. A.Yani No.98 Cikampek Karawang</t>
  </si>
  <si>
    <t>RS Umum Amanda Mitra Keluarga</t>
  </si>
  <si>
    <t>Jl. Raya Buahaseum  Desa Karya Mukti  Kec. Lemahabang Wadas Kab. Karawang</t>
  </si>
  <si>
    <t>RS Umum Rosela</t>
  </si>
  <si>
    <t xml:space="preserve">Jl. Interchange Tol Karawang Barat No.3 Karawang Jawa barat </t>
  </si>
  <si>
    <t>RS Umum SAN Medical Center</t>
  </si>
  <si>
    <t>Jl. A. Yani No 16, Dusun: Sentul, Desa: Cikampek Selatan, Kecamatan: Cikampek, Kabupaten: Karawang, Provinsi: Jawa Barat</t>
  </si>
  <si>
    <t>RS Umum Saraswati</t>
  </si>
  <si>
    <t>Jl. Jend. Ahmad Yani No.27, Cikampek, Kab. Karawang</t>
  </si>
  <si>
    <t>RS Umum Delima Asih Sisma Medika</t>
  </si>
  <si>
    <t>Jl. Wirasaba No.54, Johar - Karawang</t>
  </si>
  <si>
    <t>RS Umum Sentral Medika</t>
  </si>
  <si>
    <t>Jl.Raya Cikalongsari No.42. Jatisari. Kab.Karawang</t>
  </si>
  <si>
    <t>RS Khusus Bedah Halmahera Siaga</t>
  </si>
  <si>
    <t>Kota Bandung</t>
  </si>
  <si>
    <t>Jl. LL RE Martadinata No. 28 Kota Bandung</t>
  </si>
  <si>
    <t>RS Khusus Gigi dan Mulut UNPAD</t>
  </si>
  <si>
    <t>Jl. Sekeloa Selatan I Bandung</t>
  </si>
  <si>
    <t>RS Khusus Gigi dan Mulut Kota Bandung</t>
  </si>
  <si>
    <t xml:space="preserve">  Jl. L.L.R.E Martadinata 45 Bandung</t>
  </si>
  <si>
    <t>RS Gigi dan Mulut Maranatha</t>
  </si>
  <si>
    <t>Jl. Prof. drg. Suria Sumantri, MPH. No.65 Bandung</t>
  </si>
  <si>
    <t>RS Khusus Ginjal Ny. R. A. Habibie</t>
  </si>
  <si>
    <t>Rumah Sakit Khusus Ginjal</t>
  </si>
  <si>
    <t>Jl. Tubagus Ismail No. 46 Kota Bandung</t>
  </si>
  <si>
    <t>RS Ibu dan Anak Limijati</t>
  </si>
  <si>
    <t>Jl. LLRE. Martadinata No. 39 Kota Bandung</t>
  </si>
  <si>
    <t xml:space="preserve">RS Ibu dan Anak Melinda </t>
  </si>
  <si>
    <t>Jl. Pajajaran No.46 Kel Pasirkaliki, Kec. Cicendo, Kota Bandung</t>
  </si>
  <si>
    <t xml:space="preserve">RS Ibu dan Anak Al Islam </t>
  </si>
  <si>
    <t xml:space="preserve">Jl. Awibitung No. 29-31 Kelurahan Cicadas Kecamatan Cibeunying Kidul </t>
  </si>
  <si>
    <t>RS Ibu dan Anak Harapan Bunda Bandung</t>
  </si>
  <si>
    <t>Jl. Pluto Raya Blok C Margahayu Raya, Buah Batu, Kota Bandung</t>
  </si>
  <si>
    <t>RS Ibu dan Anak Grha Bunda</t>
  </si>
  <si>
    <t>Jl. Terusan Jakarta No. 15-17 Kec. Kiaracondong kota Bandung</t>
  </si>
  <si>
    <t>RS Khusus Jantung dan Pembuluh Darah Melinda Cardio Vascular Center</t>
  </si>
  <si>
    <t>Jl. Dr. Cipto No. 11,  RT 004 RW 002 Kel. Pasirkaliki Kec. Cicendo</t>
  </si>
  <si>
    <t>RS Jantung dan Pembuluh Darah Paramarta</t>
  </si>
  <si>
    <t>Jl. Soekarno Hatta No. 581 Bandung 42075</t>
  </si>
  <si>
    <t>RS Khusus Mata Cicendo</t>
  </si>
  <si>
    <t>Jl. Cicendo No.4 Bandung</t>
  </si>
  <si>
    <t>RS Mata Bandung Eye Center</t>
  </si>
  <si>
    <t>Jl. Buah Batu No.147 Kel. Turangga Kec. Lengkong Kota Bandung 40265 -6.9377070, 107.6238201</t>
  </si>
  <si>
    <t>RS Paru Dr. H. A. Rotinsulu</t>
  </si>
  <si>
    <t>Jl. Bukit Jarian No. 40 Bandung</t>
  </si>
  <si>
    <t>RS Umum Pusat Dr. Hasan Sadikin</t>
  </si>
  <si>
    <t>Jl. Pasteur No. 38 Bandung</t>
  </si>
  <si>
    <t>RS Umum Santosa Hospital Bandung Kopo</t>
  </si>
  <si>
    <t xml:space="preserve"> Jl. K.H. Wahid Hasyim (Kopo) No. 461-463 Bandung</t>
  </si>
  <si>
    <t>RS Umum Santosa Hospital Bandung Central</t>
  </si>
  <si>
    <t>Jl. Kebon Jati No.38,Bandung</t>
  </si>
  <si>
    <t xml:space="preserve">RS Umum Hermina Pasteur </t>
  </si>
  <si>
    <t>Jl. Dr. Djundjunan No.107 Kota Bandung</t>
  </si>
  <si>
    <t>RSU Bhayangkara Tk. II Sartika Asih</t>
  </si>
  <si>
    <t>Jl. Moch. Toha No. 369 Bandung</t>
  </si>
  <si>
    <t>RS Umum Al-Islam Bandung</t>
  </si>
  <si>
    <t>Jl. Soekarno. Hatta 644 Bandung</t>
  </si>
  <si>
    <t>RS Umum Santo Borromeus</t>
  </si>
  <si>
    <t>Jl. Ir. H. Juanda  No.100</t>
  </si>
  <si>
    <t>RS Umum Advent Bandung</t>
  </si>
  <si>
    <t>Jl. Cihampelas No. 161 Bandung</t>
  </si>
  <si>
    <t>RS Umum Daerah Kota Bandung</t>
  </si>
  <si>
    <t xml:space="preserve">  Jalan Rumah Sakit No. 22, Kelurahan Pakemitan, Kec. Cinambo</t>
  </si>
  <si>
    <t>RS Umum Daerah Bandung Kiwari</t>
  </si>
  <si>
    <t>Jl. KH. Wahid Hasyim No. 311 Bandung</t>
  </si>
  <si>
    <t>RS Umum Immanuel Bandung</t>
  </si>
  <si>
    <t>Jl. Kopo 161 Bandung</t>
  </si>
  <si>
    <t>RSAU dr. M. Salamun</t>
  </si>
  <si>
    <t>Jl. Ciumbuleuit 203 Bandung</t>
  </si>
  <si>
    <t>RS Umum Mayapada Hospital Bandung</t>
  </si>
  <si>
    <t>Jl. Terusan Buah Batu No.5, Batununggal, Kec. Bandung Kidul, Kota Bandung</t>
  </si>
  <si>
    <t>RS Umum Rajawali</t>
  </si>
  <si>
    <t>Jl. Rajawali No.38  Rt 005 / Rw 010, Kelurahan Maleber, Kecamatan Andir, Kota Bandung 40184</t>
  </si>
  <si>
    <t>RS Murni Teguh Naripan Bandung</t>
  </si>
  <si>
    <t>Jl. Naripan No. 89 RT. 001 RW. 004 Kel. Kebon Pisang Kec. Sumur Bandung</t>
  </si>
  <si>
    <t>RS Pasundan</t>
  </si>
  <si>
    <t>Jl. Haji Wasid No. 1 RT. 008 RW. 007 Kel. Lebak Gede Kec. Coblong</t>
  </si>
  <si>
    <t>RS Umum Pindad</t>
  </si>
  <si>
    <t>Jl. Gatot Soebroto No. 517 Kel. Sukapura Kec. Kiaracondong</t>
  </si>
  <si>
    <t>RS Edelweiss</t>
  </si>
  <si>
    <t>Jl. Soekarno Hatta No. 550 Kel. Sekejati Kec. Buahbatu</t>
  </si>
  <si>
    <t>RS Umum Kebonjati</t>
  </si>
  <si>
    <t>Jl. Kebonjati No. 152  Kel. Kebon Jeruk Kec. Andir kota Bandung</t>
  </si>
  <si>
    <t>RS Umum Melinda 2</t>
  </si>
  <si>
    <t>Jl. Dr. Cipto No.1 Bandung</t>
  </si>
  <si>
    <t>RS Umum Hermina Arcamanik</t>
  </si>
  <si>
    <t>Jl. A.H. Nasution No. 50 Antapani Kota Bandung</t>
  </si>
  <si>
    <t>RS Umum Muhammadiyah</t>
  </si>
  <si>
    <t>Jl. K.H. Ahmad Dahlan No.53 Bandung</t>
  </si>
  <si>
    <t>RS Umum Santo Yusup</t>
  </si>
  <si>
    <t>Jl. Cikutra No. 7 Kota Bandung</t>
  </si>
  <si>
    <t>RS Umum Humana Prima</t>
  </si>
  <si>
    <t>Jl. Rancabolang No. 21 Kel. Manjahlega Kec. Rancasari Kota Bandung</t>
  </si>
  <si>
    <t>RS Umum Tk. IV 03.07.03 Sariningsih</t>
  </si>
  <si>
    <t>Jl. L. L. R.E. Martadinata No.09, Kel.Citarum, Kec. Bandung Wetan, Kota Bandung, Jawa Barat 40115</t>
  </si>
  <si>
    <t>Jl. Pahlawan No. 48  Kel. Neglasari  Kec. Cibeunying Kaler Kota Bandung Propinsi Jawa Barat 40124</t>
  </si>
  <si>
    <t>RS Umum Bungsu</t>
  </si>
  <si>
    <t>Jl. Veteran No. 6 Bandung</t>
  </si>
  <si>
    <t>RS Umum Daerah Banjar</t>
  </si>
  <si>
    <t>Kota Banjar</t>
  </si>
  <si>
    <t xml:space="preserve">  Jl. Rumah Sakit No. 5 Kota Banjar</t>
  </si>
  <si>
    <t>RS Umum Mitra Idaman</t>
  </si>
  <si>
    <t>Jl. Sudiro W No.57 Kota Banjar</t>
  </si>
  <si>
    <t>RS Umum Banjar Patroman</t>
  </si>
  <si>
    <t>Jl. Stadion Patroman Kav. III No. 3 Kota Banjar</t>
  </si>
  <si>
    <t>RS Umum Daerah Asih Husada Langensari</t>
  </si>
  <si>
    <t>Jl. Pahlawan No. 25 Lingk. Babakan Kel. Muktisari Kec. Langensari</t>
  </si>
  <si>
    <t>RS Ibu dan Anak Rinova Intan</t>
  </si>
  <si>
    <t>Kota Bekasi</t>
  </si>
  <si>
    <t>Jl. Raya Seroja No. 101 Harapan Jaya</t>
  </si>
  <si>
    <t>RS Ibu dan Anak Selasih Medika</t>
  </si>
  <si>
    <t>Jl. Bintara Raya No. 05 Rt 002 Rw 005 Kel. Bintara Kec. Bekasi Barat Kota Bekasi Provinsi Jawa Barat Kode Pos 17134</t>
  </si>
  <si>
    <t>RS Umum Mitra Keluarga Bekasi</t>
  </si>
  <si>
    <t>Jl. Jend. Ahmad Yani - Kayuringin Jaya, Bekasi</t>
  </si>
  <si>
    <t>Jl. HM. Joyomartono RT 003 RW 021 Kelurahan Margahayu Kecamatan Bekasi Timur Kota Bekasi.</t>
  </si>
  <si>
    <t>RS Umum Permata Cibubur</t>
  </si>
  <si>
    <t>Jl. Alternatif Cibubur - Cileungsi No. 6A, Kec. Jati Sampurna, Bekasi</t>
  </si>
  <si>
    <t>RS Umum Daerah dr. Chasbullah Abdulmadjid</t>
  </si>
  <si>
    <t>Jl. Pramuka No. 55 Bekasi</t>
  </si>
  <si>
    <t>RS Umum Mitra Keluarga Bekasi Timur</t>
  </si>
  <si>
    <t xml:space="preserve">JL. Pengasinan, Rawa Semut, Margahayu Bekasi Timur </t>
  </si>
  <si>
    <t>RS Umum Ananda</t>
  </si>
  <si>
    <t>Jl. Sultan Agung No. 173, Kec. Medan Satria - Kota Bekasi.</t>
  </si>
  <si>
    <t>RS Primaya Bekasi Barat</t>
  </si>
  <si>
    <t>Jl. KH. Noer Alie Kav. 17-18 (Kalimalang), Kel. Kayuringin Jaya, Kec. Bekasi Selatan</t>
  </si>
  <si>
    <t>RS Umum Hermina Bekasi</t>
  </si>
  <si>
    <t>Jl. Kemakmuran No.39 Margajaya Bekasi</t>
  </si>
  <si>
    <t>RS CItra Arafiq Bekasi</t>
  </si>
  <si>
    <t>Jl. Macem Sumur Batu RT.004 RW.001 Kel. Cikiwul Kec. Bantar Gebang-Kota Bekasi</t>
  </si>
  <si>
    <t>RS Umum Masmitra</t>
  </si>
  <si>
    <t xml:space="preserve"> Jl. Kelurahan Jati Makmur No.40, Pondok Gede Kota Bekasi</t>
  </si>
  <si>
    <t>RS Umum Permata Bekasi</t>
  </si>
  <si>
    <t xml:space="preserve"> Jl. Legenda Raya No. 9 Mustika Jaya, Bekasi</t>
  </si>
  <si>
    <t>RS Umum Karya Medika Bantar Gebang</t>
  </si>
  <si>
    <t>Jl. Raya Narogong km. 11 Pangkalan 1A, Bantar Gebang Bekasi</t>
  </si>
  <si>
    <t>Jl. Raya Jatiasih No.72 Jatiasih-Bekasi</t>
  </si>
  <si>
    <t>RS Helsa</t>
  </si>
  <si>
    <t xml:space="preserve">Jl. Raya Hankam No. 17 Pondok Melati Kota Bekasi </t>
  </si>
  <si>
    <t>RS Umum Juwita</t>
  </si>
  <si>
    <t>Jl. M. Hasibuan No.78, Bekasi Timur</t>
  </si>
  <si>
    <t>RS Dokter Adam Talib Cikunir</t>
  </si>
  <si>
    <t>Jl. Cikunir Raya dh/H. Napiah No.8, RT 006/RW 003 Jakamulya, Kec. Bekasi Selatan. Kota Bekasi Jawa Barat 17146</t>
  </si>
  <si>
    <t>RS Siloam Bekasi Sepanjang Jaya</t>
  </si>
  <si>
    <t xml:space="preserve">Jl. Pramuka No. 12 Rt. 004 Rw. 002 Kel. Sepanjang Jaya Kec. Rawalumbu Bekasi </t>
  </si>
  <si>
    <t>RS Umum Bhakti Kartini</t>
  </si>
  <si>
    <t>Jl. R.A. Kartini No. 11 Bekasi</t>
  </si>
  <si>
    <t>RS Umum Anna Medika</t>
  </si>
  <si>
    <t>Jl. Raya Perjuangan No.45, RT.003/RW.003, Harapan Baru, Kec. Bekasi Utara, Kota Bekasi, Jawa Barat (17123)</t>
  </si>
  <si>
    <t>RS Karunia Kasih</t>
  </si>
  <si>
    <t xml:space="preserve"> Jl. Raya Jatiwaringin No.133, Pd Gede Bekasi</t>
  </si>
  <si>
    <t>RS Siloam Sentosa</t>
  </si>
  <si>
    <t xml:space="preserve"> Jl. Pahlawan No. 60, Duren Jaya Bekasi</t>
  </si>
  <si>
    <t>RS Umum Rawa Lumbu</t>
  </si>
  <si>
    <t>Jl. Dasa Darma Kav 20-23, Kelurahan Bojong Rawa Lumbu, Kecamatan Rawa Lumbu, Kota Bekasi, Provinsi Jawa Barat</t>
  </si>
  <si>
    <t>RS Umum Citra Harapan</t>
  </si>
  <si>
    <t xml:space="preserve">Jl.Raya Harapan Indah Kawasan Sentra Niaga No. 3-5 Harapan Indah Pejuang, Medan Satria Kota Bekasi </t>
  </si>
  <si>
    <t>RS Mekar Sari</t>
  </si>
  <si>
    <t>Jl. Mekar Sari No. 1 Bekasi</t>
  </si>
  <si>
    <t>RS Primaya Bekasi Utara</t>
  </si>
  <si>
    <t>Villa Indah Permai Golden City Blok G No. 1 Teluk Pucung Bekasi Utara</t>
  </si>
  <si>
    <t>RS Umum Graha Juanda</t>
  </si>
  <si>
    <t>Jl. IR. H. Juanda No. 326, Bekasi Timur</t>
  </si>
  <si>
    <t>RS Umum Taman Harapan Baru</t>
  </si>
  <si>
    <t>Jl. Kaliabang Tengah No. 2 RT 004 / RW 023 Kel. Pejuang Kec. Medan Satria - kota bekasi 17131</t>
  </si>
  <si>
    <t>RS Mitra Keluarga Pratama</t>
  </si>
  <si>
    <t>Jl. Raya Jatimekar Kel. Jatimekar Kec. Jatiasih Kota Bekasi</t>
  </si>
  <si>
    <t>RS Umum Jati Sampurna</t>
  </si>
  <si>
    <t>Jl. Rawa Dolar RT. 003 RW. 007 Kel. Jatiraden Kec. Jatisampurna</t>
  </si>
  <si>
    <t>RS Umum Hermina Galaxy</t>
  </si>
  <si>
    <t>jl. Gardenia Raya Blok BA I No.11 Grand Galaxy City Bekasi</t>
  </si>
  <si>
    <t>RS Siloam Bekasi Timur</t>
  </si>
  <si>
    <t>Jl. Charil Anwar Blu Plaza No 27, RT. 004 RW. 09 Kelurahan Margahayu Kecamatan Bekasi Timur</t>
  </si>
  <si>
    <t>RS Umum Bella</t>
  </si>
  <si>
    <t>Jl. Ir. H .Juanda No. 141, Bekasi</t>
  </si>
  <si>
    <t>RS Umum St. Elisabeth</t>
  </si>
  <si>
    <t>Jl. Raya Narogong 202 KM.5,Kemang Pratama,Kel. BojongRawa Lumbu, Kec. Rawa Lumbu, Kota Bekasi.</t>
  </si>
  <si>
    <t>RS EMC Pekayon</t>
  </si>
  <si>
    <t>Jl. Pulo Ribung RT. 001 RW. 021 Kelurahan Pekayon Jaya Kecamatan Bekasi Selatan Kota Bekasi</t>
  </si>
  <si>
    <t>RS Umum Mitra Keluarga Cibubur</t>
  </si>
  <si>
    <t>Jl. Alternatif  Transyogi, Cibubur</t>
  </si>
  <si>
    <t>RS Umum Satria Medika</t>
  </si>
  <si>
    <t>Jl. Raya Bantar Gebang Setu No 119 Kel Padurenan Kec Mustika Jaya</t>
  </si>
  <si>
    <t>RS Umum Anna</t>
  </si>
  <si>
    <t>Jalan Pekayon Raya No 36, Kelurahan Jaka Setia, Kecamatan Bekasi Selatan, Kota Bekasi, Provinsi Jawa Barat</t>
  </si>
  <si>
    <t>RS umum Daerah Teluk Pucung</t>
  </si>
  <si>
    <t>Jl. Lingkar Utara RT 002 RW 006 Kelurahan Teluk Pucung Kecamatan Bekasi Utara Kota Bekasi Provinsi Jawa Barat</t>
  </si>
  <si>
    <t>RS Seto Hasbadi</t>
  </si>
  <si>
    <t>JL. Raya Seroja No. 19 Harapan Jaya, Bekasi Utara, Kota Bekasi, Jawa Barat, 17124</t>
  </si>
  <si>
    <t>RS Umum Daerah Jatisampurna</t>
  </si>
  <si>
    <t>Jl. Raya Pasar Kranggan No. 26 RT 01 RW 04 Kelurahan Jatisampurna Kecamatan Jatisampurna Kota Bekasi Provinsi Jawa Barat 17433</t>
  </si>
  <si>
    <t>RS Emhaka</t>
  </si>
  <si>
    <t>Jln. Taman Harapan Baru Raya, Blok R1, No. 20</t>
  </si>
  <si>
    <t>RS Mustika Medika Bekasi</t>
  </si>
  <si>
    <t>Jalan Kelapa Dua no 110 RT 07 RW 08 Kelurahan Padurenan Kecamatan Mustikajaya Kota Bekasi</t>
  </si>
  <si>
    <t>RS Umum Islam dr. Subki Abdulkadir</t>
  </si>
  <si>
    <t>Jl. R.A. Kartini No.66,Bekasi</t>
  </si>
  <si>
    <t>RS Umum Daerah Bantar Gebang</t>
  </si>
  <si>
    <t xml:space="preserve">Jl. Raya Siliwangi KM 10 Rt 04 Rw 04 Kel. Bantar Gebang Kota Bekasi </t>
  </si>
  <si>
    <t>RS Paramedika</t>
  </si>
  <si>
    <t>Jl. Raya Kali Abang Tengah RT. 003/031 Kelurahan Pejuang, Kec. Medan Satria</t>
  </si>
  <si>
    <t>RS Umum Daerah Pondokgede</t>
  </si>
  <si>
    <t>Jl. Raya Jatiwaringin 1 RT 01 RW 11 Kel. Jatiwaringin Kec. Pondok gede</t>
  </si>
  <si>
    <t>RS Ibu dan Anak Pasutri</t>
  </si>
  <si>
    <t>Kota Bogor</t>
  </si>
  <si>
    <t>Jl. Merak No.3 Tanah Sareal Kota Bogor</t>
  </si>
  <si>
    <t>RS Ibu dan Anak Bunda Suryatni</t>
  </si>
  <si>
    <t>Jl. KH. Sholeh Iskandar No,21 Tanah Sareal Kota Bogor</t>
  </si>
  <si>
    <t>RS Ibu dan Anak Sawojajar</t>
  </si>
  <si>
    <t>Jl. Sawojajar No, 9 Bogor Tengah Kota Bogor</t>
  </si>
  <si>
    <t>RS Jiwa dr. H. Marzoeki Mahdi</t>
  </si>
  <si>
    <t>Jl. dr. Sumeru No.114 Kota Bogor</t>
  </si>
  <si>
    <t>RS Umum PMI Bogor</t>
  </si>
  <si>
    <t>Jl. Raya Pajajaran No. 80 Bogor</t>
  </si>
  <si>
    <t>RS Umum Daerah Kota Bogor</t>
  </si>
  <si>
    <t>Jl. DR. Sumeru No.120, Kota Bogor, Jawa Barat</t>
  </si>
  <si>
    <t>RS Umum Hermina Bogor</t>
  </si>
  <si>
    <t>Jl. Ring Road I Kav. 23,25,27 Perum Taman Yasmin Bogor</t>
  </si>
  <si>
    <t>Bogor Senior Hospital</t>
  </si>
  <si>
    <t>Jl. Raya Tajur No. 168 Muarasari Bogor</t>
  </si>
  <si>
    <t>RS Umum Islam Bogor</t>
  </si>
  <si>
    <t>Jl. Perdana Raya No.22, Tanah Sareal, Kota Bogor</t>
  </si>
  <si>
    <t>RS Umum Nuraida</t>
  </si>
  <si>
    <t>Jl. Achmad Sobana No. 105 Kelurahan Tegal Gundil Kecamatan Bogor Utara Kota Bogor</t>
  </si>
  <si>
    <t>RS Umum Medika Dramaga</t>
  </si>
  <si>
    <t>Jl. Raya Dramaga Km.7,3 Margajaya-Bogor Barat-Kota Bogor</t>
  </si>
  <si>
    <t>RS Umum Melania</t>
  </si>
  <si>
    <t>Jl. Pahlawan No.91, Kota Bogor</t>
  </si>
  <si>
    <t>RS Umum Salak</t>
  </si>
  <si>
    <t>Jl. Jend Sudirman No. 8 Kota Bogor</t>
  </si>
  <si>
    <t>RS Umum Azra</t>
  </si>
  <si>
    <t>Jl. Raya Pajajaran No.219, Bogor Utara Kota Bogor</t>
  </si>
  <si>
    <t>RS Umum Mulia Pajajaran</t>
  </si>
  <si>
    <t>Jl. Raya Pajajaran No. 98, Bantarjati - Bogor Utara, Kota Bogor</t>
  </si>
  <si>
    <t>RS Umum Ummi</t>
  </si>
  <si>
    <t>Jl. Empang II No. 2 Bogor Selatan Kota Bogor</t>
  </si>
  <si>
    <t>RS Umum Juliana</t>
  </si>
  <si>
    <t>Jl. Raya Tajur No. 75 Bogor Timur Kota Bogor</t>
  </si>
  <si>
    <t>RS Graha Medika Bogor</t>
  </si>
  <si>
    <t>Jl. KH Abdullah Bin Nuh No. 2</t>
  </si>
  <si>
    <t>RS Umum Siloam Hospitals Bogor</t>
  </si>
  <si>
    <t>Jl. Pajajaran No. 27 Bogor Tengah, Kota Bogor</t>
  </si>
  <si>
    <t>Mayapada Hospital Bogor</t>
  </si>
  <si>
    <t>Jl. Pajajaran Indah V No.97, Bogor Timur Kota Bogor</t>
  </si>
  <si>
    <t>RS Umum Vania</t>
  </si>
  <si>
    <t>JL. Siliwangi No. 11, Kel. Sukasari, Kec. Bogor Timur Kota Bogor</t>
  </si>
  <si>
    <t>RS Umum Bhayangkara Tk. IV Bogor</t>
  </si>
  <si>
    <t>Jl. Kapten Muslihat No. 18 Paledang Bogor Tengah Kota Bogor</t>
  </si>
  <si>
    <t>RS Gigi dan Mulut Pendidikan Unjani</t>
  </si>
  <si>
    <t>Kota Cimahi</t>
  </si>
  <si>
    <t xml:space="preserve">Jl. Encep Kartawiria no. 88 Kel. Citeureup Kec. Cimahi Utara </t>
  </si>
  <si>
    <t>RS Umum Tk. II Dustira</t>
  </si>
  <si>
    <t xml:space="preserve">Jl. dr. Dustira No.1 Kel. Baros Kec. Cimahi Tengah </t>
  </si>
  <si>
    <t>RS Umum Daerah Cibabat</t>
  </si>
  <si>
    <t xml:space="preserve"> Jl. Jend. H. Amir Machmud No. 140 Kel. Cibabat Kec. Cimahi Utara</t>
  </si>
  <si>
    <t>RS Umum Mitra Anugrah Lestari</t>
  </si>
  <si>
    <t xml:space="preserve"> Jl. Cibaligo No.76, Kel. Cigugur Tengah Kec. Cimahi Tengah </t>
  </si>
  <si>
    <t>RS Umum Avisena</t>
  </si>
  <si>
    <t>Jl. Melong 170 RT 04 RW 05 Kelurahan Melong, Kecamatan Cimahi Selatan, Kota Cimahi, JAWA BARAT</t>
  </si>
  <si>
    <t>RS Umum Kasih Bunda</t>
  </si>
  <si>
    <t>Jl. Mahar Martanegara No.166 Kel. Baros Kec. Cimahi Tengah</t>
  </si>
  <si>
    <t>RS Umum Mitra Kasih</t>
  </si>
  <si>
    <t>Jl. Jend.Amir Machmud No.341 Kel. Cigugur Tengah Kec. Cimahi Tengah Kota Cimahi</t>
  </si>
  <si>
    <t>RS Umum Baros</t>
  </si>
  <si>
    <t>Jl. Raya Baros No.E46 RT. 01 RW. 15, Kelurahan Baros, Kecamatan Cimahi Tengah, Kota Cimahi 40521, Provinsi Jawa Barat</t>
  </si>
  <si>
    <t>Kota Cirebon</t>
  </si>
  <si>
    <t>Jl. Raya Perjuangan No. 8 Cirebon</t>
  </si>
  <si>
    <t>RS Umum Daerah Gunung Jati</t>
  </si>
  <si>
    <t>Jl. Kesambi No. 56 Cirebon 45134</t>
  </si>
  <si>
    <t>RS Umum Tk. III Ciremai</t>
  </si>
  <si>
    <t>Jl. Kesambi No. 237 Cirebon</t>
  </si>
  <si>
    <t>RS Umum Putera Bahagia</t>
  </si>
  <si>
    <t>Jl. Ciremai Raya No 114 Perumnas Cirebon</t>
  </si>
  <si>
    <t>RS Umum Panti Abdi Dharma</t>
  </si>
  <si>
    <t>Jl. Pulasaren No.07 Cirebon 45114</t>
  </si>
  <si>
    <t>RS Umum Medimas</t>
  </si>
  <si>
    <t>Jl. Evakuasi No. 116 Cirebon Kelurahan Karyamulya, Kecamatan Kesambi, Kota Cirebon, Provinsi Jawa Barat</t>
  </si>
  <si>
    <t>RS Umum Pelabuhan Cirebon</t>
  </si>
  <si>
    <t>Jl. Sisingamangaraja No.45 Cirebon 45112</t>
  </si>
  <si>
    <t>RS Umum Sumber Kasih</t>
  </si>
  <si>
    <t>Jl. Siliwangi No.135 Cirebon</t>
  </si>
  <si>
    <t>RS Umum Budi Asta</t>
  </si>
  <si>
    <t>Jl. Kalitanjung No.51, Kec. Harjamukti, Kel. Harjamukti, Kota Cirebon, Jawa Barat</t>
  </si>
  <si>
    <t>Jl. Dr. Wahidin Sudirohusodo No.79 Cirebon</t>
  </si>
  <si>
    <t>RS Ibu dan Anak Setya Bhakti</t>
  </si>
  <si>
    <t>Kota Depok</t>
  </si>
  <si>
    <t>Jl. Raya Bogor KM.30 Kel. Mekarsari Kec. Cimanggis</t>
  </si>
  <si>
    <t>RS Ibu dan Anak Tumbuh Kembang</t>
  </si>
  <si>
    <t>Jl. Raya Bogor Km.31 No.23 Cimanggis Kota Depok</t>
  </si>
  <si>
    <t>RS Ibu dan Anak Asyifa Depok</t>
  </si>
  <si>
    <t>Jl.Raya Depok - Cinere No 09, Rkp. Jaya Baru, Depok</t>
  </si>
  <si>
    <t>RS Jantung Diagram</t>
  </si>
  <si>
    <t>Jl. Cinere Raya No.19</t>
  </si>
  <si>
    <t>RS Universitas Indonesia</t>
  </si>
  <si>
    <t>Jl. Prof. Dr. Bahder Djohan, Kampus Universitas Indonesia Depok</t>
  </si>
  <si>
    <t xml:space="preserve"> Jl. Raya Bogor KM. 33 Cisalak, Sukmajaya, Depok</t>
  </si>
  <si>
    <t>RS Umum Puri Cinere</t>
  </si>
  <si>
    <t>Jl. Maribaya No.1 Puri Cinere,Kelurahan Pangkalan Jati, Kecamatan Cinere, Kota Depok, Provinsi Jawa Barat</t>
  </si>
  <si>
    <t>RS Umum Meilia</t>
  </si>
  <si>
    <t>Jl. Alternatif Cibubur KM. 1, Kel. Harjamukti, Cimanggis, Kota Depok</t>
  </si>
  <si>
    <t>RS Umum Hermina Depok</t>
  </si>
  <si>
    <t>Jl. Raya Siliwangi No. 50 Pancoran Mas Depok</t>
  </si>
  <si>
    <t>Jl. Kartini No. 2 RT. 001 RW. 009 Kelurahan Depok Kecamatan Pancoran Mas</t>
  </si>
  <si>
    <t>RS Umum Citra Arafiq Sawangan</t>
  </si>
  <si>
    <t>Jl. Kemang Dalam RT 003 RW 004 Kel. Duren Seribu Kec. Bojongsari Kota Depok</t>
  </si>
  <si>
    <t>RS Umum Anak Negeri Hospital</t>
  </si>
  <si>
    <t>Jl. Raya Keadilan No. 16 Kp. Rawa Denok RT/RW 04/12 Kel. Rangkapan Jaya Baru, Kec. Pancoran Mas</t>
  </si>
  <si>
    <t>RS Umum Bunda Margonda</t>
  </si>
  <si>
    <t>Jl. Margonda Raya No.28 RT002 RW003 Kelurahan Pondok Cina Kecamatan Beji , Depok - Jawa Barat</t>
  </si>
  <si>
    <t>RS Primaya Depok</t>
  </si>
  <si>
    <t>Jl. H. Dimun Raya RT.001 RW.024 Sukamaju Kec. Cilodong</t>
  </si>
  <si>
    <t>RS Umum Citra Medika Depok</t>
  </si>
  <si>
    <t>Jl. Raya Kalimulya No. 68, RT 6 RW 7, Kel. Kalimulya Kec. Cilodong</t>
  </si>
  <si>
    <t>RS Umum Daerah Khidmat Sehat Afiat Kota Depok</t>
  </si>
  <si>
    <t xml:space="preserve">Jl. Raya Muchtar No. 99 Sawangan </t>
  </si>
  <si>
    <t>RS Umum Simpangan Depok</t>
  </si>
  <si>
    <t>Jl. Raya Bogor Km.36 , Kel. Sukamaju, Kec. Cilodong, Depok 16414, Jawa Barat</t>
  </si>
  <si>
    <t>RS Umum Mitra Keluarga Depok</t>
  </si>
  <si>
    <t>Jl. Margonda Raya, Pancoran Mas, Depok, Jawa Barat</t>
  </si>
  <si>
    <t>RS Umum Tugu Ibu</t>
  </si>
  <si>
    <t>Jl. Raya Bogor Km 29 Cimanggis - Depok</t>
  </si>
  <si>
    <t>RS Umum Daerah Anugerah Sehat Afiat</t>
  </si>
  <si>
    <t>Jl. Raya Tapos, RT 005 RW 004, Kel. Cimpaeun, Kec. Tapos</t>
  </si>
  <si>
    <t>RS Umum Hasanah Graha Afiah</t>
  </si>
  <si>
    <t>Jl. Raden Saleh No.42 (Studio Alam TVRI) Depok</t>
  </si>
  <si>
    <t>RS Umum Bhakti Yudha</t>
  </si>
  <si>
    <t>Jl. Raya Sawangan No. 2A Depok</t>
  </si>
  <si>
    <t>RS Umum Bhayangkara Brimob</t>
  </si>
  <si>
    <t>JL Komjen Pol. M Yasin, Kelapadua, Cimanggis</t>
  </si>
  <si>
    <t>RS Umum Citra Arafiq</t>
  </si>
  <si>
    <t xml:space="preserve">Jl. Perindustrian Raya No.53 Baktijaya Sukmajaya </t>
  </si>
  <si>
    <t>RS Umum Grha Permata Ibu</t>
  </si>
  <si>
    <t>Jl. KH. M. Usman No 168 Kukusan Depok</t>
  </si>
  <si>
    <t>RS Umum Permata Depok</t>
  </si>
  <si>
    <t>Jl. Raya Muchtar No.22 Sawangan</t>
  </si>
  <si>
    <t>RS Umum Brawijaya Bojongsari</t>
  </si>
  <si>
    <t>Jl. Raya Parung Ciputat RT 002 RW 002 Bojongsari  Baru, Bojongsari, Kota Depok, Jawa Barat 16516</t>
  </si>
  <si>
    <t>RS Umum Daerah R. Syamsudin, SH</t>
  </si>
  <si>
    <t>Kota Sukabumi</t>
  </si>
  <si>
    <t>Jl. Rumah Sakit No. 1 Kota Sukabumi</t>
  </si>
  <si>
    <t>RS Umum Assyifa Sukabumi</t>
  </si>
  <si>
    <t>Jl. Jend Sudirman No. 3 Kel. Gunungpuyuh Kec. Gunungpuyuh Kota Sukabumi</t>
  </si>
  <si>
    <t>RS Umum Bhayangkara Setukpa Lemdikpol</t>
  </si>
  <si>
    <t>Jl. Aminta Azmali No. 59A Kota Sukabumi</t>
  </si>
  <si>
    <t>RS Umum Kartika Kasih</t>
  </si>
  <si>
    <t xml:space="preserve"> Jl. Jenderal Ahmad Yani No.18A, Kota Sukabumi</t>
  </si>
  <si>
    <t>RS Umum Daerah Al-Mulk</t>
  </si>
  <si>
    <t xml:space="preserve"> Jl. Pelabuhan 2 KM 6 Lembursitu, Kecamatan Lembursitu, Kota Sukabumi Provinsi Jawa Barat</t>
  </si>
  <si>
    <t>RS Umum Ridogalih</t>
  </si>
  <si>
    <t>Jl. Gudang No. 24 Sukabumi</t>
  </si>
  <si>
    <t>RS Ibu dan Anak Widaningsih</t>
  </si>
  <si>
    <t>Kota Tasikmalaya</t>
  </si>
  <si>
    <t>Jl. Sutisna Senjaya No.130, Cikalang, Kec. Tawang, Kota. Tasikmalaya, Jawa Barat 46113</t>
  </si>
  <si>
    <t>RS Ibu dan Anak Sayang Bunda</t>
  </si>
  <si>
    <t>Jln. Sukalaya 1 No 22 Kel. Argasari Kec. Cihideung Kota Tasikmalaya 46122,  Jawa Barat</t>
  </si>
  <si>
    <t>RS Ibu dan Anak Ummi</t>
  </si>
  <si>
    <t>Jl. Paseh No. 10 Tuguraja Cihideung Kota Tasikmalaya</t>
  </si>
  <si>
    <t>RS Ibu dan Anak Bunda Aisyah</t>
  </si>
  <si>
    <t>Jl. RE. Martadinata No. 200 B Cipedes Kota Tasikmalaya</t>
  </si>
  <si>
    <t>RS Ibu dan Anak dr. Hj. Karmini EH</t>
  </si>
  <si>
    <t>Jl.RSU No 56-58 Kel. Kahuripan Kec. Tawang Kota Tasikmalaya Provinsi Jawa Barat</t>
  </si>
  <si>
    <t>RS Jantung dan Pembuluh Darah Tasikmalaya</t>
  </si>
  <si>
    <t>Jl. Moch. Hatta, Kp. Kalangsari RT.001/RW.020, Desa/Kelurahan Sukamanah, Kec. Cipedes</t>
  </si>
  <si>
    <t>RS Umum Daerah dr. Soekardjo</t>
  </si>
  <si>
    <t xml:space="preserve"> Jl. Rumah Sakit 33 Tasikmalaya, Kel. Empangsari, Kec. Tawang, Kota Tasikmalaya, Provinsi Jawa Barat.</t>
  </si>
  <si>
    <t>RS Umum Jasa Kartini</t>
  </si>
  <si>
    <t xml:space="preserve">Jalan Otto Iskandardinata No. 15 Kel. Empangsari Kec. Tawang </t>
  </si>
  <si>
    <t>RS Umum Tasik Medika Citratama (TMC)</t>
  </si>
  <si>
    <t xml:space="preserve">Jl. K.H.Z. Mustofa No. 310 Kel. Tuguraja Kec. Cihideung </t>
  </si>
  <si>
    <t>RS Umum Prasetya Bunda</t>
  </si>
  <si>
    <t>Jl. Ir. H. Juanda No.1 RT03/RW03, Kelurahan Panyingkiran, Kecamatan Indihiang, Kota Tasikmalaya, Provinsi Jawa Barat, 46411</t>
  </si>
  <si>
    <t>Jl. HR. Wasita Kusumah No. 1 Indihiang Kota Tasikmalaya</t>
  </si>
  <si>
    <t>RS Hermina Tasikmalaya</t>
  </si>
  <si>
    <t>Jl. Ir H. Juanda No. 7A RT. 03 RW. 14 Kel. Cipedes Kec Cipedes 46133</t>
  </si>
  <si>
    <t>Rumah Sakit Umum Daerah Dewi Sartika</t>
  </si>
  <si>
    <t>Jalan Cibeuti Kelurahan Talagasari Kecamatan Kawalu Tasikmalaya</t>
  </si>
  <si>
    <t>RS Umum Islam Hj. Siti Muniroh</t>
  </si>
  <si>
    <t xml:space="preserve">Jl. Tamansari No 228 Kelurahan Mulyasari Kecamatan Tamansari </t>
  </si>
  <si>
    <t>RS Umum Syifa Medina</t>
  </si>
  <si>
    <t>Jl. Bantar No. 15A Kelurahan Argasari Kecamatan Cihideung Kota Tasikmalaya</t>
  </si>
  <si>
    <t>RS Jantung Hasna Medika Kuningan</t>
  </si>
  <si>
    <t>Kuningan</t>
  </si>
  <si>
    <t>Jl. Raya Cigugur Lingkungan Manis RT. 030 RW. 011 Kecamatan Cigugur</t>
  </si>
  <si>
    <t>RS Umum Daerah 45 Kuningan</t>
  </si>
  <si>
    <t>Jl. Jendral Sudirman No. 68 Kuningan</t>
  </si>
  <si>
    <t>RS Umum KMC Luragung</t>
  </si>
  <si>
    <t>Dusun Rahayu RT.002/001 Desa Cirahayu Kec. Luragung Kab. Kuningan</t>
  </si>
  <si>
    <t>RS Umum Kuningan Medical Center</t>
  </si>
  <si>
    <t>Jl.R.E. Martadinata No. 1 Kertawangunan Kec. Sindangagung Kab. Kuningan</t>
  </si>
  <si>
    <t>RS Umum Sekar Kamulyan</t>
  </si>
  <si>
    <t>Jl. Rumah Sakit No. 28 Kec.  Cigugur Kab. Kuningan</t>
  </si>
  <si>
    <t>RS Umum Wijaya Kusumah</t>
  </si>
  <si>
    <t>Jl. RE Martadinata No. 172 Kab. Kuningan</t>
  </si>
  <si>
    <t>RS Permata Kuningan</t>
  </si>
  <si>
    <t>Jl. Cut Nyak Dien RT. 007 RW. 002, kelurahan Cijoho, Kecamatan Kuningan, Kabupaten Kuningan,  Provinsi Jawa - Barat. 45513</t>
  </si>
  <si>
    <t>RS Umum Daerah Linggajati Kuningan</t>
  </si>
  <si>
    <t>Jln. Raya Bandorasa Wetan - Cilimus No.36 Kec.Cilimus  Kab. Kuningan</t>
  </si>
  <si>
    <t>RS Umum Juanda</t>
  </si>
  <si>
    <t>Jl. Ir. H. Juanda No.207, Purwawinangun, Kec. Kuningan, Kabupaten Kuningan, Jawa Barat 45511</t>
  </si>
  <si>
    <t>RS Pradipa Medika</t>
  </si>
  <si>
    <t>JL. CARACAS-MANDIRANCAN NO. 144 RT/RW 012/003 DESA CARACAS, KECAMATAN CILIMUS, KABUPATEN KUNINGAN, PROVINSI JAWA BARAT</t>
  </si>
  <si>
    <t>RS Umum El-Syifa</t>
  </si>
  <si>
    <t>Jl. RE. Martadinata No.108, Desa Ancaran, Kecamatan Kuningan, Kabupaten Kuningan, Provinsi Jawa Barat</t>
  </si>
  <si>
    <t>RS Bedah Budi Kasih</t>
  </si>
  <si>
    <t>Majalengka</t>
  </si>
  <si>
    <t>Jl. Raya Siliwangi Panyingkiran Km.7 No.84 Kel. Karyamukti Kec. Panyingkiran Kab. Majalengka Prov. Jawa Barat</t>
  </si>
  <si>
    <t>RS Umum Daerah Cideres</t>
  </si>
  <si>
    <t>Jl. Raya Cideres  - Kadipaten No. 180 Desa Bojong Cideres Kecamatan Dawuan Kabupaten Majalengka 45453</t>
  </si>
  <si>
    <t>RS Umum Livasya</t>
  </si>
  <si>
    <t>Jl. Raya Timur III No.875, Dawuan, Kec. Dawuan, Kabupaten Majalengka, Jawa Barat 45453</t>
  </si>
  <si>
    <t>RS Mitra Plumbon Majalengka</t>
  </si>
  <si>
    <t>Jl. Raya Barat Pasar Prapatan No. 109  Desa Panjalin Kidul Kec. Sumberjaya , Kab. Majalengka 45455</t>
  </si>
  <si>
    <t>RS Umum Daerah Majalengka</t>
  </si>
  <si>
    <t xml:space="preserve"> Jl. Kesehatan No.77 Majalengka</t>
  </si>
  <si>
    <t>RS Umum Daerah Talaga</t>
  </si>
  <si>
    <t>Jl. Raya Majalengka-Cikijing, Blok Cipeucang I Desa Talaga Wetan, Kecamatan Talaga</t>
  </si>
  <si>
    <t>RS Umum Daerah Pandega Pangandaran</t>
  </si>
  <si>
    <t>Pangandaran</t>
  </si>
  <si>
    <t>Jl. Merdeka Desa Pananjung Kecamatan Pangandaran Kabupaten Pangandaran Kode Pos 46396</t>
  </si>
  <si>
    <t>RS Ibu dan Anak Dian</t>
  </si>
  <si>
    <t>Purwakarta</t>
  </si>
  <si>
    <t>Jl. Raya Cibogo Hilir, Kp. Sukasari, RT/RW 004/002 Ds. Cibogohilir, Kec. Plered, Kab. Purwakarta, Provinsi Jawa Barat, 41162.</t>
  </si>
  <si>
    <t>RS Umum Siloam Purwakarta</t>
  </si>
  <si>
    <t>Jl. Bungursari No.1, Purwakarta</t>
  </si>
  <si>
    <t>RS Umum Daerah Bayu Asih</t>
  </si>
  <si>
    <t>Jl. Veteran No. 39 Purwakarta</t>
  </si>
  <si>
    <t>RS Umum dr. Abdul Radjak Purwakarta</t>
  </si>
  <si>
    <t>Jl. Raya Bungur Sari No. 36 Purwakarta</t>
  </si>
  <si>
    <t>RS Umum Amira</t>
  </si>
  <si>
    <t>Jl. Ipik Gandamanah RT 35 / 03 Munjul Jaya Kab. Purwakarta</t>
  </si>
  <si>
    <t>RS Umum Asri Purwakarta</t>
  </si>
  <si>
    <t>Jl. Veteran No. 15</t>
  </si>
  <si>
    <t>RS Umum Holistic Purwakarta</t>
  </si>
  <si>
    <t>Jl. Terusan Kapten Halim KM.09 Salamulya, Pondoksalam, Purwakarta</t>
  </si>
  <si>
    <t>RS Umum Bhakti Husada II Purwakarta</t>
  </si>
  <si>
    <t>Jl. Raya Sadang-Subang KM 5 RT 01/01 Cikumpay Campaka Purwakarta</t>
  </si>
  <si>
    <t>RS Umum Rama Hadi</t>
  </si>
  <si>
    <t>Jl.Raya Sadang - Subang RT 17/04 Desa Ciwangi Kec. Bungursari Kab. Purwakarta</t>
  </si>
  <si>
    <t>RS Umum Karina Medika</t>
  </si>
  <si>
    <t>JL Baru Kp. Krajan RT 31 RW 09 Desa Maracang  Kec. Babakancikao Kab. Purwakarta  41151</t>
  </si>
  <si>
    <t>RS Khusus Ibu dan Anak Grha Mutiara</t>
  </si>
  <si>
    <t>Subang</t>
  </si>
  <si>
    <t>Jl. Brigjen Katamso No. 4 Subang  41212 Kp. Sukawening RT. 62 RW. 20 Kelurahan Cigadung Kecamatan Subang Kabupaten Subang Provinsi Jawa Barat</t>
  </si>
  <si>
    <t>RS Umum Daerah Subang</t>
  </si>
  <si>
    <t xml:space="preserve"> Jl. Brigjen Katamso No. 37  Subang</t>
  </si>
  <si>
    <t>RS Rayhan</t>
  </si>
  <si>
    <t>Jl. Raya Sadang - Subang KM 17 ,Desa Wantilan, Kecamatan Cipeundeuy, Kabupaten Subang, Jawa Barat, 41272</t>
  </si>
  <si>
    <t>RS Hamori</t>
  </si>
  <si>
    <t>Jl. Raya Pagaden Subang Ds. jabong, Kec. Pagaden, Kab. Subang, Jawa Barat</t>
  </si>
  <si>
    <t>RS Umum Pamanukan Medical Center (PMC)</t>
  </si>
  <si>
    <t>Jl. Raya Rancasari KM 4,35  Rt 10/Rw 04 Ds.Rancasari Kec.Pamanukan Kab.Subang</t>
  </si>
  <si>
    <t>RS Umum Mutiara Hati</t>
  </si>
  <si>
    <t>Jl. Raya Pagaden Rt 15/04 Desa Sukamulya Kec.Pagaden Subang</t>
  </si>
  <si>
    <t xml:space="preserve">RS Umum PTPN VIII </t>
  </si>
  <si>
    <t>Jl. Otto Iskandardinata No.1 Kab. Subang</t>
  </si>
  <si>
    <t>RS Umum Haji Syaiful Anwar</t>
  </si>
  <si>
    <t>Jl. Raya Cipunagara RT. 39 RW. 10 Desa Kamarung Kecamatan Pagaden Kabupaten Subang Provinsi Jawa Barat</t>
  </si>
  <si>
    <t>RSAU dr. Hoediyono Lanud Suryadarma</t>
  </si>
  <si>
    <t>Jl. Raya Baru No. 10 Desa/Kel. Kalijati Barat Kec. Kalijati Kab. Subang</t>
  </si>
  <si>
    <t>RS Umum Daerah Sekarwangi</t>
  </si>
  <si>
    <t>Sukabumi</t>
  </si>
  <si>
    <t>Jl. Siliwangi No. 49 Cibadak Sukabumi</t>
  </si>
  <si>
    <t>RS Umum Daerah Palabuhanratu</t>
  </si>
  <si>
    <t>Jl. Ahmad Yani No.2 Palabuhanratu</t>
  </si>
  <si>
    <t>RS Umum Daerah Jampang Kulon</t>
  </si>
  <si>
    <t>Jl. Cibarusah No.1 Jampang Kulon, Kab.Sukabumi</t>
  </si>
  <si>
    <t>RS Umum Hermina Sukabumi</t>
  </si>
  <si>
    <t>Jl. Raya Sukaraja, Kabupaten Sukabumi</t>
  </si>
  <si>
    <t>RS Umum Bhakti Medicare</t>
  </si>
  <si>
    <t>Jl. Raya Siliwangi No.186B, Cicurug - Sukabumi</t>
  </si>
  <si>
    <t>Rumah Sakit DKH Cibadak</t>
  </si>
  <si>
    <t>Jl. Siliwangi No.139, Kp. Sekarwangi RT 03/17 Kelurahan Cibadak, Kecamatan Cibadak, Kabupaten Sukabumi</t>
  </si>
  <si>
    <t>RS Primaya Sukabumi</t>
  </si>
  <si>
    <t>Jl. RA Kosasih No. 45 Kel. Sukaraja Kec. Sukaraja</t>
  </si>
  <si>
    <t xml:space="preserve">RS Umum Betha Medika </t>
  </si>
  <si>
    <t xml:space="preserve"> Jl. Raya Cisaat No.595 RT 025 RW 06 Desa Cibatu Kecamatan Cisaat Kabupaten Sukabumi Provinsi Jawa Barat 43152</t>
  </si>
  <si>
    <t>RS Umum Daerah Sagaranten</t>
  </si>
  <si>
    <t>Kp. Cigadog RT. 025 RW. 006 Desa Sagaranten Kec. Sagaranten</t>
  </si>
  <si>
    <t>RS Universitas Padjadjaran</t>
  </si>
  <si>
    <t>Sumedang</t>
  </si>
  <si>
    <t>Jl. Ir. Soekarno KM. 21, Desa Cikeruh,Â KecamatanÂ Jatinangor</t>
  </si>
  <si>
    <t>RS Umum Daerah Sumedang</t>
  </si>
  <si>
    <t>Jl. Prabu Geusan Ulun No 41 Jl. Palasari No. 80 Kabupaten Sumedang</t>
  </si>
  <si>
    <t>RS Umum Pakuwon</t>
  </si>
  <si>
    <t>Jl. Raden Dewi Sartika No. 17 Kel. Regol Wetan Kec. Sumedang Selatan Kab. Sumedang Prov. Jabar</t>
  </si>
  <si>
    <t>RS Cimalaka</t>
  </si>
  <si>
    <t xml:space="preserve">Jl. Raya Mandalaherang No. 225 Desa Mandalaherang </t>
  </si>
  <si>
    <t>RS Umum Harapan Keluarga</t>
  </si>
  <si>
    <t xml:space="preserve">Jl Raya Cipacing - Rancaekek KM 20 Jatinangor Sumedang </t>
  </si>
  <si>
    <t>RS Ibu dan Anak Respati</t>
  </si>
  <si>
    <t>Tasikmalaya</t>
  </si>
  <si>
    <t>Jl. Raya Singaparna KM 11 Cikunir Singaparna</t>
  </si>
  <si>
    <t>RS Umum Daerah Singaparna Medika Citrautama</t>
  </si>
  <si>
    <t>Jl. Rancamaya Singaparna, kabupaten Tasikmalaya, Jawa Barat</t>
  </si>
  <si>
    <t>Jawa Tengah</t>
  </si>
  <si>
    <t>RS Umum Emmanuel</t>
  </si>
  <si>
    <t>Banjarnegara</t>
  </si>
  <si>
    <t>Jl. Raya Banyumas - Banjarnegara No.12 Dusun Sidodadi, Desa/ Kelurahan Purwareja, Kecamatan Purwareja Klampok, Kabupaten Banjarnegara , Provinsi Jawa Tengah 53474</t>
  </si>
  <si>
    <t>RS Umum Daerah Hj. Anna Lasmanah Banjarnegara</t>
  </si>
  <si>
    <t>Jl. Jend. Sudirman No.42, Kutabanjarnegara, Kec. Banjarnegara, Kab. Banjarnegara, Jawa Tengah 53415</t>
  </si>
  <si>
    <t>RS Umum Islam Banjarnegara</t>
  </si>
  <si>
    <t>Jl Raya Bawang KM 8 Banjarnegara</t>
  </si>
  <si>
    <t>RS Umum PKU Muhammadiyah Banjarnegara</t>
  </si>
  <si>
    <t>Jl. Raya Banjarnegara Banyumas KM. 18 Danaraja Purwanegara Banjarnegara</t>
  </si>
  <si>
    <t>RS Khusus Bedah Jatiwinangun</t>
  </si>
  <si>
    <t>Banyumas</t>
  </si>
  <si>
    <t xml:space="preserve"> Jl. Jatiwinangun No.54, Purwokerto</t>
  </si>
  <si>
    <t>RS Khusus Bedah Mitra Ariva</t>
  </si>
  <si>
    <t>Jl. Raya Ajibarang WetanAjibarang Banyumas</t>
  </si>
  <si>
    <t>RS Khusus Gigi dan Mulut Univ. Jenderal Soedirman</t>
  </si>
  <si>
    <t>Jl. Dr. Soeparno Kelurahan Grendeng Kecamatan Purwokerto Utara Kabupaten Banyumas Provinsi Jawa Tengah Kode Pos 53122</t>
  </si>
  <si>
    <t>RS Ibu dan Anak Bunda Arif Purwokerto</t>
  </si>
  <si>
    <t>Jl. Jatiwinangun No. 16 Purwokerto Kab.Banyumas</t>
  </si>
  <si>
    <t>RS Ibu dan Anak Budhi Asih</t>
  </si>
  <si>
    <t>JL. PERINTIS KEMERDEKAAN NO. 30</t>
  </si>
  <si>
    <t>RS Khusus Mata Purwokerto</t>
  </si>
  <si>
    <t>Jl. Beringin Raya Perum. Tanjung Elok,  Purwokerto Selatan</t>
  </si>
  <si>
    <t>RS Khusus Orthopaedi Purwokerto</t>
  </si>
  <si>
    <t xml:space="preserve">Jl. Soepardjo Rustam No. 99 Sokaraja </t>
  </si>
  <si>
    <t>RS Umum Daerah Prof Dr. Margono Soekarjo</t>
  </si>
  <si>
    <t xml:space="preserve"> Jl. Dr Gumbreg No. 1 Purwokerto</t>
  </si>
  <si>
    <t>RS umum Daerah Banyumas</t>
  </si>
  <si>
    <t>Jl. Rumah Sakit No.1 Banyumas</t>
  </si>
  <si>
    <t>RS Umum Siaga Medika Banyumas</t>
  </si>
  <si>
    <t>Jl. Pramuka No. 55 Desa Sudagaran, Kec. Banyumas</t>
  </si>
  <si>
    <t>RS Umum Wiradadi Husada</t>
  </si>
  <si>
    <t>Jl. Menteri Supeno No. 25, Sokaraja-Banyumas</t>
  </si>
  <si>
    <t>RS Umum Daerah Ajibarang</t>
  </si>
  <si>
    <t xml:space="preserve">    Jl. Raya Pancasan No.1,Ajibarang Banyumas</t>
  </si>
  <si>
    <t>RS JIH Purwokerto</t>
  </si>
  <si>
    <t>Jl. KH. Ahmad Dahlan Dusun III Dukuhwaluh Kembaran Banyumas 53182</t>
  </si>
  <si>
    <t>RS Hermina Purwokerto</t>
  </si>
  <si>
    <t>Jl. Yos Sudarso RT 003 RW 001 Karanglewas Lor Kec.Purwokerto Barat, Kab. Banyumas</t>
  </si>
  <si>
    <t>RS Umum Dadi Keluarga</t>
  </si>
  <si>
    <t>Jl. Sultan Agung No.8A  Kel. Teluk Kec. Purwokerto Selatan</t>
  </si>
  <si>
    <t>RS Umum Tk. III Wijayakusuma</t>
  </si>
  <si>
    <t>Jl. Prof.Dr. HR Bunyamin Purwokerto Kel. Bancarkembar Kec. Purwokerto Utara Kab. Banyumas</t>
  </si>
  <si>
    <t>RS Umum Islam Purwokerto</t>
  </si>
  <si>
    <t>Jl. H. Masyuri Rejasari No 39 Purwokerto, Rejasari, Purwokerto Barat</t>
  </si>
  <si>
    <t>RS Umum Ananda Purwokerto</t>
  </si>
  <si>
    <t>Jl. Pemuda No. 30 Kelurahan Kober, Kecamatan Purwokerto Barat, Banyumas</t>
  </si>
  <si>
    <t>RS Umum Santa Elisabeth Purwokerto</t>
  </si>
  <si>
    <t>Jl. dr. Angka No. 40 Purwokerto</t>
  </si>
  <si>
    <t>RS Umum Medika Lestari Banyumas</t>
  </si>
  <si>
    <t>Jl. Raya Buntu-Gombong KM 1 RT.03 RW.03 Pageralang Kecamatan Kemranjen-Banyumas.</t>
  </si>
  <si>
    <t>RS Umum Sinar Kasih</t>
  </si>
  <si>
    <t>Jl. Martadireja II Purwokerto</t>
  </si>
  <si>
    <t>RS Umum Hidayah Purwokerto</t>
  </si>
  <si>
    <t>Jl. Supriyadi No. 22 Purwokerto</t>
  </si>
  <si>
    <t>RS Umum Amanah</t>
  </si>
  <si>
    <t>Jl Raya Kebokura No.37 Kec Sumpiuh Kab Banyumas</t>
  </si>
  <si>
    <t>RS Umum An Ni'mah</t>
  </si>
  <si>
    <t>Jalan Raya Klapagading Kulon Rt 01 Rw 14 Kec Wangon - Banyumas</t>
  </si>
  <si>
    <t>Jl. Pramuka No. 249 Kelurahan Purwokerto Kidul Kecamatan Purwokerto Selatan Kabupaten Banyumas Provinsi Jawa Tengah</t>
  </si>
  <si>
    <t>RS Umum Daerah Limpung</t>
  </si>
  <si>
    <t>Batang</t>
  </si>
  <si>
    <t>Jl. Dr. Soetomo No. 17A Limpung 51271</t>
  </si>
  <si>
    <t>RS Umum Daerah Batang</t>
  </si>
  <si>
    <t xml:space="preserve">  Jl. Dr Sutomo No. 42 Batang  Kelurahan Kauman Kecamatan Batang Kabupaten Batang Provinsi Jawa Tengah 51215</t>
  </si>
  <si>
    <t>RS Umum Qim</t>
  </si>
  <si>
    <t>Jl. Urip Sumoharjo, Sambong</t>
  </si>
  <si>
    <t>RS Ibu dan Anak Annisa Blora</t>
  </si>
  <si>
    <t>Blora</t>
  </si>
  <si>
    <t>Jl. RA. Kartini No. 7 Kecamatan Blora  Kabupaten Blora Provinsi Jawa Tengah</t>
  </si>
  <si>
    <t>RS Ibu dan Anak NU Cakra Medika</t>
  </si>
  <si>
    <t>Jl. Gajahmada No. 11 Turibang Cepu</t>
  </si>
  <si>
    <t>RS Umum Daerah Dr. R. Soeprapto Cepu</t>
  </si>
  <si>
    <t xml:space="preserve"> Jl. Ronggolawe No. 50,Cepu</t>
  </si>
  <si>
    <t>RS Umum PKU Muhammadiyah Cepu</t>
  </si>
  <si>
    <t>Jl. Ronggolawe No.137,Cepu</t>
  </si>
  <si>
    <t>RS Umum Daerah Dr. R. Soetijono Blora</t>
  </si>
  <si>
    <t>Jl. Dr Sutomo No. 42, Blora</t>
  </si>
  <si>
    <t>RS Bhayangkara Blora</t>
  </si>
  <si>
    <t>Jl. Raya Blora-Purwodadi No. 103, Desa Jagong, Kec. Kunduran</t>
  </si>
  <si>
    <t>RS Umum Permata Blora</t>
  </si>
  <si>
    <t>Jl. Reksodiputro No. 57, Blora</t>
  </si>
  <si>
    <t>RS Umum PKU Muhammadiyah Blora</t>
  </si>
  <si>
    <t>Jl. Raya Blora-Cepu Km 3 Desa Seso Kec. Jepon</t>
  </si>
  <si>
    <t>RS Umum Daerah Samin Surosentiko Randublatung</t>
  </si>
  <si>
    <t>Gg. Kabayan RT. 06 RW. 01 Kel. Randublatung</t>
  </si>
  <si>
    <t>RS Umum Bantuan Blora</t>
  </si>
  <si>
    <t>Jl. Dr. Sutomo No. 45, Blora</t>
  </si>
  <si>
    <t>RS Umum Daerah Pandan Arang Boyolali</t>
  </si>
  <si>
    <t>Boyolali</t>
  </si>
  <si>
    <t>Jl. Kantil No. 14 Pulisen, Boyolali, Jawa Tengah</t>
  </si>
  <si>
    <t>RS Umum Islam Boyolali</t>
  </si>
  <si>
    <t>Jl. Raya Boyolali Klaten Kemiri Mojosongo</t>
  </si>
  <si>
    <t>RS Umum Daerah Waras Wiris</t>
  </si>
  <si>
    <t xml:space="preserve"> Jl. Raya Karanggede - Gemolong Km. 13 Andong Kab.Boyolali </t>
  </si>
  <si>
    <t>RS Umum Islam Banyubening Boyolali</t>
  </si>
  <si>
    <t>Jl. Raya Waduk Cengklik No. 11, Desa/Kel. Ngargorejo, Kec. Ngemplak</t>
  </si>
  <si>
    <t>RS Umum PKU Aisyiyah Boyolali</t>
  </si>
  <si>
    <t>Jl. Pasar Sapi Baru, Desa/Kelurahan Karanggeneng, Kecamatan Boyolali, Kabupaten Boyolali, Provinsi Jawa Tengah</t>
  </si>
  <si>
    <t>RS Umum  Karanggede Sisma Medika</t>
  </si>
  <si>
    <t>Jl. Raya Karanggede - Solo KM.1, Boyolali</t>
  </si>
  <si>
    <t xml:space="preserve">RS Umum PKU dr. Soemowidagdo Boyolali </t>
  </si>
  <si>
    <t>Tegalarum No. 200 RT. 22 RW. 01, Kateguhan, Sawit, Boyolali, Jawa Tengah 57374</t>
  </si>
  <si>
    <t>RS Umum Natalia</t>
  </si>
  <si>
    <t>Jl. Teratai No. 15 Pulisen Boyolali</t>
  </si>
  <si>
    <t>RS Umum Daerah Simo</t>
  </si>
  <si>
    <t>Jl. Simo - Bangak KM. 01, Kebayanan 3, Pelem, Kec. Simo, Kabupaten Boyolali, Jawa Tengah</t>
  </si>
  <si>
    <t>RS Indriati Boyolali</t>
  </si>
  <si>
    <t>Jl. Raya Boyolali Solo KM. 02 Mojosongo Boyolali</t>
  </si>
  <si>
    <t>RS Umum Hidayah Boyolali</t>
  </si>
  <si>
    <t>Kragilan, Mojosongo, Boyolali</t>
  </si>
  <si>
    <t>RS Umum Asy-Syifa Sambi</t>
  </si>
  <si>
    <t>Jl. Raya Bangak-Simo Km 7, Sambi, Boyolali</t>
  </si>
  <si>
    <t>RS Umum Umi Barokah</t>
  </si>
  <si>
    <t>Jl.Prof.DR.Soeharso No.6 Tegal Rejo,Boyolali</t>
  </si>
  <si>
    <t>RS Ibu dan Anak Nuzula</t>
  </si>
  <si>
    <t>Brebes</t>
  </si>
  <si>
    <t>Jl. Pabrik Gula Banjaratma No. 2, RT 03 RW 05, Pule, Sigentong, Kec. Wanasari</t>
  </si>
  <si>
    <t>RS Ibu dan Anak Permata Insani</t>
  </si>
  <si>
    <t>Jl. Yos sudarso No 38  (Komplek Islamic Centre) Kelurahan Pasar Batang Kecamatan Brebes Kabupaten Brebes</t>
  </si>
  <si>
    <t>RS Umum Daerah Brebes</t>
  </si>
  <si>
    <t>Jl. Jend.Sudirman No.181 Brebes Jawa Tengah 52212</t>
  </si>
  <si>
    <t>RS Umum Muhammadiyah Siti Aminah</t>
  </si>
  <si>
    <t>Jl. P. Diponegoro Desa Jatisawit Kecamatan Bumiayu Kabupaten Brebes</t>
  </si>
  <si>
    <t>RS Umum Allam Medica Bumiayu</t>
  </si>
  <si>
    <t xml:space="preserve">Jl. Pangeran Diponegoro No. 609 Jatisawit, Kec. Bumiayu Kab. Brebes </t>
  </si>
  <si>
    <t>RS Umum Daerah Bumiayu</t>
  </si>
  <si>
    <t>Jl. KH. Ahmad Dahlan KM. 1 Bumiayu</t>
  </si>
  <si>
    <t>RS Umum Islami Mutiara Bunda</t>
  </si>
  <si>
    <t>Jl. Raya Pantura Cenderawasih kecamatan Tanjung kabupaten Brebes</t>
  </si>
  <si>
    <t>RS Umum Bhakti Asih Jatibarang</t>
  </si>
  <si>
    <t>Jl. Raya Jatibarang Timur, Jatibarang Lor , Kec. Jatibarang, Kab Brebes, Jawa Tengah</t>
  </si>
  <si>
    <t>RS Umum Bhakti Asih Brebes</t>
  </si>
  <si>
    <t>Jl. P. Diponegoro No. 125, Pesantunan Kec. Wanasari Kab. Brebes - Jawa tengah</t>
  </si>
  <si>
    <t>RS Harapan Sehat Jatibarang</t>
  </si>
  <si>
    <t>Jl. Raya Jatibarang-Brebes, Janegara, Jatibarang</t>
  </si>
  <si>
    <t>RS Umum Siti Asiyah</t>
  </si>
  <si>
    <t>Jl. Pasar Wage, Desa Kalierang Kecamatan  Bumiayu,  Kabupaten Brebes</t>
  </si>
  <si>
    <t>RS Harapan Sehat Bumiayu</t>
  </si>
  <si>
    <t>Jl. Lingkar Bumiayu Perempatan Negaradaha Kec. Bumiayu Kab. Brebes</t>
  </si>
  <si>
    <t>RS Umum Daerah Ir. Soekarno Kab. Brebes</t>
  </si>
  <si>
    <t xml:space="preserve">Jl. RA. Kartini No. 20 Ketanggungan, Desa Ketanggungan, Kecamatan Ketanggungan, Kabupaten Brebes, Provinsi Jawa Tengah </t>
  </si>
  <si>
    <t>RS Umum Amanah Mahmudah</t>
  </si>
  <si>
    <t>JL. Jenderal Sudirman No. 05 Sitanggal Larangan</t>
  </si>
  <si>
    <t>RS Umum Dera As-Syifa</t>
  </si>
  <si>
    <t>Jl. Merdeka No 191 Banjarharjo - Kabupaten Brebes</t>
  </si>
  <si>
    <t>RS Umum Dedy Jaya</t>
  </si>
  <si>
    <t>Jl. Ahmad Yani No.57,Brebes</t>
  </si>
  <si>
    <t>Cilacap</t>
  </si>
  <si>
    <t>Jl. Gatot Subroto 31 A Cilacap</t>
  </si>
  <si>
    <t>RS Umum Daerah Cilacap</t>
  </si>
  <si>
    <t>Jl. Gatot Subroto 28 Cilacap RT 04 / RW 05 Kel. Sidanegara Kec. Cilacap Tengah Kab. Cilacap</t>
  </si>
  <si>
    <t>RS Umum Daerah Majenang</t>
  </si>
  <si>
    <t>Jl. Dr. Soetomo No. 54 Majenang</t>
  </si>
  <si>
    <t>RS Priscilla Medical Center</t>
  </si>
  <si>
    <t>Jl. Raya Maos-Sampang Desa Karangtengah Kec. Sampang</t>
  </si>
  <si>
    <t>RS Umum Islam Fatimah</t>
  </si>
  <si>
    <t>Jl. Ir. H. Juanda No. 20, Kab. Cilacap</t>
  </si>
  <si>
    <t>RS Umum Raffa Majenang</t>
  </si>
  <si>
    <t>Jl. Bhayangkara No. 69 Kecamatan Majenang</t>
  </si>
  <si>
    <t>RS Umum Aghisna Medika Kroya</t>
  </si>
  <si>
    <t>Jl. Yos Sudarso No. 1 Karangmangu, Kec. Kroya, Kab. Cilacap, Provinsi Jawa Tengah</t>
  </si>
  <si>
    <t>RS Umum Afdila Cilacap</t>
  </si>
  <si>
    <t>Jl. Soekarno-Hatta No.79, Kesugihan</t>
  </si>
  <si>
    <t>RS Umum Pertamina Cilacap</t>
  </si>
  <si>
    <t>Jl. Dr. Setiabudi No.1 Tegal Kamulyan, Cilacap Selatan, Cilacap</t>
  </si>
  <si>
    <t>RS Umum Duta Mulya</t>
  </si>
  <si>
    <t>jl. dr. Wahidin No. 66A , Muktisari, Sindangsari, Kec. Majenang, Kabupaten Cilacap, Jawa Tengah 53257</t>
  </si>
  <si>
    <t>RS Umum Santa Maria Cilacap</t>
  </si>
  <si>
    <t>Jl. Jend. Achmad Yani No. 38, Sidakaya, Cilacap Selatan</t>
  </si>
  <si>
    <t>RS Umum Aghisna Medika Sidareja</t>
  </si>
  <si>
    <t>Jl. Jenderal Sudirman No. 1 Sidamulya Kecamatan Sidareja</t>
  </si>
  <si>
    <t>RS Umum Aprillia</t>
  </si>
  <si>
    <t>Jl. Jend. Gatot Subroto 95 Cilacap</t>
  </si>
  <si>
    <t>RS Umum Islam NU Demak</t>
  </si>
  <si>
    <t>Demak</t>
  </si>
  <si>
    <t>Jl. Jogoloyo No.9, Kec. Wonosalam, Demak</t>
  </si>
  <si>
    <t>RS Umum Daerah Sultan Fatah Karangawen Demak</t>
  </si>
  <si>
    <t>Jl. Raya Semarang Purwodadi KM. 21 No. 107 Karangawen Demak</t>
  </si>
  <si>
    <t>RS Umum Pelita Anugerah</t>
  </si>
  <si>
    <t>Jl. Raya Bandungrejo Km 11,5, Mranggen Demak</t>
  </si>
  <si>
    <t>Charlie Hospital Demak</t>
  </si>
  <si>
    <t>Jl. Raya Guntur KM 4, Pulosari</t>
  </si>
  <si>
    <t>RS Umum Daerah Sunan Kalijaga</t>
  </si>
  <si>
    <t xml:space="preserve"> Jl. Sultan Fatah No. 669/50,Demak</t>
  </si>
  <si>
    <t>RS Hj. Fatimah Sulhan PKU Muhammadiyah Demak</t>
  </si>
  <si>
    <t>Jl. Sultan Hadiwijaya No. 18 Mangunjiwan</t>
  </si>
  <si>
    <t>RS Ortopedi Siaga Utama</t>
  </si>
  <si>
    <t>Grobogan</t>
  </si>
  <si>
    <t>Jl. Pemuda 17 Lingkar Utara Menduran Kec. Brati</t>
  </si>
  <si>
    <t>RS Umum Daerah Dr. R.Soedjati Soemodiardjo</t>
  </si>
  <si>
    <t xml:space="preserve"> Jl. D.I Panjaitan 36,Purwodadi - Grobogan 58111</t>
  </si>
  <si>
    <t>RS Umum Panti Rahayu</t>
  </si>
  <si>
    <t>Jl. R Suprapto No.6,Purwodadi</t>
  </si>
  <si>
    <t>Jl. Hayam Wuruk No. 24, Purwodadi, Grobogan, Propinsi Jawa Tengah</t>
  </si>
  <si>
    <t>RS Marganingsih</t>
  </si>
  <si>
    <t>Jl. Raya Purwodadi Blora KM. 5 RT. 01 RW. 03, Dusun Plosonambangan, Desa Rejosari, Kecamatan Grobogan, Kabupaten Grobogan, Provinsi Jawa Tengah 58152</t>
  </si>
  <si>
    <t>RS Umum PKU Muhammadiyah Gubug</t>
  </si>
  <si>
    <t>Jl. Letjen R Soeprapto No.12 Gubug</t>
  </si>
  <si>
    <t>RS Umum Daerah Ki Ageng Getas Pendowo Gubug</t>
  </si>
  <si>
    <t>Jl.  Ahmad Yani No. 57 Gubug Kec. Gubug</t>
  </si>
  <si>
    <t xml:space="preserve">RS Umum Islam Purwodadi </t>
  </si>
  <si>
    <t>JL. Dr. SOETOMO NO.9 PURWODADI GROBOGAN</t>
  </si>
  <si>
    <t>RS Umum Trimedika Ketapang</t>
  </si>
  <si>
    <t>Jl. Pangeran Puger (Jl. Raya Purwodadi-Pati Km. 6) Kec. Grobogan Kab. Grobogan</t>
  </si>
  <si>
    <t>RS Umum Habibullah</t>
  </si>
  <si>
    <t>Banjarasem RT 05 RW 02 Desa Tahunan Kec. Gabus Kab.Grobogan</t>
  </si>
  <si>
    <t>RS Sekar Laras</t>
  </si>
  <si>
    <t>Jl. Gajah Mada RT. 002 RW. 015</t>
  </si>
  <si>
    <t>RS Umum Daerah R. A. Kartini</t>
  </si>
  <si>
    <t>Jepara</t>
  </si>
  <si>
    <t>Jl. K.H. Wahid Hasyim Jepara</t>
  </si>
  <si>
    <t>RS Umum Sultan Hadlirin Jepara</t>
  </si>
  <si>
    <t>Jl. Jepara-Bangsri KM.3, Desa Kuwasen Kota Jepara Propinsi Jawa Tengah</t>
  </si>
  <si>
    <t>RS Umum PKU Muhammadiyah Mayong</t>
  </si>
  <si>
    <t>Jl. Pegadaian No. 12 Mayong Jepara</t>
  </si>
  <si>
    <t>RS Umum Daerah dr. Rehatta Provinsi Jawa Tengah</t>
  </si>
  <si>
    <t>Jl. Raya Jepara â€“ Kelet KM.37 Kode Pos  59454 Telepon (0291) 579002 Faksimile (0291) 578161 Laman www.rsrehatta.jatengprov.go.id Surat Elektronik rsrehatta@jatengprov.go.id</t>
  </si>
  <si>
    <t>RS Graha Husada Jepara</t>
  </si>
  <si>
    <t>Jl. MH. Thamrin No. 14 Kelurahan Panggang, Kec.Jepara Kab.Jepara Provinsi Jawa Tengah</t>
  </si>
  <si>
    <t>RS PKU Aisyiyah Jepara</t>
  </si>
  <si>
    <t>Jl. Brigjen Katamso  No 18 Panggang Jepara</t>
  </si>
  <si>
    <t xml:space="preserve">RS Ibu dan Anak Dian Pertiwi </t>
  </si>
  <si>
    <t>Karanganyar</t>
  </si>
  <si>
    <t xml:space="preserve"> Jl. Lawu Papahan, Tasikmadu Karanganyar </t>
  </si>
  <si>
    <t>RS Mangesti Rahayu</t>
  </si>
  <si>
    <t>Jl. Adi Sumarmo, RT. 02/RW. 06, Gawanan, Colomadu, Karanganyar</t>
  </si>
  <si>
    <t>RS Umum Daerah Kartini Karanganyar</t>
  </si>
  <si>
    <t>Jl. Laksda Yos Sudarso Karanganyar</t>
  </si>
  <si>
    <t>RS PKU Muhammadiyah Karanganyar</t>
  </si>
  <si>
    <t>Jl. Papahan Tasikmadu Kelurahan Papahan Kecamatan Tasikmadu Kabupaten Karanganyar Propinsi Jawa Tengah</t>
  </si>
  <si>
    <t>RS Umum Jafar Medika Karanganyar</t>
  </si>
  <si>
    <t>Munggur RT 09/RW 04, Kelurahan Munggur, Kecamatan Mojogedang, Kabupaten Karanganyar, Provinsi Jawa Tengah</t>
  </si>
  <si>
    <t xml:space="preserve">RS Umum Indo Sehat Karanganyar </t>
  </si>
  <si>
    <t>JL. Raya Solo - Sragen KM. 11, Kecamatan Kebakkramat, Kabupaten Karanganyar, Propinsi Jawa Tengah</t>
  </si>
  <si>
    <t>RSAU dr. Siswanto Lanud Adi Soemarmo</t>
  </si>
  <si>
    <t>Jl. Tentara Pelajar - Colomadu, Karanganyar</t>
  </si>
  <si>
    <t>RS Umum Jati Husada Karanganyar</t>
  </si>
  <si>
    <t>Jl. Raya Solo - Tawangmangu KM 10,3 Jati, Jaten, Karanganyar, Jawa Tengah</t>
  </si>
  <si>
    <t>RS Umum PKU Muhamadiyah Gombong</t>
  </si>
  <si>
    <t>Kebumen</t>
  </si>
  <si>
    <t>Jl. Yos Sudarso 461 Gombong Kebumen</t>
  </si>
  <si>
    <t>RS Umum Daerah dr. Soedirman Kabupaten Kebumen</t>
  </si>
  <si>
    <t>Jl. Kebumen Raya - Muktisari Kebumen</t>
  </si>
  <si>
    <t>RS Umum PKU Muhammadiyah Sruweng</t>
  </si>
  <si>
    <t>Jl. Raya Sruweng No.5 Sruweng Kebumen</t>
  </si>
  <si>
    <t>RS Umum Permata Medika Kebumen</t>
  </si>
  <si>
    <t>JL. INDRAKILA NO.17, KEBUMEN, KEBUMEN, JAWA TENGAH</t>
  </si>
  <si>
    <t>RS Umum Purbowangi</t>
  </si>
  <si>
    <t>Jl. Yos Sudarso Barat No. 1, Desa/Kelurahan Purbowangi, Kec. Buayan, Kab. Kebumen, Provinsi Jawa Tengah, Kode Pos: 54474</t>
  </si>
  <si>
    <t>RS Umum Daerah Prembun</t>
  </si>
  <si>
    <t>Jl. Slamet Riyadi No. 53 Prembun Kebumen</t>
  </si>
  <si>
    <t>RS Umum Palang Biru Gombong</t>
  </si>
  <si>
    <t>Jl. Yos Sudarso Timur Desa Kedungpuji Gombong</t>
  </si>
  <si>
    <t xml:space="preserve">RS Umum PKU Muhammadiyah Kutowinangun </t>
  </si>
  <si>
    <t>Jl. Pemuda No 12 Kutowinangun</t>
  </si>
  <si>
    <t>RS Umum Purwogondo</t>
  </si>
  <si>
    <t xml:space="preserve"> Jl. Puring Km.8, Kalipurwo Kuwarasan Kebumen </t>
  </si>
  <si>
    <t>RS Umum PKU Muhammadiyah Petanahan Kebumen</t>
  </si>
  <si>
    <t>JL. DAENDELS KM 1, Desa/Kelurahan Munggu, Kec. Petanahan, Kab.Kebumen, Provinsi Jawa Tengah,KodeÂ Pos:Â 54382</t>
  </si>
  <si>
    <t>RS Umum Wijayakusuma</t>
  </si>
  <si>
    <t>Jl. Gelatik No.1 Panjer, Kebumen</t>
  </si>
  <si>
    <t>RS Umum Daerah  Dr. H. Soewondo Kendal</t>
  </si>
  <si>
    <t>Kendal</t>
  </si>
  <si>
    <t>Jl. Laut No. 21 Kelurahan Patukangan, Kec. Kendal, Kab. Kendal, Provinsi Jawa Tengah</t>
  </si>
  <si>
    <t>RS Umum Charlie Hospital</t>
  </si>
  <si>
    <t>Dusun Balak RT 001 RW 006 Desa Ngabean Kec. Boja Kab. Kendal</t>
  </si>
  <si>
    <t>RS Umum Islam Kendal</t>
  </si>
  <si>
    <t>Jl. Ar Rahmah No.17, Desa/Kelurahan Ngasinan, Kec  Weleri, Kab. Kendal, Provinsi Jawa Tengah</t>
  </si>
  <si>
    <t>RS PKU Muhammadiyah Boja</t>
  </si>
  <si>
    <t>Jl. Raya Boja Limbangan, Desa/Kel. Salamsari, Kec. Boja</t>
  </si>
  <si>
    <t>RS Umum Muhammadiyah Darul Istiqomah Kendal</t>
  </si>
  <si>
    <t>Jln. Sekopek No. 15  Tepimulyo Plantaran Kaliwungu Selatan Kendal Jawa Tengah</t>
  </si>
  <si>
    <t>RS Umum Baitul Hikmah</t>
  </si>
  <si>
    <t>JL RAYA SOEKARNO HATTA KM 12 KECAMATAN GEMUH KABUPATEN KENDAL PROVINSI JAWA TENGAH</t>
  </si>
  <si>
    <t>RS PKU Aisyiyah Kendal</t>
  </si>
  <si>
    <t>Jl. Soekarno Hatta Rt.004 Rw.002 Desa Tlahab Kecamatan Gemuh Kabupaten Kendal Provinsi Jawa Tengah</t>
  </si>
  <si>
    <t>RS Umum Pusat Dr. Soeradji Tirtonegoro</t>
  </si>
  <si>
    <t>2</t>
  </si>
  <si>
    <t>Klaten</t>
  </si>
  <si>
    <t>Jl. KRT. Suraji Tirtonegoro No.1, Klaten</t>
  </si>
  <si>
    <t>RS Jiwa Daerah Dr. RM. Soedjarwadi</t>
  </si>
  <si>
    <t>Jalan Ki Pandanaran Km. 2, Klaten</t>
  </si>
  <si>
    <t>RS Umum Islam Klaten</t>
  </si>
  <si>
    <t>Jl. Raya Klaten Solo KM 4,Klaten</t>
  </si>
  <si>
    <t>RS Umum 'Aisyiyah Klaten</t>
  </si>
  <si>
    <t>Jl. KH. Hasyim Azhari, Mojayan, Klaten Tengah, Jawa Tengah, Indonesia</t>
  </si>
  <si>
    <t>RS Umum Diponegoro Dua Satu Klaten</t>
  </si>
  <si>
    <t>Jl. Diponegoro No. 21 Klaten</t>
  </si>
  <si>
    <t>RS Umum Islam Cawas Klaten</t>
  </si>
  <si>
    <t>Jl. Raya Tugu - Cawas, Kelurahan Tugu, Kecamatan Cawas, Kabupaten Klaten, Provinsi Jawa Tengah. 57463</t>
  </si>
  <si>
    <t>RS Umum Cakra Husada</t>
  </si>
  <si>
    <t>Jl. Merbabu No. 7 Klaten</t>
  </si>
  <si>
    <t>RS Umum Daerah Bagas Waras</t>
  </si>
  <si>
    <t xml:space="preserve">  Jalan Ir. Soekarno Km 2 Buntalan Klaten Tengah</t>
  </si>
  <si>
    <t>RS Umum PKU Muhammadiyah Delanggu</t>
  </si>
  <si>
    <t>Jl. Raya Delanggu Utara No. 19 Desa/Kel. Gatak Kec. Delanggu Kab. Klaten</t>
  </si>
  <si>
    <t>RS Umum PKU Muhammadiyah Jatinom</t>
  </si>
  <si>
    <t>Jl.Raya Jatinom-Klaten KM 01, Gedaren, Jatinom, Klaten</t>
  </si>
  <si>
    <t>RS Umum Mitra Pedan</t>
  </si>
  <si>
    <t>Jl.  Raya Pedan - Juwiring Km. 1 Kedungan, Pedan, Klaten</t>
  </si>
  <si>
    <t>RS PKU Muhammadiyah Prambanan</t>
  </si>
  <si>
    <t>Jl. Raya Batas Kota Klaten Prambanan KM 46, Sanggrahan Prambanan 57454</t>
  </si>
  <si>
    <t>RS Umum PKU Muhammadiyah Pedan</t>
  </si>
  <si>
    <t>Jl. Pedan-Cawas KM. 01 Sobayan Pedan Klaten</t>
  </si>
  <si>
    <t>RS Ibu dan Anak Gladiool</t>
  </si>
  <si>
    <t>Kota Magelang</t>
  </si>
  <si>
    <t>Jl. Kenanga No.4-6,Magelang</t>
  </si>
  <si>
    <t>RS Jiwa Prof. Dr. Soerojo</t>
  </si>
  <si>
    <t xml:space="preserve"> Jl. Jenderal Ahmad Yani 169 Magelang</t>
  </si>
  <si>
    <t>RS Umum Tk. II Dr. Soedjono</t>
  </si>
  <si>
    <t>Jl. Urip Soemoharjo No 48 Kelurahan Wates Kec. Magelang Utara</t>
  </si>
  <si>
    <t>RS Umum Daerah Tidar</t>
  </si>
  <si>
    <t>Jl. Tidar No.30 A, Kota Magelang</t>
  </si>
  <si>
    <t>RS Umum Harapan</t>
  </si>
  <si>
    <t>Jl. Senopati No.11,Magelang</t>
  </si>
  <si>
    <t>RS Umum Lestari Raharja</t>
  </si>
  <si>
    <t>Jl. Sutopo No.5,Magelang</t>
  </si>
  <si>
    <t>RS Umum Islam Magelang</t>
  </si>
  <si>
    <t>Jl. Jeruk No.4 A , Sanden, Kota Magelang</t>
  </si>
  <si>
    <t>RS Umum Daerah Budi Rahayu</t>
  </si>
  <si>
    <t>Jl. Urip Sumoharjo No. 15, Kelurahan Wates, Kecamatan Magelang Utara, Kota Magelang, Provinsi Jawa Tengah</t>
  </si>
  <si>
    <t>RS Umum Daerah Bendan Kota Pekalongan</t>
  </si>
  <si>
    <t>Kota Pekalongan</t>
  </si>
  <si>
    <t>Jl. Sriwijaya No. 2 Pekalongan</t>
  </si>
  <si>
    <t>RS Umum Budi Rahayu</t>
  </si>
  <si>
    <t>Jl. Barito No. 5 Pekalongan</t>
  </si>
  <si>
    <t>RS Umum Siti Khodijah</t>
  </si>
  <si>
    <t>Jl. Bandung No.39-47,Pekalongan</t>
  </si>
  <si>
    <t>RS Umum  ARO</t>
  </si>
  <si>
    <t>Jl. Dr. Soetomo Gamer Pekalongan</t>
  </si>
  <si>
    <t>RS Umum Anugerah Pekalongan</t>
  </si>
  <si>
    <t>Jl. Perintis Kemerdekaan no.3</t>
  </si>
  <si>
    <t>RS Umum H. A. Zaky Djunaid</t>
  </si>
  <si>
    <t>Jl.Pelita II Kel. Buaran Kec. Pekalongan Selatan Pekalongan</t>
  </si>
  <si>
    <t>RS Umum Hermina Pekalongan</t>
  </si>
  <si>
    <t>Jl. Jendral Sudirman 16A Kota Pekalongan</t>
  </si>
  <si>
    <t>RS Umum Karomah Holistic</t>
  </si>
  <si>
    <t>Jl. Gajah Mada Barat No.124,Pekalongan</t>
  </si>
  <si>
    <t>RS Ibu dan Anak Hermina Mutiara Bunda</t>
  </si>
  <si>
    <t>Kota Salatiga</t>
  </si>
  <si>
    <t>Jl. Merak No. 8 Mangunsari Sidomukti</t>
  </si>
  <si>
    <t>RS Paru Dr. Ario Wirawan</t>
  </si>
  <si>
    <t>Jl. Hasanudin No.806,Salatiga</t>
  </si>
  <si>
    <t>RS Umum Daerah Kota Salatiga</t>
  </si>
  <si>
    <t xml:space="preserve"> Jl. Osamaliki No.19, Salatiga</t>
  </si>
  <si>
    <t>RS Umum Tk. IV 04.07.03 dr. Asmir</t>
  </si>
  <si>
    <t>Jl. Dr Muwardi No. 50 Salatiga</t>
  </si>
  <si>
    <t>Jl. Sudirman No. 169 Salatiga</t>
  </si>
  <si>
    <t>RS Islam Tunas Harapan</t>
  </si>
  <si>
    <t>Jl. Soekarno Hatta 104 Kota Salatiga</t>
  </si>
  <si>
    <t>RS Khusus Bedah Columbia Asia Semarang</t>
  </si>
  <si>
    <t>Kota Semarang</t>
  </si>
  <si>
    <t>Jl. Siliwangi No. 143</t>
  </si>
  <si>
    <t>RS Islam Gigi dan Mulut Sultan Agung</t>
  </si>
  <si>
    <t>Jl. Raya Kaligawe Km. 4</t>
  </si>
  <si>
    <t>RS Gigi dan Mulut Unimus</t>
  </si>
  <si>
    <t>Jl. Kedungmundu Raya No. 22 Semarang</t>
  </si>
  <si>
    <t>RS Ibu dan Anak Gunung Sawo</t>
  </si>
  <si>
    <t>Jl. Gunung Sawo No.21,Semarang</t>
  </si>
  <si>
    <t>RS Ibu dan Anak Bunda Semarang</t>
  </si>
  <si>
    <t>Jl. Brigjen Katamso No. 8, Kelurahan Karangturi, Kecamatan Semarang Timur, Kota Semarang, Provinsi Jawa Tengah, Kode Pos 50124</t>
  </si>
  <si>
    <t>RS Ibu dan Anak Anugerah</t>
  </si>
  <si>
    <t>Jl. Kalisari Baru No.7,Semarang</t>
  </si>
  <si>
    <t>RS Ibu dan Anak Kusuma Pradja</t>
  </si>
  <si>
    <t>Jl. Bugangan Raya No.3 - 5,Semarang</t>
  </si>
  <si>
    <t>RS Ibu dan Anak Siloam Semarang</t>
  </si>
  <si>
    <t>Jl. Kompol Maksum No.296 Peterongan, Kec. Semarang Selatan, Kota Semarang, Jawa Tengah 50242</t>
  </si>
  <si>
    <t>RS Ibu dan Anak Ananda Pasar Ace</t>
  </si>
  <si>
    <t>JL. BANDUNGSARI III A NO 77, KEL. TAMBANGAN, KEC. MIJEN, KOTA SEMARANG, PROVINSI JAWA TENGAH</t>
  </si>
  <si>
    <t>RS Ibu dan Anak Plamongan Indah</t>
  </si>
  <si>
    <t>jl. kelapa gading raya no. 52 semarang</t>
  </si>
  <si>
    <t>RS Jiwa Daerah  Dr. Amino Gondohutomo</t>
  </si>
  <si>
    <t>Jl. Brigjen Sudiarto No. 347, Pedurungan, Kota Semarang</t>
  </si>
  <si>
    <t>RS Mata JEC-Candi Semarang</t>
  </si>
  <si>
    <t>Jl. Pamularsih Raya No. 112 Gisikdrono Kec. Semarang Barat</t>
  </si>
  <si>
    <t>RS Umum Pusat Dr. Kariadi</t>
  </si>
  <si>
    <t>Jl. Dr. Soetomo No.16,Semarang</t>
  </si>
  <si>
    <t>RS Umum Sultan Agung Semarang</t>
  </si>
  <si>
    <t>Jl. Raya Kaligawe Km.4,Semarang</t>
  </si>
  <si>
    <t>RS Umum St. Elisabeth Semarang</t>
  </si>
  <si>
    <t>Jl. Kawi No.1,Semarang</t>
  </si>
  <si>
    <t>RS Umum Telogorejo Semarang</t>
  </si>
  <si>
    <t>Jl. KH. Ahmad Dahlan Semarang</t>
  </si>
  <si>
    <t>RS Daerah KRMT Wongsonegoro</t>
  </si>
  <si>
    <t xml:space="preserve">  Jl. Fatmawati No.1 Semarang</t>
  </si>
  <si>
    <t>RS Umum Daerah dr. Adhyatma, MPH</t>
  </si>
  <si>
    <t>Jl. WALISONGO KM 8,5 NO 137  Semarang</t>
  </si>
  <si>
    <t>RS Umum Nasional Diponegoro</t>
  </si>
  <si>
    <t>Jl. Prof. Moeljono S. Trastotenojo, Tembalang, Kec. Tembalang</t>
  </si>
  <si>
    <t>RS Umum Hermina Banyumanik Semarang</t>
  </si>
  <si>
    <t xml:space="preserve">Jln. Jenderal Polisi Anton Soedjarwo No.195 A, Banyumanik </t>
  </si>
  <si>
    <t>RS Panti Wilasa "Dr. Cipto" Semarang</t>
  </si>
  <si>
    <t>Jl. Dr. Cipto 50, Bugangan, Semarang Timur</t>
  </si>
  <si>
    <t xml:space="preserve">RS Umum Bhayangkara Akpol Semarang </t>
  </si>
  <si>
    <t>Jl. Sultan Agung No. 131 Candi Baru Komplek AKPOL</t>
  </si>
  <si>
    <t xml:space="preserve">RS Umum Permata Medika </t>
  </si>
  <si>
    <t xml:space="preserve"> Jl. Moch Ichsan No.93 - 97, Ngaliyan Semarang </t>
  </si>
  <si>
    <t>RS Unimus</t>
  </si>
  <si>
    <t>Jl. Kedungmundu Raya No. 214 Kedungmundu Tembalang</t>
  </si>
  <si>
    <t xml:space="preserve">RS Samsoe Hidajat </t>
  </si>
  <si>
    <t>Jl. RE Martadinata No. 9, Arteri Utara, Kel. Tawangsari, Kec. Semarang Barat</t>
  </si>
  <si>
    <t>RS Roemani Muhammadiyah Semarang</t>
  </si>
  <si>
    <t>Jl. Wonodri No. 22 Semarang</t>
  </si>
  <si>
    <t>RS Keluarga Sehat III Semarang</t>
  </si>
  <si>
    <t>Jl. Puri Anjasmoro No. G1 / 28, Tawangsari, Kec. Semarang Barat, Kota Semarang</t>
  </si>
  <si>
    <t xml:space="preserve">RS Umum Bhayangkara Semarang </t>
  </si>
  <si>
    <t xml:space="preserve">   JL.MAJAPAHIT NO.140 SEMARANG</t>
  </si>
  <si>
    <t>RS Umum Hermina Pandanaran</t>
  </si>
  <si>
    <t>Jl. Pandanaran No.24 Semarang</t>
  </si>
  <si>
    <t>RS Umum Panti Wilasa Citarum</t>
  </si>
  <si>
    <t>Jl. Citarum No 98 Semarang</t>
  </si>
  <si>
    <t>RS Umum Banyumanik 2</t>
  </si>
  <si>
    <t>Jl. Perintis Kemerdekaan No. 57 Banyumanik</t>
  </si>
  <si>
    <t>RS Umum Tk.III Bhakti Wira Tamtama Smg</t>
  </si>
  <si>
    <t>Jl. Dr. Sutomo No.17. Semarang</t>
  </si>
  <si>
    <t>RS Umum William Booth</t>
  </si>
  <si>
    <t>Jl. LetJen. S. Parman No. 5, Semarang</t>
  </si>
  <si>
    <t>RS Cepoko</t>
  </si>
  <si>
    <t>Jl. Kolonel R. W. Sugiarto KM. 16 RT.05 RW.01, Kel. Cepoko, Kec. Gunungpati</t>
  </si>
  <si>
    <t>RS Umum Banyumanik</t>
  </si>
  <si>
    <t>Jl. Bina Remaja Srondol No.61,Semarang</t>
  </si>
  <si>
    <t>RS Umum Daerah Mijen</t>
  </si>
  <si>
    <t>Jl. RM Hadi Soebeno No. 146-148</t>
  </si>
  <si>
    <t>RS Gigi dan Mulut Soelastri</t>
  </si>
  <si>
    <t>Kota Surakarta</t>
  </si>
  <si>
    <t>Jl. Brigjen Slamet Riyadi No. 366 Surakarta 57141</t>
  </si>
  <si>
    <t>RS Jiwa Daerah Dr. Arif Zainudin Provinsi Jawa Tengah</t>
  </si>
  <si>
    <t xml:space="preserve">  Jl. K.H. Dewantoro 80, Jebres, Surakarta</t>
  </si>
  <si>
    <t>RS Onkologi Solo</t>
  </si>
  <si>
    <t>Jl. Siwalan No.37 RT.002 RW.014  Kel. Kerten, Kec. Laweyan, Kab. Kota Surakarta, Jawa Tengah 57143</t>
  </si>
  <si>
    <t>RS Khusus Mata Solo</t>
  </si>
  <si>
    <t>Jl. Adi Sucipto 169, Karangasem , Laweyan</t>
  </si>
  <si>
    <t>RS Umum Daerah Dr. Moewardi Surakarta</t>
  </si>
  <si>
    <t xml:space="preserve">  Jl. Kol Sutarto 132,Surakarta</t>
  </si>
  <si>
    <t>Jl. Slamet Riyadi 404,Surakarta</t>
  </si>
  <si>
    <t>RS Umum Dr. Oen</t>
  </si>
  <si>
    <t>Jl. Brigjend Katamso 55,Surakarta</t>
  </si>
  <si>
    <t>RS PKU Muhammadiyah Surakarta</t>
  </si>
  <si>
    <t>Jl. Ronggowarsito 130, Surakarta Propinsi Jawa Tengah</t>
  </si>
  <si>
    <t>RS Umum Daerah Ibu Fatmawati Soekarno</t>
  </si>
  <si>
    <t>Jl. Lettu Sumarto No. 1 Kel. Kadipiro Kec. Banjarsari</t>
  </si>
  <si>
    <t>RS Umum Islam Kustati</t>
  </si>
  <si>
    <t>Jl. Kapt. Mulyadi No.249</t>
  </si>
  <si>
    <t>RS Umum Panti Waluyo</t>
  </si>
  <si>
    <t>Jl. Jend A Yani No.1-2</t>
  </si>
  <si>
    <t>RS Umum Tk III Slamet Riyadi Surakarta</t>
  </si>
  <si>
    <t xml:space="preserve">  Jl. Slamet Riyadi 321,Laweyan ,Surakarta</t>
  </si>
  <si>
    <t>RS Umum Triharsi</t>
  </si>
  <si>
    <t>Jl. Monginsidi No.82,Surakarta</t>
  </si>
  <si>
    <t>RS Umum Pusat Surakarta</t>
  </si>
  <si>
    <t>Jl. Profesor DR. Soeharso No.28, Jajar, Kec. Laweyan</t>
  </si>
  <si>
    <t>RS Umum Daerah Bung Karno Kota Surakarta</t>
  </si>
  <si>
    <t>Jl. Sungai Serang 1 RT 03 Rw 03 Kelurahan Mojo Kecamatan Pasar Kliwon</t>
  </si>
  <si>
    <t>RS JIH Solo</t>
  </si>
  <si>
    <t>Jl. Adi Sucipto No 118 Jajar Laweyan</t>
  </si>
  <si>
    <t>RS Umum Brayat Minulya</t>
  </si>
  <si>
    <t xml:space="preserve"> Jl. Dr. Setiabudi No. 106 Surakarta</t>
  </si>
  <si>
    <t>RS Umum Hermina Solo</t>
  </si>
  <si>
    <t>Jalan Kolonel Sutarto No. 16 Jebres Solo</t>
  </si>
  <si>
    <t>RS Bhayangkara Surakarta</t>
  </si>
  <si>
    <t>Jl. Adi Sucipto No. 2 Kel. Manahan Kec. Banjarsari</t>
  </si>
  <si>
    <t>RS PKU Muhammadiyah Sampangan Surakarta</t>
  </si>
  <si>
    <t>Semanggi RT 002 RW 009, Pasar Kliwon, Surakarta</t>
  </si>
  <si>
    <t>RS Ibu dan Anak Kasih Ibu Tegal</t>
  </si>
  <si>
    <t>Kota Tegal</t>
  </si>
  <si>
    <t>Jl. Sultan Agung 32,Tegal</t>
  </si>
  <si>
    <t>RS Umum Daerah Kardinah</t>
  </si>
  <si>
    <t xml:space="preserve"> Jl. AIP. KS Tubun No.2 Kelurahan Kejambon Kecamatan Tegal Timur Kota Tegal</t>
  </si>
  <si>
    <t>RS Umum Islam Harapan Anda</t>
  </si>
  <si>
    <t>Jl. Ababil No.42,Tegal</t>
  </si>
  <si>
    <t>RS Umum Mitra Keluarga Tegal</t>
  </si>
  <si>
    <t>Jl. Sipelem No.4, Kemandungan, Tegal</t>
  </si>
  <si>
    <t>Kudus</t>
  </si>
  <si>
    <t>Jl. Kudus Jepara KM 4 Kudus, Desa/Kel. Garung Lor, Kec. Kaliwungu</t>
  </si>
  <si>
    <t>RS Ibu dan Anak Miriam</t>
  </si>
  <si>
    <t xml:space="preserve">Jl. Ahmad Yani 58 Kelurahan Panjunan Kecamatan Kota, Kabupaten Kudus, Provinsi Jawa Tengah </t>
  </si>
  <si>
    <t>RS Ibu dan Anak Permata Hati</t>
  </si>
  <si>
    <t>Jl. Nisemito No.28,Kudus</t>
  </si>
  <si>
    <t>RS Umum Daerah dr. Loekmono Hadi</t>
  </si>
  <si>
    <t xml:space="preserve">    Jl. Dr. Lukmonohadi No.19,Kudus</t>
  </si>
  <si>
    <t>RS Umum Mardi Rahayu</t>
  </si>
  <si>
    <t>Jl. AKBP R Agil  Kusumadya 110,Kudus</t>
  </si>
  <si>
    <t>RS Sarkies 'Aisyiyah Kudus</t>
  </si>
  <si>
    <t>Jl. Mas Sirin No. 79 Kudus-Margoyoso Km. 2 Desa/Kelurahan Purwosari, Kec. Kota Kudus</t>
  </si>
  <si>
    <t>RS Umum Kumala Siwimijen Kudus</t>
  </si>
  <si>
    <t>Jl. Jepara KM. 6 Desa Mijen Kec. Kaliwungu</t>
  </si>
  <si>
    <t>RS Umum  Islam Sunan Kudus</t>
  </si>
  <si>
    <t>Jl. Kudus Permai No.1, Kaliwungu, Kudus</t>
  </si>
  <si>
    <t>RS Umum  Nurussyifa</t>
  </si>
  <si>
    <t>Jl. Kudus - Pati Km.10 Jekulo, Kudus</t>
  </si>
  <si>
    <t>Rumkitban 04.08.04 Kartika Husada Kudus</t>
  </si>
  <si>
    <t>Jl. Jend. Sudirman No.64, Kudus</t>
  </si>
  <si>
    <t>RS Aisyiyah Kudus</t>
  </si>
  <si>
    <t xml:space="preserve">Jl. H.O.S. Cokroaminoto No. 248, Mlatinorowito Kec. Kota Kudus Kab. Kudus Jawa Tengah 59319 </t>
  </si>
  <si>
    <t>RS Umum Daerah Merah Putih</t>
  </si>
  <si>
    <t>Magelang</t>
  </si>
  <si>
    <t>Jl. Raya Magelang-Yogyakarta KM 05 Mungkidan Danurejo Mertoyudan</t>
  </si>
  <si>
    <t>RS Umum Daerah Muntilan Kab. Magelang</t>
  </si>
  <si>
    <t>Jl. Kartini No.13 Muntilan Kabupaten Magelang Provinsi Jawa Tengah Kode Pos 56411</t>
  </si>
  <si>
    <t>RS Umum Syubbanul Wathon</t>
  </si>
  <si>
    <t>Jl Magelang Kopeng Km. 8 Dusun Nuren Desa Purwosari Kec. Tegalrejo</t>
  </si>
  <si>
    <t xml:space="preserve">RS Umum Aisyiyah Muntilan </t>
  </si>
  <si>
    <t>JL. KHA Dahlan No. 24 Muntilan</t>
  </si>
  <si>
    <t>RS Umum Daerah Candi Umbul</t>
  </si>
  <si>
    <t>Jl. Pagergunung KM. 1 Kec. Grabag Kab. Magelang</t>
  </si>
  <si>
    <t xml:space="preserve">RS Umum N-21 Gemilang </t>
  </si>
  <si>
    <t xml:space="preserve">Jln. Pondok Pabelan No. 5 , Desa Pabelan, Kecamatan Mungkid, Kabupaten Magelang Provinsi Jawa Tengah </t>
  </si>
  <si>
    <t>RS Umum Daerah Bukit Menoreh</t>
  </si>
  <si>
    <t>Jl. Magelang - Purworejo Km. 15, Salaman, Magelang.</t>
  </si>
  <si>
    <t>RS Ibu dan Anak Ultima</t>
  </si>
  <si>
    <t>Pati</t>
  </si>
  <si>
    <t>Ds.Trangkil RT. 01 RW. 01 Kec. Trangkil Kab. Pati</t>
  </si>
  <si>
    <t>RS Umum Daerah RAA Soewondo</t>
  </si>
  <si>
    <t xml:space="preserve"> Jl. Dr Soesanto  No. 114 Pati</t>
  </si>
  <si>
    <t>RS Keluarga Sehat Tayu</t>
  </si>
  <si>
    <t xml:space="preserve">Jl. Pati-Tayu KM 27, Tayu Pati </t>
  </si>
  <si>
    <t>RS Umum Islam Pati</t>
  </si>
  <si>
    <t>Jl. Raya Pati-Tayu KM.18Waturoyo Margoyoso Pati</t>
  </si>
  <si>
    <t>RS Umum Sebening Kasih</t>
  </si>
  <si>
    <t>Jl. Raya Tayu - Pati Km. 3 No. 99A Pakis Tayu Pati</t>
  </si>
  <si>
    <t>RS Umum Mitra Bangsa Pati</t>
  </si>
  <si>
    <t>Jl. Kol.Sugiyono No.75,Pati</t>
  </si>
  <si>
    <t xml:space="preserve">RS Umum Keluarga Sehat </t>
  </si>
  <si>
    <t xml:space="preserve"> Jl. P. Sudirman No. 9 Margorejo Pati</t>
  </si>
  <si>
    <t>RS Umum Fastabiq Sehat PKU Muhammadiyah Pati</t>
  </si>
  <si>
    <t>Jl. Raya Pati-Tayu Km. 03 Tambaharjo, Pati</t>
  </si>
  <si>
    <t>RS Umum Daerah Kayen Pati</t>
  </si>
  <si>
    <t>Jl. Rumah Sakit No.1 Kayen Pati</t>
  </si>
  <si>
    <t>RS Umum  Budi Agung Pati</t>
  </si>
  <si>
    <t xml:space="preserve">Jl. Bajo No. 7 Juwana </t>
  </si>
  <si>
    <t xml:space="preserve">RS Umum As-Suyuthiyyah </t>
  </si>
  <si>
    <t xml:space="preserve">Jl. Raya Juwana - Tayu Km. 7 Guyangan Trangkil Pati Jawa Tengah </t>
  </si>
  <si>
    <t>RS Ibu dan Anak Aisyiyah Pekajangan Pekalongan</t>
  </si>
  <si>
    <t>Pekalongan</t>
  </si>
  <si>
    <t>Jl. Raya Pekajangan No. 610</t>
  </si>
  <si>
    <t>RS Umum Daerah Kraton Kab. Pekalongan</t>
  </si>
  <si>
    <t xml:space="preserve">  Jl. Veteran 31,Pekalongan</t>
  </si>
  <si>
    <t>RS Umum Daerah Kajen Kab. Pekalongan</t>
  </si>
  <si>
    <t>Jl. Raya Karangsari Karanganyar Kab. Pekalongan</t>
  </si>
  <si>
    <t>RS Islam PKU Muhammadiyah Pekajangan</t>
  </si>
  <si>
    <t>Jl. Raya Ambokembang No.42-44 Kedungwuni Pekalongan Jawa Tengah</t>
  </si>
  <si>
    <t>RS Umum Daerah Kesesi Pekalongan</t>
  </si>
  <si>
    <t>Jl. Raya Kaibahan Kesesi, Desa Kesesi, Kecamatan Kesesi Kab. Pekalongan, Provinsi JawaTengah, Indonesia. 51162</t>
  </si>
  <si>
    <t>RS Prima Sehat Pekalongan</t>
  </si>
  <si>
    <t>Jl. Pantura Rembun No. 1, Kec. Siwalan, Kab. Pekalongan, 51137</t>
  </si>
  <si>
    <t>RS Umum Islam Al-Ikhlas</t>
  </si>
  <si>
    <t>Pemalang</t>
  </si>
  <si>
    <t>Jl. Kolonel Soegiono NO. 13 Taman</t>
  </si>
  <si>
    <t xml:space="preserve">RS Umum Siaga Medika Pemalang </t>
  </si>
  <si>
    <t>Jl. Perintis Kemerdekaan No. 1 Beji (Gandulan) Taman</t>
  </si>
  <si>
    <t>RS Umum Santa Maria Pemalang</t>
  </si>
  <si>
    <t>Jl. Pemuda No. 24 Pemalang</t>
  </si>
  <si>
    <t>RS Umum Daerah Dr. M. Ashari Pemalang</t>
  </si>
  <si>
    <t xml:space="preserve"> Jl. Gatot Subroto No.41,Pemalang</t>
  </si>
  <si>
    <t>Jl. Slamet Riyadi No. 321 Pemalang</t>
  </si>
  <si>
    <t>RS Harapan Sehat Pemalang</t>
  </si>
  <si>
    <t>Jl. RE Martadinata</t>
  </si>
  <si>
    <t>RS Umum Comal Baru</t>
  </si>
  <si>
    <t>Jl. Comal Baru Ujunggede Ampelgading</t>
  </si>
  <si>
    <t>RS Umum Muhammadiyah Mardhatillah</t>
  </si>
  <si>
    <t xml:space="preserve">Jl. Jend. Sudirman Timur Kecamatan Randudongkal </t>
  </si>
  <si>
    <t>RS Muhammadiyah Rodliyah Achid</t>
  </si>
  <si>
    <t>Jl. Raya Moga-Pulosari KM.2 Pemalang</t>
  </si>
  <si>
    <t>RS Ibu dan Anak MPH Purbalingga</t>
  </si>
  <si>
    <t>Purbalingga</t>
  </si>
  <si>
    <t>Jl. Letjen S. Parman No. 56 Kedungmenjangan Purbalingga</t>
  </si>
  <si>
    <t>RS Ibu dan Anak Ummu Hani</t>
  </si>
  <si>
    <t>Jl. D I Panjaitan No 40 A Purbalingga Jawa Tengah</t>
  </si>
  <si>
    <t xml:space="preserve">Jl. May.Jend.Soengkono KM.1,Kec. Kalimanah, Purbalingga dan JL. Soekarno Hatta No.02 Kec. Kalimanah </t>
  </si>
  <si>
    <t xml:space="preserve">RS Umum Siaga Medika Purbalingga </t>
  </si>
  <si>
    <t>Jl. Letnan Sudani Karangsentul Kecamatan Padamara Kabupaten Purbalingga</t>
  </si>
  <si>
    <t>RS Islam At-Tin Husada Purbalingga</t>
  </si>
  <si>
    <t>Jl. Mayjend. Soengkono No. 9, Kel. Selabaya, Kec. Kalimanah</t>
  </si>
  <si>
    <t>RS Umum Nirmala</t>
  </si>
  <si>
    <t>Jl. Letnan Yusup Babakan, Kalimanah Purbalingga</t>
  </si>
  <si>
    <t>RS Umum Daerah dr. R. Goeteng Taroenadibrata</t>
  </si>
  <si>
    <t xml:space="preserve"> Jl. Tentara Pelajar Purbalingga No. 22</t>
  </si>
  <si>
    <t>RS Umum Daerah Panti Nugroho</t>
  </si>
  <si>
    <t>Jl. Soekarno Hatta KM 2 Kelurahan Karang Manyar Kecamatan Kalimanah Kabupaten Purbalingga</t>
  </si>
  <si>
    <t>RS Umum PKU Muhammadiyah Purbalingga</t>
  </si>
  <si>
    <t>Jl. Kolonel Sugiri, RT 002 RW 004, Desa/Kelurahan Gandasuli, Kec.Bobotsari, Kab. Purbalingga, Provinsi Jawa Tengah Kode Pos 53353</t>
  </si>
  <si>
    <t>RS Ibu dan Anak Permata</t>
  </si>
  <si>
    <t>Purworejo</t>
  </si>
  <si>
    <t>Jl. Mayjend Sutoyo No.75 RW. V Sindurjan, Kec. Purworejo, Kabupaten Purworejo, Jawa Tengah 54113</t>
  </si>
  <si>
    <t>RS Umum Daerah Dr. Tjitrowardojo Purworejo</t>
  </si>
  <si>
    <t xml:space="preserve">  Jl. Jend. Sudirman No.60 Purworejo</t>
  </si>
  <si>
    <t>RS Umum Palang Biru Kutoarjo</t>
  </si>
  <si>
    <t>Jl. Marditomo No.17, Kutoarjo, Kab.Purworejo</t>
  </si>
  <si>
    <t>RS Umum Daerah R.A.A Tjokronegoro</t>
  </si>
  <si>
    <t>Jl. Soekarno Hatta, Boro Kulon, Kec. Banyuurip</t>
  </si>
  <si>
    <t>RS Amanah Umat Purworejo</t>
  </si>
  <si>
    <t xml:space="preserve">Jl. Brigjen Katamso No. 144A Purworejo 54115 </t>
  </si>
  <si>
    <t>RS Umum Panti Waluyo Yakkum Purworejo</t>
  </si>
  <si>
    <t>Jl. Ahmad Yani No. 21 Purworejo</t>
  </si>
  <si>
    <t>RS Umum  Aisyiyah</t>
  </si>
  <si>
    <t xml:space="preserve">Jl. Mayjend Soetoyo no 113, Kel. Sindurjan, Kec. Purworejo, Kab. Purworejo, Prop. Jawa Tengah </t>
  </si>
  <si>
    <t>RS Umum Kasih Ibu Purworejo</t>
  </si>
  <si>
    <t>Jl. Mayjend Sutoyo No.19 Desa Pangenjurutengah Kec. Purworejo</t>
  </si>
  <si>
    <t>RS Umum Purwa Husada</t>
  </si>
  <si>
    <t>Jl. Gajah Mada KM. 4 (Jl. Purworejo-Kutoarjo) Candisari, Banyuurip, Purworejo</t>
  </si>
  <si>
    <t>RS Umum Budi Sehat Purworejo</t>
  </si>
  <si>
    <t>Jl. W.R. Supratman No. 183 Cangkrep Lor, Purworejo</t>
  </si>
  <si>
    <t>RS Umum Islam Purworejo</t>
  </si>
  <si>
    <t>Jl. Magelang km.2 Purworejo</t>
  </si>
  <si>
    <t>RS Umum Ananda Purworejo</t>
  </si>
  <si>
    <t xml:space="preserve">Jl. Pahlawan, Sucen Juru Tengah, Bayan Purworejo, </t>
  </si>
  <si>
    <t>RS Bhina Bhakti Husada</t>
  </si>
  <si>
    <t>Rembang</t>
  </si>
  <si>
    <t>Jl. Pemuda KM. 4</t>
  </si>
  <si>
    <t>RS Umum Daerah dr. R. Soetrasno Rembang</t>
  </si>
  <si>
    <t>Jl. Pahlawan No.16 Rembang</t>
  </si>
  <si>
    <t>RS Umum Islam Arafah</t>
  </si>
  <si>
    <t>Jl. Raya Rembang - Lasem Km.5 Tritunggal, Rembang</t>
  </si>
  <si>
    <t>RS PKU Muhammadiyah Pamotan</t>
  </si>
  <si>
    <t>Jl. Raya Pamotan - Lasem Km. 2,5 Pamotan,  Rembang</t>
  </si>
  <si>
    <t>At-Tin Hospital</t>
  </si>
  <si>
    <t>Semarang</t>
  </si>
  <si>
    <t>Jl. Slamet Riyadi No. 14 Tegalrejo, Bawen, Kab. Semarang</t>
  </si>
  <si>
    <t>RS Umum Daerah dr. Gunawan Mangunkusumo</t>
  </si>
  <si>
    <t xml:space="preserve">  Jl. Kartini No.101, Ambarawa</t>
  </si>
  <si>
    <t>RS Umum Ken Saras</t>
  </si>
  <si>
    <t>Jl. Soekarno Hatta Km 29 Bergas, Ungaran-Kab. Semarang</t>
  </si>
  <si>
    <t>RS Umum Daerah dr. Gondo Suwarno</t>
  </si>
  <si>
    <t xml:space="preserve"> Jl. Diponegoro 125,Ungaran</t>
  </si>
  <si>
    <t xml:space="preserve">RS Umum Kusuma Ungaran </t>
  </si>
  <si>
    <t>JL. LETJEN. SUPRAPTO NO 62 SIDOMULYO, UNGARAN TIMUR</t>
  </si>
  <si>
    <t>RS Umum Bina Kasih</t>
  </si>
  <si>
    <t>Jl. Naryo Atmajan 27 Ambarawa</t>
  </si>
  <si>
    <t>RS Ibu dan Anak Restu Ibu</t>
  </si>
  <si>
    <t>Sragen</t>
  </si>
  <si>
    <t>BENDUNGAN, PILANGSARI, NGRAMPAL, SRAGEN</t>
  </si>
  <si>
    <t>RS Umum Daerah dr. Soehadi Prijonegoro</t>
  </si>
  <si>
    <t xml:space="preserve"> Jl. Raya Sukowati No.534, Sragen</t>
  </si>
  <si>
    <t>RS Umum Daerah dr. Soeratno Gemolong</t>
  </si>
  <si>
    <t xml:space="preserve">Jl. R Ngt Tjitrosantjoko 10 Gemolong Gemolong Sragen </t>
  </si>
  <si>
    <t>RS Umum Sarila Husada</t>
  </si>
  <si>
    <t>Jl. Veteran No. 41-43,Sragen</t>
  </si>
  <si>
    <t xml:space="preserve">RS Umum PKU Muhammadiyah Sragen </t>
  </si>
  <si>
    <t>Jl. Raya Sragen-Solo Km. 8, Masaran, Sragen</t>
  </si>
  <si>
    <t>RS Umum Islam Amal Sehat Sragen</t>
  </si>
  <si>
    <t>Jl. Veteran No.35, Sragen, Jawa Tengah</t>
  </si>
  <si>
    <t>RS Umum Islam Yakssi Gemolong</t>
  </si>
  <si>
    <t>Jln. Raya Solo-Purwodadi Km.20, Gemolong</t>
  </si>
  <si>
    <t>RS Umum Assalam</t>
  </si>
  <si>
    <t xml:space="preserve">Jl. Gatot Subroto KM.1,5 Kulon Palang Gemolong </t>
  </si>
  <si>
    <t>RS Umum Rizky Amalia</t>
  </si>
  <si>
    <t>Jalan Jenderal Ahmad Yani Cantel Wetan No.100, Kutorejo, Sragen Tengah, Kec. Sragen, Kabupaten Sragen, Jawa Tengah 57211</t>
  </si>
  <si>
    <t>Rumah Sakit Umum Hastuti</t>
  </si>
  <si>
    <t>Candibaru RT 39 RW 11 Plumbungan Karangmalang Sragen</t>
  </si>
  <si>
    <t>RS Umum Mardi Lestari Sragen</t>
  </si>
  <si>
    <t>Jl. Rokan No. 8 Sragen</t>
  </si>
  <si>
    <t>RS Umum Saras Ibnu Sina Sukowati</t>
  </si>
  <si>
    <t>Jl. Jatayu RT. 03 RW. 02 Taman Agung, Nglorog</t>
  </si>
  <si>
    <t>RS Umum Daerah Sukowati Tangen</t>
  </si>
  <si>
    <t>Jl. Raya Tangen Gesi, Dukuh Brakbunder, Katelan, Tangen</t>
  </si>
  <si>
    <t>RS Orthopedi Prof. Dr. R. Soeharso</t>
  </si>
  <si>
    <t>Sukoharjo</t>
  </si>
  <si>
    <t>Jl. Jenderal Ahmad Yani Pabelan, Surakarta 57162</t>
  </si>
  <si>
    <t>RS Khusus Orthopedi Karima Utama</t>
  </si>
  <si>
    <t xml:space="preserve">Jl. Amarta 8-10 Ngabeyan Kartasura, Sukoharjo - Jawa Tengah </t>
  </si>
  <si>
    <t>RS Umum Daerah Ir. Soekarno Kabupaten Sukoharjo</t>
  </si>
  <si>
    <t>Jl. Dr. Muwardi 71, Sukoharjo</t>
  </si>
  <si>
    <t>RS Islam Surakarta YARSIS</t>
  </si>
  <si>
    <t>Jl. Ahmad Yani Mendungan Pabelan Kartasura Sukoharjo</t>
  </si>
  <si>
    <t>RS Umum PKU Muhammadiyah Sukoharjo</t>
  </si>
  <si>
    <t>Jl. Mayor Sunaryo No. 37, Kelurahan Sukoharjo, Kecamatan Sukoharjo, Kabupaten Sukoharjo, Provinsi Jawa Tengah</t>
  </si>
  <si>
    <t>RS Umum Universitas Sebelas Maret</t>
  </si>
  <si>
    <t>Jl. Ahmad Yani 200 Makamhaji Kartasura Sukoharjo</t>
  </si>
  <si>
    <t>RS Umum Indriati</t>
  </si>
  <si>
    <t>Jl. Palem Raya Langenharjo Sukoharjo</t>
  </si>
  <si>
    <t>RS Umum Nirmala Suri</t>
  </si>
  <si>
    <t>Jl. Raya Solo Sukoharjo KM. 09 Sukoharjo 57527</t>
  </si>
  <si>
    <t>RS Umum Dr. Oen Solo Baru</t>
  </si>
  <si>
    <t>Komplek Perumahan Solo Baru Kec.Grogol Sukoharjo</t>
  </si>
  <si>
    <t>RS PKU Muhammadiyah Kartasura</t>
  </si>
  <si>
    <t>Jl. Slamet Riyadi No. 06, Kelurahan Kartasura, Kec. Kartasura, Kab. Sukoharjo, Jawa Tengah</t>
  </si>
  <si>
    <t>RS Ibu dan Anak Pala Raya</t>
  </si>
  <si>
    <t>Tegal</t>
  </si>
  <si>
    <t>Jl. Pala Raya 11A Mejasem Barat Tegal Kec.Kramat</t>
  </si>
  <si>
    <t>RS Umum Daerah dr. Soeselo Slawi Kabupaten Tegal</t>
  </si>
  <si>
    <t>Jl. Dr. Sutomo No.63 Desa Slawi Kulon Kecamatan Slawi</t>
  </si>
  <si>
    <t>RS Umum  Mitra Siaga</t>
  </si>
  <si>
    <t>Jl. Pala Raya No.54 Tegal</t>
  </si>
  <si>
    <t>RSI PKU Muhammadiyah Tegal</t>
  </si>
  <si>
    <t>Jl. Raya Singkil Km.0,5 Adiwerna, - Tegal Desa Adiwerna, Kec. Adiwerna, Kab. Tegal, Provinsi Jawa Tengah</t>
  </si>
  <si>
    <t>RS Mitra Siaga Tarub</t>
  </si>
  <si>
    <t>Jl. Karangjati RT. 001 RW. 001 Desa/Kel. Karangjati Kec. Tarub</t>
  </si>
  <si>
    <t>RS Umum Daerah Suradadi</t>
  </si>
  <si>
    <t xml:space="preserve">Jl. Raya Tegal-Pemalang KM.12 </t>
  </si>
  <si>
    <t>RS Mitra Keluarga Slawi</t>
  </si>
  <si>
    <t>Jl. Ahmad Yani RT. 05 RW. 01 Kel. Procot Kec. Slawi</t>
  </si>
  <si>
    <t>RS Hawari Essa</t>
  </si>
  <si>
    <t>Jl. Raya Kajen RT 001 RW 005, Desa Kajen, Kec. Lebaksiu, Kab. Tegal</t>
  </si>
  <si>
    <t>RS Umum Tk. IV Tegal</t>
  </si>
  <si>
    <t xml:space="preserve">  Jl. Raya Pagongan, Pepedan, Kecamatan Dukuhturi, Kabupaten Tegal</t>
  </si>
  <si>
    <t>RS Harapan Sehat Slawi</t>
  </si>
  <si>
    <t>Jl. Gatot Subroto, Slawi, Kabupaten Tegal</t>
  </si>
  <si>
    <t>RS Umum Adella</t>
  </si>
  <si>
    <t>Jl. Prof.Moh. Yamin No.77 Slawi</t>
  </si>
  <si>
    <t>RS Umum Daerah Kabupaten Temanggung</t>
  </si>
  <si>
    <t>Temanggung</t>
  </si>
  <si>
    <t xml:space="preserve">  Jl. Gajahmada 1A</t>
  </si>
  <si>
    <t>RS PKU Muhammadiyah Temanggung</t>
  </si>
  <si>
    <t>JL. RAYA KEDU KM 2 KALISAT CAMPURSARI BULU TEMANGGUNG</t>
  </si>
  <si>
    <t>RS Umum Ngesti Waluyo</t>
  </si>
  <si>
    <t>Jl. Pahlawan Parakan,Temanggung, Jawa Tengah</t>
  </si>
  <si>
    <t>RS Umum Gunung Sawo Kab. Temanggung</t>
  </si>
  <si>
    <t>Jl. Gatot Subroto Km. 2, Manding Temanggung</t>
  </si>
  <si>
    <t>RS Umum Daerah Dr. Soediran Mangun Sumarso Wonogi</t>
  </si>
  <si>
    <t>Wonogiri</t>
  </si>
  <si>
    <t xml:space="preserve"> Jl. Jend A Yani No. 40,Giriwono, Wonogiri, Jateng</t>
  </si>
  <si>
    <t>RS Hermina Wonogiri</t>
  </si>
  <si>
    <t>Jl. Raya Wonogiri-Ngadirojo KM 5 Wonogiri</t>
  </si>
  <si>
    <t>RS Umum  Amal Sehat</t>
  </si>
  <si>
    <t>Jl. Ngerjopuro RT.02/RW.03,Slogohimo Wonogiri</t>
  </si>
  <si>
    <t>RS Umum Maguan Husada</t>
  </si>
  <si>
    <t>Jl. Raya Pracimantoro-Giribelah Km.6  Suci, Kec. Pracimantoro, Kab. Wonogiri, Provinsi Jawa Tengah</t>
  </si>
  <si>
    <t>RS Umum Muhammadiyah Selogiri</t>
  </si>
  <si>
    <t>Jl. Lama Bulak, RT.02, RW.04 Desa Nambangan Selogiri, Wonogiri</t>
  </si>
  <si>
    <t>RS Umum Astrini</t>
  </si>
  <si>
    <t>JL. Brigjend Katamso, Kaliancar, Selogiri.</t>
  </si>
  <si>
    <t>RS PKU Muhammadiyah Wonogiri</t>
  </si>
  <si>
    <t>jl. Durian No 28 Sanggrahan, Desa/Kelurahan Giripurwo, Kec. Wonogiri, Kab. Wonogiri, Provinsi Jawa Tengah</t>
  </si>
  <si>
    <t>RS Fitri Candra</t>
  </si>
  <si>
    <t>Jl. Brigjjend Katamso, Klampisan, Selogiri Wonogiri 57652</t>
  </si>
  <si>
    <t>RS Umum Mulia Hati Wonogiri</t>
  </si>
  <si>
    <t>Jl.RM.Said No.08, Brumbung, Kaliancar, Selogiri,Wonogiri</t>
  </si>
  <si>
    <t>RS Ibu dan Anak Adina</t>
  </si>
  <si>
    <t>Wonosobo</t>
  </si>
  <si>
    <t>Jl. Pasukan Ronggolawe No.24, Wonosobo</t>
  </si>
  <si>
    <t>RS Umum  PKU Muhammadiyah Wonosobo</t>
  </si>
  <si>
    <t>Jl. Gatot Subroto, Sudungdewo, Kec. Kertek, Kab. Wonosobo, Prov. Jawa Tengah 56371</t>
  </si>
  <si>
    <t>RS Umum Setjonegoro Wonosobo</t>
  </si>
  <si>
    <t xml:space="preserve"> Jl. Setjonegoro No.1,Wonosobo</t>
  </si>
  <si>
    <t>RS Umum Islam Wonosobo</t>
  </si>
  <si>
    <t>Jl. Letjen S. Parman Km.3 Wonosobo</t>
  </si>
  <si>
    <t>RS Umum AISs Wonosobo</t>
  </si>
  <si>
    <t>Jl. A. Yani / T. Jogonegoro No. 2A RT. 02 RW. 07, Jaraksari Kec. Wonosobo</t>
  </si>
  <si>
    <t>Jawa Timur</t>
  </si>
  <si>
    <t>RS Khusus Bedah Al Ishaqiy</t>
  </si>
  <si>
    <t>Bangkalan</t>
  </si>
  <si>
    <t>Jl. RE Martadinata No. 34 Bangkalan Provinsi Jawa Timur</t>
  </si>
  <si>
    <t>RS Khusus Bedah Heart and Surgery</t>
  </si>
  <si>
    <t>Jl. Sukarno-Hatta 34A Bangkalan</t>
  </si>
  <si>
    <t>RS Ibu Dan Anak Hikmah Sawi</t>
  </si>
  <si>
    <t>Jl. KH. Moh. Toha No. 1A Bangkalan</t>
  </si>
  <si>
    <t>RS Ibu dan Anak Glamour Husada Kebun</t>
  </si>
  <si>
    <t>Dusun Labang Laok RT 001 RW 001 Desa Kebun Kec. Kamal</t>
  </si>
  <si>
    <t>RS Ibu dan Anak Aisyiyah</t>
  </si>
  <si>
    <t>Jl. Letnan Ramli No. 21, Rw. 02, Desa/Kelurahan Kraton, Kec. Bangkalan, Kab. Bangkalan, Provinsi Jawa Timur</t>
  </si>
  <si>
    <t>RS Umum Daerah Syarifah Ambami Rato Ebu</t>
  </si>
  <si>
    <t>Jl. Pemuda Kaffa No. 9 Bangkalan</t>
  </si>
  <si>
    <t>RS Umum Lukas</t>
  </si>
  <si>
    <t>Jl. KH. Moch Kholil no. 36A Bangkalan Kab Bangkalan Provinsi Jawa Timur Kode Pos 69115</t>
  </si>
  <si>
    <t>RS Umum Anna Medika Madura</t>
  </si>
  <si>
    <t>Jl. RE Martadinata No. 10 Mlajah Bangkalan</t>
  </si>
  <si>
    <t>RS Umum Daerah Blambangan</t>
  </si>
  <si>
    <t>Banyuwangi</t>
  </si>
  <si>
    <t xml:space="preserve">  Jl. Letkol Istiqlah No. 49 Banyuwangi</t>
  </si>
  <si>
    <t xml:space="preserve">RS Al Huda </t>
  </si>
  <si>
    <t>Jl. Raya Gambiran No. 225, Desa Gambiran, Kec. Gambiran, Kab. Banyuwangi</t>
  </si>
  <si>
    <t>RS Umum Daerah Genteng</t>
  </si>
  <si>
    <t xml:space="preserve">   Jl. Hasanudin No.98, Genteng, Banyuwangi - Jawa Timur</t>
  </si>
  <si>
    <t>Jl. Krikilan-Glenmore Dusun Krajan, Tegalharjo</t>
  </si>
  <si>
    <t>RS Graha Medika</t>
  </si>
  <si>
    <t>Jl. Raya Genteng, Dusun Sidorejo Wetan RT 001 RW 001 Desa Yosomulyo, Kecamatan Gambiran, Kabupaten Banyuwangi</t>
  </si>
  <si>
    <t>RS Islam Fatimah</t>
  </si>
  <si>
    <t>Jl. Jember nomor 25, Kelurahan Kalirejo, Kab. Banyuwangi, Provinsi Jawa Timur</t>
  </si>
  <si>
    <t>RS Nahdlatul Ulama Banyuwangi</t>
  </si>
  <si>
    <t>Jl. Raya Mangir No. 9, Kec. Rogojampi, Banyuwangi</t>
  </si>
  <si>
    <t>RS Yasmin</t>
  </si>
  <si>
    <t>Jl. Letkol Istiqlah Nomor 80-84 Banyuwangi</t>
  </si>
  <si>
    <t>RS Umum PKU Muhammadiyah Rogojampi</t>
  </si>
  <si>
    <t>Jalan P. Diponegoro Nomor 20 Rogojampi, Kab. Banyuwangi</t>
  </si>
  <si>
    <t>RS Umum Rahayu Medika</t>
  </si>
  <si>
    <t>Jl. Pekulo-Sukomukti No.09, Kebaman, Srono, Banyuwangi  Jawa Timur</t>
  </si>
  <si>
    <t>RS Umum Bakti Mulia Banyuwangi</t>
  </si>
  <si>
    <t>Jl. Brawijaya No. 46-47, Dsn. Krajan RT 01, RW 14, Ds Kedungrejo, Kec. Muncar, Kab. Banyuwangi, Jawa Timur</t>
  </si>
  <si>
    <t>RS Al-Rohmah Banyuwangi</t>
  </si>
  <si>
    <t>Jl. A. Yani No. 37 Jajag Gambiran, Banyuwangi</t>
  </si>
  <si>
    <t>RS Umum Abdhi Famili</t>
  </si>
  <si>
    <t>Jl. KH. Moh. Ikrom RT 002 / RW 001 Wringinrejo, Gambiran-Banyuwangi</t>
  </si>
  <si>
    <t>RS Umum Daerah Ngudi Waluyo Wlingi</t>
  </si>
  <si>
    <t>Blitar</t>
  </si>
  <si>
    <t>Jl. Dr. Sucipto No. 5 Wlingi Kabupaten Blitar</t>
  </si>
  <si>
    <t>RS Umum Daerah Srengat Kab. Blitar</t>
  </si>
  <si>
    <t>JL. RAYA DANDONG RT 002 RW 003 KEL. DANDONG, KEC. SRENGAT,KAB. BLITAR</t>
  </si>
  <si>
    <t>Jl. Mastrip No. 14 Srengat Kab. Blitar</t>
  </si>
  <si>
    <t>RS Umum Medika Utama</t>
  </si>
  <si>
    <t>Jl. Kusuma Bangsa No. 1 Kanigoro Blitar 66171</t>
  </si>
  <si>
    <t>RS Umum Wava Husada Kesamben</t>
  </si>
  <si>
    <t>Jl. Raya Kesamben Jugo No 1 RT 04 RW 07 Desa Kesamben, Kecamatan Kesamben, Kabupaten Blitar</t>
  </si>
  <si>
    <t>RS Umum Aulia Blitar</t>
  </si>
  <si>
    <t>Jl. Raya Utara No. 3 Kembangarum, Sutojayan, Kab. Blitar</t>
  </si>
  <si>
    <t>RS Umum An-Nisaa</t>
  </si>
  <si>
    <t>Jl. Suparyono Timur No. 1, Bajang Talun Blitar</t>
  </si>
  <si>
    <t>RS Umum Al-Ittihad</t>
  </si>
  <si>
    <t>JL. RAYA TOGOGAN, Desa/Kelurahan Togogan, Kec. Srengat, Kab. Blitar, Provinsi Jawa Timur, Kode Pos: 66152</t>
  </si>
  <si>
    <t>RS Ibu dan Anak Fatma</t>
  </si>
  <si>
    <t>Bojonegoro</t>
  </si>
  <si>
    <t>JL Lettu Suyitno No 2 Desa Campurejo Kecamatan Bojonegoro Kabupaten Bojonegoro</t>
  </si>
  <si>
    <t>RS Umum Daerah Dr. R. Sosodoro Djatikoesoemo</t>
  </si>
  <si>
    <t xml:space="preserve"> Jl. Veteran No 36, Bojonegoro</t>
  </si>
  <si>
    <t>RS Umum Aisyiyah Bojonegoro</t>
  </si>
  <si>
    <t>Jl. Hasyim Asyari 17 Bojonegoro</t>
  </si>
  <si>
    <t>RS umum Daerah Padangan</t>
  </si>
  <si>
    <t>Jl. Dr. Soetomo No. 2 Padangan, Bojonegoro</t>
  </si>
  <si>
    <t xml:space="preserve">RS Bhayangkara Wahyu Tutuko Bojonegoro </t>
  </si>
  <si>
    <t>Jl. Panglima Sudirman No 168-169 Bojonegoro</t>
  </si>
  <si>
    <t>RS Umum Daerah Sumberrejo</t>
  </si>
  <si>
    <t>Jl. Raya No. 231 Sumberrejo, Bojonegoro</t>
  </si>
  <si>
    <t>RS Umum Muhamadiyah Sumberejo</t>
  </si>
  <si>
    <t>Jl. Raya Sumberrejo 1193 Bojonegoro</t>
  </si>
  <si>
    <t>RS Umum Muhammadiyah Kalitidu</t>
  </si>
  <si>
    <t>Jl.Raya Kalitidu Cepu No. 266</t>
  </si>
  <si>
    <t>RS Umum Daerah Kepohbaru</t>
  </si>
  <si>
    <t>Jl. Raya Kepohbaru-Gunungsari No. 472 Kec. Kepohbaru Kab. Bojonegoro Jawa Timur</t>
  </si>
  <si>
    <t>RS Muslimat NU Muna Anggita Bojonegoro</t>
  </si>
  <si>
    <t>Jl. Ahmad Yani No. 10A Bojonegoro</t>
  </si>
  <si>
    <t>RS Umum Ibnu Sina Bojonegoro</t>
  </si>
  <si>
    <t>Jl. Lisman No.7 Campurejo</t>
  </si>
  <si>
    <t>RS Umum dr. H.Koesnadi Bondowoso</t>
  </si>
  <si>
    <t>Bondowoso</t>
  </si>
  <si>
    <t xml:space="preserve"> Jl. Piere Tendean No. 3 Bondowoso</t>
  </si>
  <si>
    <t>RS Mitra Medika Bondowoso</t>
  </si>
  <si>
    <t>Jl. HOS Cokroaminoto nomer 98 Kab. Bondowoso</t>
  </si>
  <si>
    <t xml:space="preserve">RS Bhayangkara Bondowoso </t>
  </si>
  <si>
    <t>JL. Jend. Pol. Sucipto Judodiharjo No. 12, Kec.  Bondowoso, Kab. Bondowoso</t>
  </si>
  <si>
    <t>RS Cahya Medika</t>
  </si>
  <si>
    <t>Jl. Raya Pakisan No.24 RT.19/RW.07, Desa Bataan, Kecamatan Tenggarang, Kabupaten Bondowoso, Jawa Timur</t>
  </si>
  <si>
    <t>RS Ibu dan Anak Khodijah</t>
  </si>
  <si>
    <t>Gresik</t>
  </si>
  <si>
    <t>Jl. Pelita III Ds. Mriyunan Kec. Sidayu</t>
  </si>
  <si>
    <t>RS Semen Gresik</t>
  </si>
  <si>
    <t>Jl. R A Kartini No. 280 Kel. Tlogopatut Kec. Gresik, Kab. Gresik</t>
  </si>
  <si>
    <t>RS Umum Daerah Ibnu Sina Kab. Gresik</t>
  </si>
  <si>
    <t>Jl. Dr. Wahidin Sudirohusodo No. 243B Gresik</t>
  </si>
  <si>
    <t>RS Umum Nyai Ageng Pinatih Gresik</t>
  </si>
  <si>
    <t>Jl. KH Abdul Karim 76-78 Gresik</t>
  </si>
  <si>
    <t>RS Muhammadiyah Gresik</t>
  </si>
  <si>
    <t>JL.KH.KHOLIL 88 , KELURAHAN KROMAN  ,KECAMATAN GRESIK, KABUPATEN GRESIK,PROVINSI JAWA TIMUR KODE POS  61115</t>
  </si>
  <si>
    <t>RS Petrokimia Gresik</t>
  </si>
  <si>
    <t>Jl. Jend. A. Yani No. 69 Kel. Ngipik, Kec. Ngipik, Kab. Gresik</t>
  </si>
  <si>
    <t>RS Petrokimia Gresik Driyorejo</t>
  </si>
  <si>
    <t>Jl. Legundi Km. 0,5 Krikilan Driyorejo Gresik</t>
  </si>
  <si>
    <t>RS Fathma Medika</t>
  </si>
  <si>
    <t>JL. PENDOPO NO. 45, SEMBAYAT, MANYAR</t>
  </si>
  <si>
    <t xml:space="preserve">RS Grha Husada Gresik </t>
  </si>
  <si>
    <t>Komplek Perum PT Petrokimia Gresik, Jalan Padi No.3, Tlogopojok, Kroman, Kec. Gresik, Kabupaten Gresik, Jawa Timur 61118</t>
  </si>
  <si>
    <t>RS Umum Mabarrot MWC NU</t>
  </si>
  <si>
    <t>Jl. Raya Bungah Dukun No. 1D, Desa/Kelurahan Masangan, Kec. Bungah, Kab. Gresik, Provinsi Jawa Timur, Kode Pos 61152</t>
  </si>
  <si>
    <t>RS Umum Wali Songo I</t>
  </si>
  <si>
    <t>Jl. Raya Balongpanggang - Mojokerto Km 4 Kec. Balongpanggang</t>
  </si>
  <si>
    <t>RS Umum Islam Cahaya Giri Gresik</t>
  </si>
  <si>
    <t>Jl Raya Bringkang no 90-94 , Desa/Kelurahan Bringkang, Kec. Menganti, Kab. Gresik, Provinsi Jawa Timur, Kode Pos: 61174</t>
  </si>
  <si>
    <t>RS PKU Muhammadiyah Sekapuk</t>
  </si>
  <si>
    <t xml:space="preserve">Jln. Raya Deandles No. 21 Kelurahan Desa Sekapuk  RT 01 RW 01 Kecamatan Ujungpangkah  Kabupaten Gresik Propinsi Jawa Timur 61154 </t>
  </si>
  <si>
    <t xml:space="preserve">RS Umum Rachmi Dewi </t>
  </si>
  <si>
    <t>Jl. Jawa No. 79 - 81, Gresik Kota Baru, Kec. Manyar, Kab. Gresik, Provinsi Jawa Timur 61151</t>
  </si>
  <si>
    <t>RS Denisa</t>
  </si>
  <si>
    <t>Jl. Dr. Wahidin Sudirohusodo No.736</t>
  </si>
  <si>
    <t>RS Umum Daerah Umar Mas'ud Bawean</t>
  </si>
  <si>
    <t>Jl. Pendidikan No. 2 Desa Sawahmulya Kecamatan Sangkapura Kabupaten Gresik Provinsi Jawa Timur Indonesia</t>
  </si>
  <si>
    <t>RS Umum Wates Husada</t>
  </si>
  <si>
    <t>Jl Raya Wates Utara Kec. Balongpanggang Kab. Gresik</t>
  </si>
  <si>
    <t>RS Umum Randegansari Husada</t>
  </si>
  <si>
    <t>Dsn. Telapak RT. 02 RW. 01 Ds. Randegansari Kec. Driyorejo</t>
  </si>
  <si>
    <t>RS Surya Medika</t>
  </si>
  <si>
    <t>Jl. Laban Kulon 58 Menganti</t>
  </si>
  <si>
    <t>RS Gigi dan Mulut Universitas Jember</t>
  </si>
  <si>
    <t>Jember</t>
  </si>
  <si>
    <t>Jl. Kalimantan No. 37 Jember, Kecamatan Sumbersari, Kabupaten Jember,  68121</t>
  </si>
  <si>
    <t>RS Paru Jember</t>
  </si>
  <si>
    <t>Jl. Nusa Indah No. 28 Jember</t>
  </si>
  <si>
    <t>RS Umum Daerah Dr. Soebandi Jember</t>
  </si>
  <si>
    <t>Jl. Dr. Soebandi No.124, Jember</t>
  </si>
  <si>
    <t>RS Siloam Jember</t>
  </si>
  <si>
    <t>Jl. Gajah Mada 104 Kelurahan Jember Kidul Kecamatan Kaliwates</t>
  </si>
  <si>
    <t>RS Umum Citra Husada Jember</t>
  </si>
  <si>
    <t>Jl. Teratai No. 22 , Kelurahan Gebang, Kecamatan Patrang, Kabupaten Jember , Provinsi Jawa Timur</t>
  </si>
  <si>
    <t>RS Perkebunan PTPN X (Persero) Jember</t>
  </si>
  <si>
    <t xml:space="preserve">Jl. Bedadung No.2 </t>
  </si>
  <si>
    <t>RS Bina Sehat Jember</t>
  </si>
  <si>
    <t>Jl. Jayanegara 7 Kaliwates Jember</t>
  </si>
  <si>
    <t>RS Kaliwates Jember</t>
  </si>
  <si>
    <t>Jl. Diah Pitaloka Nomor 4 Jember</t>
  </si>
  <si>
    <t>RS Daerah Kalisat Jember</t>
  </si>
  <si>
    <t>Jl. M.H.Thamrin No.31 Kalisat ,Desa Ajung, Kecamatan Kalisat, Kabupaten Jember, Provinsi Jawa Timur</t>
  </si>
  <si>
    <t>RS Daerah Balung Jember</t>
  </si>
  <si>
    <t>Jalan Rambipuji, No 19, Desa Balung Lor, Kecamatan Balung, Kabupaten Jember, Provinsi Jawa Timur</t>
  </si>
  <si>
    <t>RS Umum Srikandi IBI Jember</t>
  </si>
  <si>
    <t xml:space="preserve">Jl. KH Agus Salim No. 20 Kelurahan Tegal Besar Kecamatan Kaliwates Kabupaten Jember, Provinsi Jawa Timur </t>
  </si>
  <si>
    <t>RS Tk. III Baladhika Husada Jember</t>
  </si>
  <si>
    <t>Jl. PB Sudirman No. 45 Jember</t>
  </si>
  <si>
    <t>RS Umum Universitas Muhammadiyah Jember</t>
  </si>
  <si>
    <t>Jl. Wolter Monginsidi Nomor 91 Lingkungan Sumber Salak RT. 001 RW. 005 Kel. Kranjingan Kec. Sumbersari</t>
  </si>
  <si>
    <t>RS Utama Husada Jember</t>
  </si>
  <si>
    <t>Jl. Manggar No.134 Tegalsari, Ambulu Jember</t>
  </si>
  <si>
    <t>RS Bedah Surya Dharma Husada</t>
  </si>
  <si>
    <t>Jombang</t>
  </si>
  <si>
    <t>Jl. KH. Hasyim Asyari No. 123 Jombang Jawa Timur</t>
  </si>
  <si>
    <t>RS Ibu dan Anak Muslimat Jombang</t>
  </si>
  <si>
    <t>Jl. Urip Sumohardjo No 34 Jombang</t>
  </si>
  <si>
    <t>RS Umum Daerah Kab. Jombang</t>
  </si>
  <si>
    <t>Jl. KH. Wahid Hasyim No.52, Jombang</t>
  </si>
  <si>
    <t>RS Kristen Mojowarno</t>
  </si>
  <si>
    <t>Jl. Merdeka No.59 Mojowarno, Jombang</t>
  </si>
  <si>
    <t>RS Umum Pelengkap Medical Center</t>
  </si>
  <si>
    <t>Jl. Ir. Juanda Nomor 03, Jombang, Provinsi Jawa Timur</t>
  </si>
  <si>
    <t>RS Umum Islam Jombang</t>
  </si>
  <si>
    <t>Jl. Brigjen Kretarto 22 A Jombang</t>
  </si>
  <si>
    <t>RS Hasyim Asy'ari</t>
  </si>
  <si>
    <t>Jl. Cukir-Parkir Makam Gus Dur, Desa Kwaron, Kecamatan Diwek</t>
  </si>
  <si>
    <t>RS Unipdu Medika Jombang</t>
  </si>
  <si>
    <t xml:space="preserve">Jl. Raya Peterongan Jogoroto Km.0.5, Jombang  </t>
  </si>
  <si>
    <t>RS Umum Daerah Ploso</t>
  </si>
  <si>
    <t xml:space="preserve"> Jl. Darmo Sugondo No.83 Rejoagung-Ploso</t>
  </si>
  <si>
    <t>RS Umum dr. Moedjito Dwidjosiswojo</t>
  </si>
  <si>
    <t>Jl. Hayam Wuruk No. 9</t>
  </si>
  <si>
    <t>RS Muhammadiyah Jombang</t>
  </si>
  <si>
    <t>Jl. Dr. Soetomo No.15 Jombang, Jawa Timur</t>
  </si>
  <si>
    <t>RS Umum Nadhlatul Ulama Jombang</t>
  </si>
  <si>
    <t>Jl Hasyim Ashari No 211 Jombang</t>
  </si>
  <si>
    <t>RS Umum PKU Muhammadiyah Mojoagung</t>
  </si>
  <si>
    <t>Jl. Raya Sumobito No 3 Terusan Gambiran Betek, Desa mancilan, Kecamatan Mojoagung, Kabupaten Jombang</t>
  </si>
  <si>
    <t>RS Airlangga Jombang</t>
  </si>
  <si>
    <t>Jl. Airlangga, No. 50 C Jelakombo  Kecamatan Jombang Kabupaten Jombang Provinsi Jawa Timur</t>
  </si>
  <si>
    <t>RS Al-Aziz</t>
  </si>
  <si>
    <t>Jl Raya Tembelang, Kec. Tembelang Kab. Jombang</t>
  </si>
  <si>
    <t>RS Ibu dan Anak Permata Hati Pare Kediri</t>
  </si>
  <si>
    <t>Kediri</t>
  </si>
  <si>
    <t>Jl. Raya Kediri Nomor 48, Ds. Darungan, Kec Pare Kab Kediri</t>
  </si>
  <si>
    <t>RS Ibu dan Anak Kasih Bunda</t>
  </si>
  <si>
    <t>Jl. Jaya Wijaya No.1, Kec. Pare Kab. Kediri</t>
  </si>
  <si>
    <t>RS Umum Daerah Kabupaten Kediri</t>
  </si>
  <si>
    <t>Jl. Pahlawan Kusuma Bangsa No. 1 Pare</t>
  </si>
  <si>
    <t>RS Umum  Aura Syifa</t>
  </si>
  <si>
    <t>Jl. Joyoboyo 42 Dsn. Dlopo Desa Karangrejo Kecamatan Ngasem</t>
  </si>
  <si>
    <t>RS Umum Daerah Simpang Lima Gumul Kediri</t>
  </si>
  <si>
    <t>Jl. Galuh Candra Kirana Desa Tugurejo Kecamatan Ngasem Kabupaten Kediri</t>
  </si>
  <si>
    <t>RS Toeloengredjo</t>
  </si>
  <si>
    <t>Jl. A Yani No. 25, Pare,  Kec. Pare, Kediri, Jawa Timur 64212</t>
  </si>
  <si>
    <t>RS Umum  Wilujeng</t>
  </si>
  <si>
    <t>Jl. Joyoboyo No.4 Padangan Kec Kayen Kidul, Kab. Kediri</t>
  </si>
  <si>
    <t>RS Umum Amelia</t>
  </si>
  <si>
    <t>Jl. Pahlawan No. 25A Pare Kediri</t>
  </si>
  <si>
    <t xml:space="preserve">RS Umum Muhammadiyah Surya Melati </t>
  </si>
  <si>
    <t>Jl. Raya Ngadiluwih - Wates km. 10, Ds. Ngletih, Kec. Kandat, Kab, Kediri, Prov. Jawa Timur</t>
  </si>
  <si>
    <t>RS Umum Arga Husada</t>
  </si>
  <si>
    <t>Jl Raya Branggahan Dsn krajan Ds. Branggahan Kec. Ngadiluwih</t>
  </si>
  <si>
    <t>RS Muhammadiyah Siti Khodijah</t>
  </si>
  <si>
    <t>JL. Dr. Soetomo 322 Sukorejo Kec. Gurah Kab. Kediri</t>
  </si>
  <si>
    <t>RS Ibu dan Anak Haji</t>
  </si>
  <si>
    <t>Kota Batu</t>
  </si>
  <si>
    <t>Jl. KH. Agus Salim No. 35,Kel. Sisir, Kec. Batu, Kota Batu, Jawa Timur</t>
  </si>
  <si>
    <t xml:space="preserve">RS Umum Karsa Husada Kota Batu </t>
  </si>
  <si>
    <t xml:space="preserve"> Jl. A.Yani No.10-13 Kota Batu </t>
  </si>
  <si>
    <t>RS Baptis Batu</t>
  </si>
  <si>
    <t>Jln. Raya Panglima Sudirman No. 33 Desa Tlekung, Kecamatan Junrejo, Kota Batu, Jawa Timur</t>
  </si>
  <si>
    <t xml:space="preserve">RS Bhayangkara Hasta Brata Batu </t>
  </si>
  <si>
    <t xml:space="preserve"> Jl Kartini No 1 Kel. Ngaglik Kec. Batu, Kota Batu</t>
  </si>
  <si>
    <t>RS Umum dr. Etty Asharto Batu</t>
  </si>
  <si>
    <t>Jl. Sajid No 44 Pesanggrahan</t>
  </si>
  <si>
    <t>RS Punten</t>
  </si>
  <si>
    <t>Jl. Kenanga No. 300 Bulukerto Kecamatan Bumiaji Kota Batu</t>
  </si>
  <si>
    <t>RS Ibu dan Anak Tanjungsari</t>
  </si>
  <si>
    <t>Kota Blitar</t>
  </si>
  <si>
    <t>Jl. Mahakam No. 147-149 Kel. Tanjungsari Kec. Sukorejo</t>
  </si>
  <si>
    <t>RS Umum Daerah Mardi Waluyo</t>
  </si>
  <si>
    <t xml:space="preserve"> Jl. Kalimantan 113, Kota Blitar</t>
  </si>
  <si>
    <t>RS Islam Aminah</t>
  </si>
  <si>
    <t>Jl. Kenari No. 54 Blitar</t>
  </si>
  <si>
    <t>RS Umum Aminah Blitar</t>
  </si>
  <si>
    <t>Jl. Veteran No. 39 Kel. Kepanjen Kidul</t>
  </si>
  <si>
    <t>RS Umum Syuhada Haji</t>
  </si>
  <si>
    <t>Jl. Tanjung No.158 Pakunden Kota Blitar</t>
  </si>
  <si>
    <t>RS Katolik Budi Rahayu</t>
  </si>
  <si>
    <t>Jl.  A. Yani 18 Kota Blitar</t>
  </si>
  <si>
    <t>RS Gigi Mulut IIK Bhakti Wiyata</t>
  </si>
  <si>
    <t>Kota Kediri</t>
  </si>
  <si>
    <t>Jl. KH. Wachid Hasyim No. 65</t>
  </si>
  <si>
    <t>RS Ibu dan Anak Citra Keluarga</t>
  </si>
  <si>
    <t>Jl. Urip Sumoharjo 189, Kelurahan Ngronggo Kecamatan Kota - Kota Kediri Provinsi Jawa Timur Kode Pos 64129</t>
  </si>
  <si>
    <t>RS Ibu dan Anak Melinda</t>
  </si>
  <si>
    <t>JL BALOWERTI GG II NO.59 KELURAHAN BALOWERTI KECAMATAN KOTA - KOTA KEDIRI JAWA TIMUR-64121</t>
  </si>
  <si>
    <t>RS Ibu dan Anak Nirmala Kediri</t>
  </si>
  <si>
    <t>Jl. Jaksa Agung Suprapto No. 5 Kediri</t>
  </si>
  <si>
    <t>RS Umum Bhayangkara Kediri</t>
  </si>
  <si>
    <t>Jl. Kombes Pol Duryat 17 Kediri</t>
  </si>
  <si>
    <t>RS Umum Daerah Gambiran</t>
  </si>
  <si>
    <t>JL. KAPTEN PIERRE TENDEAN NO. 16 KOTA KEDIRI</t>
  </si>
  <si>
    <t>RS Baptis Kediri</t>
  </si>
  <si>
    <t>Jl. Brigjen Pol IBH Pranoto No. 1-7 Kota Kediri</t>
  </si>
  <si>
    <t>RS Umum Daerah Kilisuci</t>
  </si>
  <si>
    <t>Jl. KH. Wakhid Hasyim 64 Kota Kediri</t>
  </si>
  <si>
    <t>RS Muhammadiyah Ahmad Dahlan</t>
  </si>
  <si>
    <t>Jl. Gatot Subroto No. 84 Ngampel Mojoroto Kediri</t>
  </si>
  <si>
    <t>RS TK. IV 05.07.02 Kediri</t>
  </si>
  <si>
    <t>Jl. Mayjen Sungkono No. 44, Kota Kediri</t>
  </si>
  <si>
    <t>RS Umum Ratih</t>
  </si>
  <si>
    <t xml:space="preserve">Jl. Penanggungan No.32, Mojoroto, Kota Kediri, Jawa Timur </t>
  </si>
  <si>
    <t>RS Umum Lirboyo</t>
  </si>
  <si>
    <t>Jl. Dr.Saharjo, Campurejo, Mojoroto, Kota Kediri</t>
  </si>
  <si>
    <t>RS Umum Daha Husada</t>
  </si>
  <si>
    <t>Jl. Veteran No. 48 Kota Kediri</t>
  </si>
  <si>
    <t>RS Ibu dan Anak Al Hasanah</t>
  </si>
  <si>
    <t>Kota Madiun</t>
  </si>
  <si>
    <t xml:space="preserve">Jl. Sri Rejeki No. 91B, kel. Sukosari, Kec. Kartoharjo, Kota Madiun , Jawa Timur </t>
  </si>
  <si>
    <t>RS Paru Manguharjo Madiun</t>
  </si>
  <si>
    <t>Jl. Yos Sudarso 108-112 Manguharjo, Kel. Madiun Lor, Kec. Manguharjo, Kota Madiun</t>
  </si>
  <si>
    <t>RS Umum Daerah Dr. Soedono Madiun</t>
  </si>
  <si>
    <t>Jl. Dr. Soetomo 59, Madiun</t>
  </si>
  <si>
    <t>RS Umum Islam Siti Aisyah</t>
  </si>
  <si>
    <t>Jl. Mayjen Sungkono No. 38-40 Kel. Nambangan Lor, kec. Manguharjo, Kota Madiun</t>
  </si>
  <si>
    <t>RS Umum Griya Husada Madiun</t>
  </si>
  <si>
    <t>Jl. Mayjen DI Panjaitan No. 22 Kel. Banjarejo, Kec. Taman Kota Madiun - Jawa Timur</t>
  </si>
  <si>
    <t>RS Umum Santa Clara</t>
  </si>
  <si>
    <t>Jl. Biliton No. 15  Kel.Madiun Lor, Kec.Mangunharjo, Kota Madiun</t>
  </si>
  <si>
    <t>RS Umum Darmayu Madiun</t>
  </si>
  <si>
    <t>Jl. Kapten Tendean No. 47, Kel. Demangan Kec. Taman</t>
  </si>
  <si>
    <t>RS Umum Daerah Kota Madiun</t>
  </si>
  <si>
    <t>Jl. Campursari No.12B Madiun</t>
  </si>
  <si>
    <t>RS Hermina Madiun</t>
  </si>
  <si>
    <t>Jl. Sido Makmur Ring Road Barat Kel. Manguharjo</t>
  </si>
  <si>
    <t>RS Umum TNI AD Tk. IV 05.04.01 Kota Madiun</t>
  </si>
  <si>
    <t>Jl. Pahlawan No. 79 Kartoharjo Madiun</t>
  </si>
  <si>
    <t>RS Ibu dan Anak Melati Children Hospital</t>
  </si>
  <si>
    <t>Kota Malang</t>
  </si>
  <si>
    <t>Jl. Suropati No. 12 Malang</t>
  </si>
  <si>
    <t>RS Ibu dan Anak Mitra Mulia</t>
  </si>
  <si>
    <t>Jl. Pahlawan Trip A10 Malang</t>
  </si>
  <si>
    <t>RS Ibu dan Anak Mardi Waloeja Kauman Malang</t>
  </si>
  <si>
    <t>Jl. Kauman No.23, Malang</t>
  </si>
  <si>
    <t>RS Ibu dan Anak Galeri Candra Malang</t>
  </si>
  <si>
    <t>JL. ANDONG NO. 3 MALANG</t>
  </si>
  <si>
    <t>RS Ibu dan Anak Refa husada</t>
  </si>
  <si>
    <t>Jl. Mayjend Sungkono No. 9, Kel. Tlogowaru, Kec. Kedungkandang</t>
  </si>
  <si>
    <t>RS Ibu dan Anak Puri</t>
  </si>
  <si>
    <t>Jl. Taman Slamet No.20, Malang</t>
  </si>
  <si>
    <t>Jl. Ciujung No. 19 Malang</t>
  </si>
  <si>
    <t>Jl. Simpang Sulfat Utara No. 60 A Malang</t>
  </si>
  <si>
    <t>Jl. Danau Toba E VI No.16 - 17 Sawojajar</t>
  </si>
  <si>
    <t>RS Ibu dan Anak Muhammadiyah Malang</t>
  </si>
  <si>
    <t>Jl. KH. Wahid Hasyim NO. 26, 30 Malang</t>
  </si>
  <si>
    <t>RS Ibu dan Anak Husada Bunda</t>
  </si>
  <si>
    <t>Jl. Pahlawan Trip No.2 Malang, Jawa Timur</t>
  </si>
  <si>
    <t>RS Ibu dan Anak Mardi Waloeja Rampal Malang</t>
  </si>
  <si>
    <t>Jl. W.R. Supratman No.1, RW.3, Rampal Celaket, Kec. Klojen, Kota Malang, Jawa Timur 65111</t>
  </si>
  <si>
    <t>RS Umum Daerah Dr. Saiful Anwar</t>
  </si>
  <si>
    <t>Jl. Jaksa Agung Suprapto No. 2 Malang</t>
  </si>
  <si>
    <t>RS Umum Persada Hospital</t>
  </si>
  <si>
    <t>Kompleks Araya Business Center Kav.II-IV Jl. Panji Suroso Malang</t>
  </si>
  <si>
    <t>RS Umum Panti Nirmala</t>
  </si>
  <si>
    <t>Jl. Kebalen Wetan N0.2-8 Kedung Kandang, Kota Malang</t>
  </si>
  <si>
    <t>RS Umum Panti Waluya Sawahan Malang</t>
  </si>
  <si>
    <t>Jl. Nusakambangan No.56 Kota Malang</t>
  </si>
  <si>
    <t>RS Tk. II Dr. Soepraoen</t>
  </si>
  <si>
    <t>Jl. Soedanco Supriyadi No. 22 Kota Malang</t>
  </si>
  <si>
    <t>RS Umum Lavalette Malang</t>
  </si>
  <si>
    <t xml:space="preserve">  Jl. WR. Supratman No.10 Kota Malang</t>
  </si>
  <si>
    <t>RS Umum Hermina Tangkubanprahu</t>
  </si>
  <si>
    <t>Jl. Tangkubanprahu No. 31-33 Malang</t>
  </si>
  <si>
    <t>RS Umum Islam Aisyiyah Malang</t>
  </si>
  <si>
    <t>Jl. Sulawesi No 16 Malang</t>
  </si>
  <si>
    <t>RS Umum Daerah Kota Malang</t>
  </si>
  <si>
    <t xml:space="preserve">   JL. RAJASA NO. 27 MALANG</t>
  </si>
  <si>
    <t>RS Islam Malang</t>
  </si>
  <si>
    <t>Jl. MT. Haryono No. 139 Malang Kel. Dinoyo Kec. Lowokwaru</t>
  </si>
  <si>
    <t>RS Universitas Brawijaya</t>
  </si>
  <si>
    <t>Jl. Soekarno Hatta Malang</t>
  </si>
  <si>
    <t>RS Umum BRI Medika Malang</t>
  </si>
  <si>
    <t>Jl. Mayjend Panjaitan No. 176</t>
  </si>
  <si>
    <t>Jl. Soekarno Hatta No. 75 Malang</t>
  </si>
  <si>
    <t>RS Bhirawa Bhakti</t>
  </si>
  <si>
    <t>Jl. Panglima Sudirman D9A</t>
  </si>
  <si>
    <t>RSUD dr. Wahidin Sudiro Husodo Kota Mojokerto</t>
  </si>
  <si>
    <t>Kota Mojokerto</t>
  </si>
  <si>
    <t xml:space="preserve">  Jl. Raya Surodinawan 170 Kel. Surodinawan, Kec. Prajurit Kulon, Kota Mojokerto</t>
  </si>
  <si>
    <t>RS Gatoel</t>
  </si>
  <si>
    <t>Jl. Raden Wijaya No. 56 Kel. Kranggan Kec. Prajurit Kulon</t>
  </si>
  <si>
    <t>RS Emma</t>
  </si>
  <si>
    <t>Jl. Raya Ijen No.67 Kel. Wates, Kec. Magersari, Kota Mojokerto</t>
  </si>
  <si>
    <t xml:space="preserve">RS Islam Hasanah Muhammadiyah </t>
  </si>
  <si>
    <t>Jl. HOS Cokroaminoto No. 26-28, Kelurahan Jagalan, Kecamatan Kranggan, Kota Mojokerto</t>
  </si>
  <si>
    <t>RS Reksa Waluya</t>
  </si>
  <si>
    <t>Jl. Mojopahit 422, Kel. Miji, Kec. Prajurit Kulon, Kota Mojokerto</t>
  </si>
  <si>
    <t>RS Kamar Medika</t>
  </si>
  <si>
    <t>Jl. Empunala No.351, Kel. Kedundung, Kec. Magersari, Kota Mojokerto</t>
  </si>
  <si>
    <t>RS Umum Daerah Dr. R. Soedarsono Kota Pasuruan</t>
  </si>
  <si>
    <t>Kota Pasuruan</t>
  </si>
  <si>
    <t xml:space="preserve"> Jl. Dr Wahidin Sudirohusodo No. 1-4 Kota Pasuruan</t>
  </si>
  <si>
    <t>RS Graha Sehat Medika</t>
  </si>
  <si>
    <t>Jl. Ahmad Yani No.15, Kel.Karang Ketug, Kec. Gading Rejo,  Kota Pasuruan, Propinsi Jawa Timur, Indonesia, 67135</t>
  </si>
  <si>
    <t>RS Ibu dan Anak Muhammadiyah Kota Probolinggo</t>
  </si>
  <si>
    <t>Kota Probolinggo</t>
  </si>
  <si>
    <t>Jl. Panglima Sudirman No. 65</t>
  </si>
  <si>
    <t>RS Ibu dan Anak Amanah</t>
  </si>
  <si>
    <t>Jln dr Moh. Saleh No. 43 Kota Probolinggo</t>
  </si>
  <si>
    <t>RS Umum Daerah dr. Mohamad Saleh Kota Probolinggo</t>
  </si>
  <si>
    <t xml:space="preserve">  Jl. Mayjend Panjaitan No.65 Kota Probolinggo</t>
  </si>
  <si>
    <t>RS Umum Daerah Ar Rozy</t>
  </si>
  <si>
    <t>JL. Prof Hamka KM 3.5 Kel. Kareng Lor Kec. Kedopok Kota Probolinggo</t>
  </si>
  <si>
    <t>RS Umum Dharma Husada</t>
  </si>
  <si>
    <t>Jl. Sukarno Hatta No. 10 Kota Probolinggo</t>
  </si>
  <si>
    <t>RS Gigi dan Mulut Nala Husada</t>
  </si>
  <si>
    <t>Kota Surabaya</t>
  </si>
  <si>
    <t>JL ARIEF RAHMAN HAKIM NO 150 SURABAYA</t>
  </si>
  <si>
    <t>RS Gigi dan Mulut FKG Universitas Airlangga</t>
  </si>
  <si>
    <t>Jl. Prof Dr. Moestopo 47 Surabaya</t>
  </si>
  <si>
    <t>RS Ibu dan Anak Kendangsari Merr</t>
  </si>
  <si>
    <t>Jl. Dr. Ir. Soekarno No. 2, Kalijudan, Mulyorejo, Surabaya, Jawa Timur, Indonesia</t>
  </si>
  <si>
    <t>RS Ibu dan Anak Putri Surabaya</t>
  </si>
  <si>
    <t>Jl. Arief Rahman Hakim No. 130 Surabaya</t>
  </si>
  <si>
    <t>RS Ibu dan Anak Cempaka Putih Permata</t>
  </si>
  <si>
    <t>Jl. Jambangan Kebon Agung No.8, Kec. Jambangan, Surabaya, Jawa Timur</t>
  </si>
  <si>
    <t>RS Ibu dan Anak Adi Guna</t>
  </si>
  <si>
    <t>Jl. Alun-alun Rangkah no. 1-3 kelurahan. Rangkah kecamatan. Tambaksari Kota Surabaya</t>
  </si>
  <si>
    <t>RS Ibu dan Anak Idaf Husada</t>
  </si>
  <si>
    <t>Jl. KO Wisata Bukit Mas II Blok RF no. 11, Blok F no. 10 - 11,  Lidah Wetan, Lakarsantri</t>
  </si>
  <si>
    <t>RS Ibu dan Anak Pusura Tegalsari</t>
  </si>
  <si>
    <t>JL. Tegalsari No.59 Surabaya</t>
  </si>
  <si>
    <t>RS Ibu dan Anak Graha Medika</t>
  </si>
  <si>
    <t>Graha Sampurna Indah E-3,6,8,10,12,14,16,18,20,22 Surabaya</t>
  </si>
  <si>
    <t>RS Ibu dan Anak Lombok Dua Dua Lontar</t>
  </si>
  <si>
    <t>Jl. Lontar No. 206 (lama Jl. Raya Lontar No. 109) Surabaya</t>
  </si>
  <si>
    <t>RS Ibu dan Anak Lombok Dua Dua</t>
  </si>
  <si>
    <t>Jl. Flores No. 12 Surabaya</t>
  </si>
  <si>
    <t>RS Ibu dan Anak Perdana Medica</t>
  </si>
  <si>
    <t>JL Kutisari No. 6 Surabaya</t>
  </si>
  <si>
    <t>RS Ibu dan Anak Kendangsari Surabaya</t>
  </si>
  <si>
    <t>Jl. Raya Kendangsari No. 38 Surabaya</t>
  </si>
  <si>
    <t>RS Ibu dan Anak Pura Raharja</t>
  </si>
  <si>
    <t>JL. PUCANG ADI NO.12-14</t>
  </si>
  <si>
    <t>RS Ibu dan Anak Ferina</t>
  </si>
  <si>
    <t>Jl. Irian Barat No. 7-11 Surabaya</t>
  </si>
  <si>
    <t>RS Ibu dan Anak Bantuan 05.08.05 Surabaya</t>
  </si>
  <si>
    <t>Gubeng Pojok No.21 Surabaya</t>
  </si>
  <si>
    <t>RS Ibu dan Anak IBI Surabaya</t>
  </si>
  <si>
    <t>Jl. Dupak No. 15A Surabaya, kelurahan gundih, kecamatan bubutan kota surabaya provinsi jawa timur</t>
  </si>
  <si>
    <t>RS Ibu dan Anak Nur Ummi Numbi</t>
  </si>
  <si>
    <t>Jl. Manukan Tengah 51 J/ 4-6</t>
  </si>
  <si>
    <t>RS Jiwa Menur</t>
  </si>
  <si>
    <t>Jl. Raya Menur No.120, Kertajaya, Kec. Gubeng, Surabaya, Jawa Timur 60282</t>
  </si>
  <si>
    <t>RS Onkologi</t>
  </si>
  <si>
    <t>Jl. Arief Rahman Hakim No. 184 (Araya Galaxi Bumi Permai Blok A2 no. 5,6,7)</t>
  </si>
  <si>
    <t>RS Mata Undaan</t>
  </si>
  <si>
    <t>Jl. Undaan Kulon 17-19 Surabaya</t>
  </si>
  <si>
    <t>RS Mata Masyarakat Jawa Timur</t>
  </si>
  <si>
    <t xml:space="preserve"> JL. Ketintang Baru Selatan I No. 1 Surabaya</t>
  </si>
  <si>
    <t>RS Orthopedi dan Traumatologi Surabaya</t>
  </si>
  <si>
    <t>EMERALD MANSION TX 10 CITRALAND, SURABAYA</t>
  </si>
  <si>
    <t>RS Umum Daerah Dr. Soetomo</t>
  </si>
  <si>
    <t xml:space="preserve"> Jl. Mayjend. Prof. Dr. Moestopo No. 6 - 8 Surabaya, Jawa Timur</t>
  </si>
  <si>
    <t>RSPAL dr. Ramelan</t>
  </si>
  <si>
    <t>Jl. Gadung No. 1 Surabaya</t>
  </si>
  <si>
    <t>RS Umum Pusat Surabaya</t>
  </si>
  <si>
    <t>Jl. Indrapura No. 17 Kemayoran</t>
  </si>
  <si>
    <t>RS Umum Siloam Hospitals Surabaya</t>
  </si>
  <si>
    <t>Jl. Gubeng Raya 70 Surabaya</t>
  </si>
  <si>
    <t>RS Adi Husada Undaan</t>
  </si>
  <si>
    <t>Jl. Undaan Wetan No. 40-44, Surabaya</t>
  </si>
  <si>
    <t>RS Premier Surabaya</t>
  </si>
  <si>
    <t>Jl. Nginden Intan Barat B</t>
  </si>
  <si>
    <t>RS Islam Surabaya</t>
  </si>
  <si>
    <t>Jl. Jend A Yani 2-4 Surabaya</t>
  </si>
  <si>
    <t>RS Umum Daerah Bhakti Dharma Husada</t>
  </si>
  <si>
    <t xml:space="preserve">Jl. Raya Kendung No.115-117, Surabaya </t>
  </si>
  <si>
    <t>RS Umum Daerah Haji Provinsi Jawa Timur</t>
  </si>
  <si>
    <t xml:space="preserve"> Jl. Manyar Kertoadi  Surabaya</t>
  </si>
  <si>
    <t xml:space="preserve">RS Umum Royal Surabaya </t>
  </si>
  <si>
    <t>JL. Rungkut Industri I/1 Surabaya</t>
  </si>
  <si>
    <t xml:space="preserve">RS Universitas Airlangga </t>
  </si>
  <si>
    <t>Jl. Dharmahusada Permai, Desa/Kelurahan Mulyorejo, Kec. Mulyorejo, Kota Surabaya, Provinsi Jawa Timur</t>
  </si>
  <si>
    <t>RS Katolik St. Vincentius a Paulo</t>
  </si>
  <si>
    <t>Jl. Diponegoro 51 Surabaya</t>
  </si>
  <si>
    <t>RS Umum  Mitra Keluarga Surabaya</t>
  </si>
  <si>
    <t>Jl. Satelit Indah II darmo satelit</t>
  </si>
  <si>
    <t>RS National Hospital</t>
  </si>
  <si>
    <t>Jl. Boulevard Famili Selatan kav. 1, Surabaya</t>
  </si>
  <si>
    <t>RS Primasatya Husada Citra (PHC) Surabaya</t>
  </si>
  <si>
    <t>Jl. Prapat Kurung Selatan no 1 Tanjung Perak Surabaya</t>
  </si>
  <si>
    <t xml:space="preserve">RS Umum Islam Surabaya Jemursari </t>
  </si>
  <si>
    <t>Jl. Jemursari No 51-57, Surabaya</t>
  </si>
  <si>
    <t>RS Husada Utama Surabaya</t>
  </si>
  <si>
    <t>Jl. Prof. Dr. Moestopo 31-33-35 Surabaya</t>
  </si>
  <si>
    <t>RS Ubaya</t>
  </si>
  <si>
    <t>Jl. Panjang Jiwo Permai No. 89, Kecamatan Tenggilis Mejoyo</t>
  </si>
  <si>
    <t>RS Bhayangkara TK II HS. Samsoeri Mertojoso</t>
  </si>
  <si>
    <t>Jl. A. Yani No. 116, Surabaya</t>
  </si>
  <si>
    <t>RS Umum Daerah dr. Mohamad Soewandhie</t>
  </si>
  <si>
    <t>Jl. Tambakrejo No. 45-47 Surabaya</t>
  </si>
  <si>
    <t>RS Umum Daerah Husada Prima</t>
  </si>
  <si>
    <t>Jl. Karang Tembok No. 39 Surabaya</t>
  </si>
  <si>
    <t>RS Gotong Royong</t>
  </si>
  <si>
    <t>Jl. Medokan Semampir Indah No. 97 Surabaya</t>
  </si>
  <si>
    <t>RS Manyar Medical Centre</t>
  </si>
  <si>
    <t>Jl. Manyar No.9, Surabaya</t>
  </si>
  <si>
    <t>RS Mitra Keluarga Kenjeran</t>
  </si>
  <si>
    <t>Jl. Kenjeran No. 506 Surabaya</t>
  </si>
  <si>
    <t>RS Umum Tk. III Brawijaya</t>
  </si>
  <si>
    <t>Jl. Kesatrian No.17 Surabaya</t>
  </si>
  <si>
    <t>RS William Booth Surabaya</t>
  </si>
  <si>
    <t>Jl. Diponegoro 34, Surabaya</t>
  </si>
  <si>
    <t xml:space="preserve">Mayapada Hospital Surabaya </t>
  </si>
  <si>
    <t xml:space="preserve">Jl. Mayjend Sungkono No. 16-20 </t>
  </si>
  <si>
    <t>RS Umum Adi Husada Kapasari</t>
  </si>
  <si>
    <t>Jl. Kapasari No. 97-101 Surabaya</t>
  </si>
  <si>
    <t>RS Bhakti Rahayu</t>
  </si>
  <si>
    <t>Jl. Ketintang Madya I/16 Surabaya</t>
  </si>
  <si>
    <t>RS Al Irsyad Surabaya</t>
  </si>
  <si>
    <t>Jl. KHM.Mansyur No. 210 - 214 dan 191 Surabaya</t>
  </si>
  <si>
    <t>RS Darmo</t>
  </si>
  <si>
    <t>Jl. Raya Darmo 90,Surabaya</t>
  </si>
  <si>
    <t>RS Marinir Ewa Pangalila Gunungsari</t>
  </si>
  <si>
    <t>Jl. Golf 1  No. 1 Surabaya</t>
  </si>
  <si>
    <t>RS Islam Darus Syifa</t>
  </si>
  <si>
    <t>Jl. Raya Benowo No.5,Surabaya</t>
  </si>
  <si>
    <t>RS Wiyung Sejahtera</t>
  </si>
  <si>
    <t>Jl. Karangan PDAM 1-3 Wiyung Surabaya</t>
  </si>
  <si>
    <t>RS Soemitro Lanud Moeljono Surabaya</t>
  </si>
  <si>
    <t>Jl.Serayu No. 17 Surabaya</t>
  </si>
  <si>
    <t xml:space="preserve">RS Bunda </t>
  </si>
  <si>
    <t>Jl. Raya Kandangan 23-24 Surabaya</t>
  </si>
  <si>
    <t>RS Muji Rahayu</t>
  </si>
  <si>
    <t>JL.RAYA MANUKAN WETAN 68-68 A Surabaya</t>
  </si>
  <si>
    <t>RS Wijaya Surabaya</t>
  </si>
  <si>
    <t>Jl. Raya Menganti No.398 Wiyung Surabaya</t>
  </si>
  <si>
    <t>RS PKU Muhammadiyah Surabaya</t>
  </si>
  <si>
    <t>JL. KH MAS MANSYUR 180-182, KELURAHAN NYAMPLUNGAN, KECAMATAN PABEAN CANTIAN, KOTA SURABAYA, PROVINSI JAWA TIMUR</t>
  </si>
  <si>
    <t>RS Surabaya Medical Service</t>
  </si>
  <si>
    <t xml:space="preserve">Jl. Kapuas No. 2 Kelurahan Keputran Kecamatan Tegalsari Kota Surabaya Propinsi Jawa Timur </t>
  </si>
  <si>
    <t>RS TNI AL Dr. Oepomo</t>
  </si>
  <si>
    <t>Jl. Laksda M.Nazir No.56 Surabaya</t>
  </si>
  <si>
    <t>RS Bedah Mitra Sehat</t>
  </si>
  <si>
    <t>Lamongan</t>
  </si>
  <si>
    <t>Jl. Raya Lamongan - Babat KM 5 Desa Karanglangit, Kec, Lamongan, Kab. Lamongan</t>
  </si>
  <si>
    <t>RS Mata KMU Lamongan</t>
  </si>
  <si>
    <t>Jl. Raya No. 181, Plosowahyu, Kec. Lamongan, Kab. Lamongan</t>
  </si>
  <si>
    <t>RS Umum Daerah Dr. Soegiri Lamongan</t>
  </si>
  <si>
    <t>Jl. Kusuma Bangsa No. 7 Lamongan</t>
  </si>
  <si>
    <t>RS Umum Muhammadiyah Lamongan</t>
  </si>
  <si>
    <t>Jl. Jaksa Agung Suprapto No 76 Lamongan</t>
  </si>
  <si>
    <t>RS Umum Intan Medika</t>
  </si>
  <si>
    <t>Jl. Raya Utara Pasar Blawi, Blawi, Karangbinangun</t>
  </si>
  <si>
    <t>RS Umum Daerah Ngimbang</t>
  </si>
  <si>
    <t>Jl. Raya Babat-Jombang No.227 Sendangrejo Kec. Ngimbang Kab. Lamongan</t>
  </si>
  <si>
    <t>RS Umum dr. Suyudi</t>
  </si>
  <si>
    <t>Jl. Deandles Paciran,Kecamatan Paciran, Kab. Lamongan</t>
  </si>
  <si>
    <t>RS Islam Nashrul Ummah</t>
  </si>
  <si>
    <t xml:space="preserve">  Jl. Merpati No.62, Lamongan</t>
  </si>
  <si>
    <t>RS Umum Fatimah Lamongan</t>
  </si>
  <si>
    <t>Jl. Pahlawan Selatan No. 18</t>
  </si>
  <si>
    <t>RS Umum Muhammadiyah Babat</t>
  </si>
  <si>
    <t>Jl. Raya Babat-Surabaya KM. 4 Babat Lamongan</t>
  </si>
  <si>
    <t>Jl. Petro No. 20 Plaosan Kecamatan Babat Kabupaten Lamongan Provinsi Jawa Timur</t>
  </si>
  <si>
    <t>RS An-Noor Medika Lamongan</t>
  </si>
  <si>
    <t>Jl. Andansari No 1 Sukorejo, Kec. Lamongan</t>
  </si>
  <si>
    <t>RS Umum Daerah Karangkembang</t>
  </si>
  <si>
    <t>Jl. Raya-Jombang Km. 2 Kelurahan Babat, Kecamatan Babat, Kabupaten Lamongan, Provinsi Jawa Timur</t>
  </si>
  <si>
    <t>RS Muhammadiyah Kalikapas Lamongan</t>
  </si>
  <si>
    <t>Dusun Kalikapas Rt.001 Rw.002 kelurahan Sidomukti Kecamatan Lamongan Kabupaten Lamongan  Provinsi Jawa Timur</t>
  </si>
  <si>
    <t>RS Muhammadiyah Babat</t>
  </si>
  <si>
    <t xml:space="preserve">Jl. KH. Ahmad Dahlan No. 14 Babat, Lamongan </t>
  </si>
  <si>
    <t>RS Nahdlatul Ulama Babat</t>
  </si>
  <si>
    <t>Jl. Raya Babat-Lamongan KM 4, Desa/Kel. Gembong, Kec. Babat</t>
  </si>
  <si>
    <t>RS Abdurrahman Syamsuri (Arsy)</t>
  </si>
  <si>
    <t>Jl. Raya Deandles km-74 Paciran Kab. Lamongan</t>
  </si>
  <si>
    <t>RS Permata Hati Lamongan</t>
  </si>
  <si>
    <t>Jl. Raya Tambakboyo No. 02, Desa. Tambakrigadung, Kecamatan Tikung</t>
  </si>
  <si>
    <t>RS Umum Citra Medika Lamongan</t>
  </si>
  <si>
    <t>Jl. Lamongrejo No. 28 Lamongan</t>
  </si>
  <si>
    <t>RS Daerah Dr. Haryoto Kabupaten Lumajang</t>
  </si>
  <si>
    <t>Lumajang</t>
  </si>
  <si>
    <t xml:space="preserve">  Jl. Basuki Rahmat No.5, Lumajang</t>
  </si>
  <si>
    <t>RS Wijaya Kusuma</t>
  </si>
  <si>
    <t>Jl. A. Yani No.149 Lumajang</t>
  </si>
  <si>
    <t xml:space="preserve">RS Bhayangkara Lumajang </t>
  </si>
  <si>
    <t>Jl. Kyai Ilyas Nomor 7, kabupaten Lumajang</t>
  </si>
  <si>
    <t>RS Djatiroto</t>
  </si>
  <si>
    <t>Jl. PB. Sudirman 81  RT 03 RW 01, Dsn. Krajan Desa Kaliboto Lor Kec. Jatiroto, Kab. Lumajang</t>
  </si>
  <si>
    <t>RS Umum Daerah Pasirian Kabupaten Lumajang</t>
  </si>
  <si>
    <t>Jl. Raya Pasirian No. 225A. Kec. Pasirian</t>
  </si>
  <si>
    <t>RS Islam Lumajang</t>
  </si>
  <si>
    <t>Jl. Kyai Muksin nomor 19 Kelurahan Tompokersan Kec. Lumajang Kab. Lumajang</t>
  </si>
  <si>
    <t>RS NU Permata</t>
  </si>
  <si>
    <t>Jl. Musi No. 9-9B Desa Sumberejo, Kecamatan Sukodono, Kab. Lumajang</t>
  </si>
  <si>
    <t>RS Umum Muhammadiyah Lumajang</t>
  </si>
  <si>
    <t>JL. Letkol Selamet Wardoyo NO.103 , Kel. Labruk Lor, Kec. Lumajang, Kab. Lumajang, Prov. Jawa Timur</t>
  </si>
  <si>
    <t>RS Umum Daerah Dungus</t>
  </si>
  <si>
    <t>Madiun</t>
  </si>
  <si>
    <t>Jl. Raya Dungus - Wungu Madiun</t>
  </si>
  <si>
    <t>RS Umum Daerah Dolopo</t>
  </si>
  <si>
    <t xml:space="preserve">  Jl. Raya Dolopo No. 117, Dolopo, Madiun</t>
  </si>
  <si>
    <t>RS Umum Daerah Caruban</t>
  </si>
  <si>
    <t xml:space="preserve"> Jl. A. Yani KM 2 Caruban Madiun</t>
  </si>
  <si>
    <t>RS Ibu dan Anak Sekar Wangi</t>
  </si>
  <si>
    <t>Magetan</t>
  </si>
  <si>
    <t>Jl. Gubernur Suryo No. 46-48 RT 07 RW 01, Desa Baron, Kecamatan Magetan, Kabupaten Magetan, Provinsi Jawa Timur</t>
  </si>
  <si>
    <t>RS Ibu dan Anak Melati Magetan</t>
  </si>
  <si>
    <t>Jl. Ahmad Yani No. 90 Magetan</t>
  </si>
  <si>
    <t>RS Ibu dan Anak Samudra Husada</t>
  </si>
  <si>
    <t>Jl. Samudra No. 30, Kel. Bulukerto, Kec. Magetan Kab. Magetan</t>
  </si>
  <si>
    <t>RS Umum Daerah dr. Sayidiman Magetan</t>
  </si>
  <si>
    <t xml:space="preserve"> Jl. Pahlawan No.2 Magetan Propinsi Jawa Timur</t>
  </si>
  <si>
    <t>RS Angkatan Udara dr. Efram Harsana</t>
  </si>
  <si>
    <t>Jl. Marsma TNI Anumerta R.Iswahjudi, Kelurahan Maospati, Kecamatan Maospati, Kab. Magetan</t>
  </si>
  <si>
    <t>RS Umum Bhakti Persada</t>
  </si>
  <si>
    <t>Jl. Pasar Legi No. 145 Kel. Mangge Kec. Barat Magetan</t>
  </si>
  <si>
    <t>RS Bedah Hasta Husada</t>
  </si>
  <si>
    <t>Malang</t>
  </si>
  <si>
    <t>Jl. Bromo 98-100 RT 011 RW 005, Kel. Kepanjen, Kec. Kepanjen, Kab. Malang</t>
  </si>
  <si>
    <t>RS Jiwa Dr. Radjiman Wediodiningrat Lawang</t>
  </si>
  <si>
    <t xml:space="preserve">Jl. A. Yani, Lawang, Malang, Jawa Timur </t>
  </si>
  <si>
    <t>RS Umum Daerah Kanjuruhan Kepanjen Kab. Malang</t>
  </si>
  <si>
    <t>Jl. Panji No. 100 Kepanjen, Kab. Malang</t>
  </si>
  <si>
    <t xml:space="preserve">RS Umum Wava Husada </t>
  </si>
  <si>
    <t>Jln. Panglima Sudirman 99a Kepanjen Malang</t>
  </si>
  <si>
    <t>RS Umum Universitas Muhammadiyah Malang</t>
  </si>
  <si>
    <t>JL. RAYA TLOGOMAS NO 45 MALANG</t>
  </si>
  <si>
    <t>RS Mitra Delima</t>
  </si>
  <si>
    <t>Jl. Raya Bulupayung No. 1B, RT 007, RW 031, Desa Krebet, Kec. Bululawang, Kab. Malang</t>
  </si>
  <si>
    <t>RS Umum Islam Gondang Legi</t>
  </si>
  <si>
    <t>Jl. Hayam Wuruk 66, Gondang Legi Wetan, Kab. Malang</t>
  </si>
  <si>
    <t>Jl. Semeru No.1 RT. 04 RW. 20 Kel. Turen Kec. Turen</t>
  </si>
  <si>
    <t>RS Prasetya Husada</t>
  </si>
  <si>
    <t>Jl. Raya Ngijo No.25, RT 05 RW 05 Desa Ngijo Kec. Ngijo,  Kab. Malang</t>
  </si>
  <si>
    <t>RS Prima Husada</t>
  </si>
  <si>
    <t>Perum Banjararum Selatan No.3-7, RT 003 RW 012 Desa Banjararum Kec. Singosari, Kab. Malang</t>
  </si>
  <si>
    <t xml:space="preserve">RS Umum Daerah Lawang </t>
  </si>
  <si>
    <t>JL. R.A. Kartini No. 5 Lawang Kab. Malang</t>
  </si>
  <si>
    <t>RS Enggal Dangan</t>
  </si>
  <si>
    <t>Jl. Raya Bamban No. 28 Desa Asrikaton Kec. Pakis</t>
  </si>
  <si>
    <t>RS Umum Salsabila Husada</t>
  </si>
  <si>
    <t>Jl. Raya Jatikerto No. 305 Kecamatan Kromengan Kabupaten Malang</t>
  </si>
  <si>
    <t>RS Umum Islam Madinah Kasembon</t>
  </si>
  <si>
    <t>Jl. Raya Sukosari No.32, Sukosari, Kasembon, Kabupaten  Malang</t>
  </si>
  <si>
    <t>RS Umum Wajak Husada</t>
  </si>
  <si>
    <t>Jl. Raya Kidangbang RT. 16 RW. 05 Desa Kidangbang Kec. Wajak Kab. Malang 65173</t>
  </si>
  <si>
    <t>RS Marsudi Waluyo</t>
  </si>
  <si>
    <t>Jl. Raya Mondoroko Km. 09, Dusun Magersari, RT.03 RW.06, Desa Purwoasri, Kec. Singosari, Kabupaten Malang - 65153</t>
  </si>
  <si>
    <t>RS Umum Daerah Ngantang</t>
  </si>
  <si>
    <t>Jl. Raya Kaumrejo No 47 RT 20 RW 004 Desa Kaumrejo Kec. Ngantang, Kab. Malang, provinsi Jawa timur, Kodepos 65392</t>
  </si>
  <si>
    <t>RS Sumber Sentosa</t>
  </si>
  <si>
    <t>Jl. Kebonsari No. 221 Malang, RT 003, RW 002 Desa Tumpang, Kec. Tumpang, Kab. Malang</t>
  </si>
  <si>
    <t>RS Umum Cahaya Medika</t>
  </si>
  <si>
    <t>Jl. Kelud No. 5 RT. 12 RW. 05 Desa Sukorejo, Kec. Pagelaran</t>
  </si>
  <si>
    <t>RS Lawang Medika</t>
  </si>
  <si>
    <t>Jl. Dr. Cipto No.8 Bedali, Lawang, Kab. Malang</t>
  </si>
  <si>
    <t>RS Bala Keselamatan Bokor</t>
  </si>
  <si>
    <t>Jl. A.Yani  No.91 Turen , Kab.Malang</t>
  </si>
  <si>
    <t>RS Siti Miriam</t>
  </si>
  <si>
    <t>Jl. dr. Wahidin No.101, RT 002 RW. 001, Kel. Kalirejo, Kec. Lawang, Kab.Malang</t>
  </si>
  <si>
    <t>RS AU dr. Mohammad Moenir</t>
  </si>
  <si>
    <t>Jl. Rogonoto Timur RT 003 RW 005 Desa Taman Harjo Kec. Singosari</t>
  </si>
  <si>
    <t>RS Angkatan Udara dr. Munir Lanud Abdulrachman Saleh</t>
  </si>
  <si>
    <t>Jl. Dr. M. Munir No.18 Lanud Abd. Saleh, Desa Saptorenggo Kec. Pakis Kab, Malang</t>
  </si>
  <si>
    <t>RS Ben Mari</t>
  </si>
  <si>
    <t xml:space="preserve">JL.Raya Kendalpayak No.17, RT. 004, RW 007, Desa Kendalpayak, Kec. Pakisaji, Kab, Malang  </t>
  </si>
  <si>
    <t>RS Bantuan 05.08.04 Lawang</t>
  </si>
  <si>
    <t>Jl. Sumber Waras No. 32 RT. 005 RW. 015</t>
  </si>
  <si>
    <t>RS Umum Daerah Prof. Dr. Soekandar</t>
  </si>
  <si>
    <t>Mojokerto</t>
  </si>
  <si>
    <t xml:space="preserve">   Jl. Hayam Wuruk  No 25 Mojosari Kab Mojokerto</t>
  </si>
  <si>
    <t>RS Umum Daerah Sumberglagah</t>
  </si>
  <si>
    <t xml:space="preserve"> Dsn. Sumberglagah Ds. Tanjungkenongo Kec. Pacet Mojokerto</t>
  </si>
  <si>
    <t>RS Umum Daerah Raden Achmad Basoeni</t>
  </si>
  <si>
    <t>Jl. Raya Gedeg No.17, Kec. Gedeg, Kab.Mojokerto</t>
  </si>
  <si>
    <t>RS Islam Sakinah</t>
  </si>
  <si>
    <t>Jl. RA Basuni No.12, Desa Jampirogo, Kecamatan Sooko, Kabupaten Mojokerto, Provinsi Jawa Timur</t>
  </si>
  <si>
    <t>RS Mawaddah Medika</t>
  </si>
  <si>
    <t>Jl. Raya Ngijingan RT 001 RW 001, Desa Purwojati Kec. Ngoro, Kab. Mojokerto</t>
  </si>
  <si>
    <t>RS Sido Waras</t>
  </si>
  <si>
    <t>Jl. Raya Pasar Sawahan km.10, Kec.Bangsal, Kab.Mojokerto</t>
  </si>
  <si>
    <t>RS Dharma Husada</t>
  </si>
  <si>
    <t>Jl. Raya Ngoro 192. Ngoro. Mojokerto</t>
  </si>
  <si>
    <t>RS Mutiara Hati Mojokerto</t>
  </si>
  <si>
    <t>Jl. Raya Kemantren Wetan No.49, Desa Terusan, Kecamatan Gedeg, Kab. Mojokerto</t>
  </si>
  <si>
    <t xml:space="preserve">RS Umum Kartini  </t>
  </si>
  <si>
    <t>Jl. Airlangga 137 Kecamatan Mojosari Kab. Mojokerto</t>
  </si>
  <si>
    <t>RS Umum Dian Husada</t>
  </si>
  <si>
    <t>Jl. Raya Gemekan No. 77 Desa Gemekan Kec. Sooko Kab. Mojokerto</t>
  </si>
  <si>
    <t>RS Islam Arofah</t>
  </si>
  <si>
    <t>Jl. Gajah Mada No.1 Kec. Mojosari, Kab. Mojokerto</t>
  </si>
  <si>
    <t>RS Umum Daerah Nganjuk</t>
  </si>
  <si>
    <t>Nganjuk</t>
  </si>
  <si>
    <t>Jl. Dr. Sutomo 62, Nganjuk</t>
  </si>
  <si>
    <t>RS Daerah Kertosono</t>
  </si>
  <si>
    <t>Jl. Panglima Sudirman No.16 Kertosono.</t>
  </si>
  <si>
    <t>RS Umum Bhayangkara Tk. III Nganjuk</t>
  </si>
  <si>
    <t>Jl. Abdul Rahman Saleh 56, Kauman, Kabupaten Nganjuk</t>
  </si>
  <si>
    <t>RS Islam Aisyiyah Nganjuk</t>
  </si>
  <si>
    <t>Jl. Imam Bonjol No. 20 Kelurahan Payaman, Kecamatan Nganjuk, Kabupaten Nganjuk, Provinsi Jawa Timur</t>
  </si>
  <si>
    <t>RS Umum Daerah Dr. Soeroto Ngawi</t>
  </si>
  <si>
    <t>Ngawi</t>
  </si>
  <si>
    <t xml:space="preserve">    Jl. Dr. Wahidin no. 27</t>
  </si>
  <si>
    <t>RS Umum Widodo</t>
  </si>
  <si>
    <t>Jl. Yos Sudarso 8 Ngawi</t>
  </si>
  <si>
    <t>RS Umum At-Tin Husada</t>
  </si>
  <si>
    <t>Jl. Raya Ngawi-Solo, Km. 04,  Krajan Selatan, Watualang, Kec. Ngawi, Kab. Ngawi, Jawa Timur</t>
  </si>
  <si>
    <t>RS Umum Daerah Mantingan</t>
  </si>
  <si>
    <t>Jl. Raya Ngawi - Mantingan, Desa Jatimulyo, Kec. Mantingan</t>
  </si>
  <si>
    <t>RS Umum Daerah Geneng</t>
  </si>
  <si>
    <t>Jl. Raya Ngawi-Madiun KM 09 Kelurahan Tambakromo, Kec. Geneng, Kab. Ngawi</t>
  </si>
  <si>
    <t>RS Umum Daerah  dr. Darsono</t>
  </si>
  <si>
    <t>Pacitan</t>
  </si>
  <si>
    <t>Jl. Ahmad Yani 51 Pacitan</t>
  </si>
  <si>
    <t>RSU Agung Mulia</t>
  </si>
  <si>
    <t>Jl. Sasuit Tubun NO.25-Lingk. Bleber Kel. Sidoharjo Kec. Pacitan Kab. Pacitan</t>
  </si>
  <si>
    <t>RS Umum Medical Mandiri Pacitan</t>
  </si>
  <si>
    <t>Jalur Lintas Selatan,Suruhan Desa Sirnoboyo, Kecamatan Pacitan, Kabupaten Pacitan, Provinsi Jawa Timur</t>
  </si>
  <si>
    <t>RS Ibu dan Anak Siti Aisyah Pamekasan</t>
  </si>
  <si>
    <t>Pamekasan</t>
  </si>
  <si>
    <t>Jl. KH. Amin Jakfar V/5-7, Kel. Gladak Anyar Kec. Pamekasan Kab. Pamekasan Prov. Jawa Timur 69317</t>
  </si>
  <si>
    <t>RS Ibu dan Anak Puri Bunda Madura</t>
  </si>
  <si>
    <t>Jl. Kabupaten No. 99  Kel. Bugih  Kec. Pamekasan</t>
  </si>
  <si>
    <t>RS Ibu dan Anak Mukti Husada</t>
  </si>
  <si>
    <t>Jl. Kabupaten No. 68 Pamekasan</t>
  </si>
  <si>
    <t>RS Umum Daerah Dr. H. Slamet Martodirdjo Pamekasan</t>
  </si>
  <si>
    <t xml:space="preserve">  Jl. Raya Panglegur No.4, Pamekasan</t>
  </si>
  <si>
    <t>RS Umum Daerah Mohammad Noer Pamekasan</t>
  </si>
  <si>
    <t>JL. Bonorogo 17 Pamekasan Madura</t>
  </si>
  <si>
    <t>RS Umum Larasati Pamekasan</t>
  </si>
  <si>
    <t>Jl. Mandilaras No.74-80 Pamekasan</t>
  </si>
  <si>
    <t>RS Umum Daerah Waru Pamekasan</t>
  </si>
  <si>
    <t>Jl. Raya Waru Pasean, Kec. Waru, Kab. Pamekasan, Provinsi Jawa Timur</t>
  </si>
  <si>
    <t>RS Umum Asyifa Husada Pamekasan</t>
  </si>
  <si>
    <t>Jl. Mandilaras No. 88-90, Kec. Pamekasan, Kab. Pamekasan, Provinsi Jawa Timur</t>
  </si>
  <si>
    <t>RS Umum Kusuma Hospital</t>
  </si>
  <si>
    <t>Jl. Bonorogo No. 3 Pamekasan</t>
  </si>
  <si>
    <t>RS Mata Pasuruan</t>
  </si>
  <si>
    <t>Pasuruan</t>
  </si>
  <si>
    <t>Jl. Ngopak No. 56 Dusun Krawan Desa Kedawung Wetan Kec. Grati Kab. Pasuruan</t>
  </si>
  <si>
    <t>RS Umum Daerah Bangil</t>
  </si>
  <si>
    <t>Jl. Raya Raci - Bangil Kab. Pasuruan</t>
  </si>
  <si>
    <t>RS Hermina Pasuruan</t>
  </si>
  <si>
    <t>Jl. Raya Pasuruan-Probolinggo KM 5 Desa Sambirejo Kec. Rejoso</t>
  </si>
  <si>
    <t>RS Islam Masyithoh Bangil</t>
  </si>
  <si>
    <t xml:space="preserve">Jl. A. Yani No. 6 Bangil- Kab. Pasuruan </t>
  </si>
  <si>
    <t>RS Umum Daerah Grati</t>
  </si>
  <si>
    <t>Jl. Raya Grati No. 199 Ranu Klindungan Grati Pasuruan</t>
  </si>
  <si>
    <t>Jl. Raya Surabaya Malang KM 54 Lemahbang Kecamatan Sukorejo</t>
  </si>
  <si>
    <t xml:space="preserve">RS Mitra Sehat Medika </t>
  </si>
  <si>
    <t>Jl Raya By Pass No. 06</t>
  </si>
  <si>
    <t xml:space="preserve">RS Umum Bhayangkara Pusdik Brimob </t>
  </si>
  <si>
    <t>JL.RAYA WATUKOSEK - GEMPOL PASURUAN</t>
  </si>
  <si>
    <t>RS Asih Abyakta</t>
  </si>
  <si>
    <t>Jl Raya Surabaya Malang Km.42 No,88 Kepulungan Gempol Kabupaten Pasuruan</t>
  </si>
  <si>
    <t>RS Sahabat</t>
  </si>
  <si>
    <t>Jl. Raya Surabaya Malang KM 50 Desa Suwayuwo Kecamatan Sukorejo</t>
  </si>
  <si>
    <t>RS Umum Daerah Dr. Harjono S. Kabupaten Ponorogo</t>
  </si>
  <si>
    <t>Ponorogo</t>
  </si>
  <si>
    <t>Jl. Raya Ponorogo-Pacitan Kel. Pakunden Kab. Ponorogo</t>
  </si>
  <si>
    <t>RS Umum Muhammadiyah Ponorogo</t>
  </si>
  <si>
    <t>Jalan Diponegoro No. 50, Kelurahan Mangkujayan, Kecamatan Ponorogo, Kabupaten Ponorogo, Provinsi Jawa Timur, Kode Pos 63413</t>
  </si>
  <si>
    <t>RS Umum Aisyiyah Ponorogo</t>
  </si>
  <si>
    <t>Jl. Dr Sutomo 18 - 24, Ponorogo</t>
  </si>
  <si>
    <t>RS Umum Darmayu Ponorogo</t>
  </si>
  <si>
    <t>Jl. Dr. Sutomo No. 44-50 Ponorogo</t>
  </si>
  <si>
    <t>RS Umum Muslimat Ponorogo</t>
  </si>
  <si>
    <t>Jl. Jend. A. Yani 155, Ponorogo</t>
  </si>
  <si>
    <t>RS Griya Waluya</t>
  </si>
  <si>
    <t>Jl. Sultan Agung Nomor 68 Ponorogo</t>
  </si>
  <si>
    <t>RS Umum Daerah Bantarangin</t>
  </si>
  <si>
    <t>Jl. Diponegoro No. 4 Desa Sumoroto Kec. Kauman Kab. Ponorogo</t>
  </si>
  <si>
    <t>RS Yasyfin Darussalam Gontor</t>
  </si>
  <si>
    <t>Dukuh Gontor 2, RT. 002 RW. 002, Desa Gontor, Kecamatan Mlarak, Kabupaten Ponorogo</t>
  </si>
  <si>
    <t>RS Ibu dan Anak Fatimah Kraksaan</t>
  </si>
  <si>
    <t>Probolinggo</t>
  </si>
  <si>
    <t>Jl. Letjend Suprapto No. 55, Desa Bulu, Kec. Kraksaan Kab. Probolinggo</t>
  </si>
  <si>
    <t>RS Umum Daerah Waluyo Jati Kraksaan</t>
  </si>
  <si>
    <t>Jl. Dr. Soetomo No. 1 Kec. Kraksaan Kab. Probolinggo</t>
  </si>
  <si>
    <t>RS Umum  Wonolangan</t>
  </si>
  <si>
    <t>Jl. Raya Dringu No 118 Desa Kedungdalem Kec. Dringu, Kab. Probolinggo</t>
  </si>
  <si>
    <t>RS Rizani</t>
  </si>
  <si>
    <t xml:space="preserve">Jl. Raya Surabaya - Situbondo KM 135 desa Sumberejo Kec. Paiton Kab. Probolinggo </t>
  </si>
  <si>
    <t xml:space="preserve">RS Umum Daerah Tongas </t>
  </si>
  <si>
    <t xml:space="preserve">  Jl. Raya Tongas No. 229 Kec. Tongas Kab. Probolinggo</t>
  </si>
  <si>
    <t>RS Graha Sehat</t>
  </si>
  <si>
    <t>Jl. Raya Panglima Sudirman No.2 B Kraksaan</t>
  </si>
  <si>
    <t>RS Umum Daerah dr. Mohammad Zyn Kab. Sampang</t>
  </si>
  <si>
    <t>Sampang</t>
  </si>
  <si>
    <t>Jl. Rajawali No. 10, Sampang</t>
  </si>
  <si>
    <t>RS Qona'ah</t>
  </si>
  <si>
    <t>Jl. Diponegoro No. 7 Kel Banyuanyar Kec. Sampang</t>
  </si>
  <si>
    <t>RS Sukma Wijaya</t>
  </si>
  <si>
    <t>Jl. H. Agus Salim No. 19, Kel. Banyuanyar, Kec. Sampang</t>
  </si>
  <si>
    <t>RS Umum Daerah Ketapang</t>
  </si>
  <si>
    <t xml:space="preserve"> Jl. Raya Ketapang Sampang No 7, Desa/Kelurahan Ketapang Barat, Kec. Ketapang, Kab. Sampang, Provinsi Jawa Timur, KodeÂ Pos:Â 69261</t>
  </si>
  <si>
    <t>RS Nindhita</t>
  </si>
  <si>
    <t>Jl. Syamsul Arifin 87 Sampang</t>
  </si>
  <si>
    <t>RS Ibu dan Anak Pondok Tjandra</t>
  </si>
  <si>
    <t>Sidoarjo</t>
  </si>
  <si>
    <t>Jl. Mangga I E Nomor 225, Perumahan Pondok Tjandra Indah, Kelurahan Tambaksumur, Kecamatan. Waru, Kabupaten Sidoarjo, Jawa Timur 61256</t>
  </si>
  <si>
    <t>RS Ibu dan Anak Soerya</t>
  </si>
  <si>
    <t>Raya Kalijaten 11-15 Taman Sidoarjo</t>
  </si>
  <si>
    <t>RS Ibu dan Anak Buah Delima</t>
  </si>
  <si>
    <t>jl.Sunandar priyo sudarmo 154 sidoarjo</t>
  </si>
  <si>
    <t>RS Ibu dan Anak Kirana</t>
  </si>
  <si>
    <t>Jl. Raya Ngelom No.87 Taman, Sidoarjo</t>
  </si>
  <si>
    <t>RS Ibu dan Anak Pondok Jati</t>
  </si>
  <si>
    <t>Perum Pondok Jati Blok AK No 11-13, Pagerwojo, Buduran, Sidoarjo - Jawa Timur</t>
  </si>
  <si>
    <t>RS Ibu dan Anak Metro Hospitals Sidoarjo</t>
  </si>
  <si>
    <t>Jl. Raya Seruni No. 159 Desa Sruni Kecamatan Gedangan Kabupaten Sidoarjo Provinsi Jawa Timur</t>
  </si>
  <si>
    <t>RS Mata Fatma</t>
  </si>
  <si>
    <t xml:space="preserve">Jl. Raya Kalijaten No. 40 </t>
  </si>
  <si>
    <t>RS Umum Daerah R. T. Notopuro Sidoarjo</t>
  </si>
  <si>
    <t>Jl. Mojopahit No. 667 Kelurahan Celep, Kecamatan Sidoarjo, Kabupaten Sidoarjo, Jawa Timur 61215</t>
  </si>
  <si>
    <t>RS Umum Siti Khodijah Muhammadiyah Cabang Sepanjan</t>
  </si>
  <si>
    <t>Jl. Raya Bebekan RT. 02 RW. 01, Kel. Bebekan, Kec. Taman</t>
  </si>
  <si>
    <t>RS Umum Mitra Keluarga Waru</t>
  </si>
  <si>
    <t>Jl. Jend. S. Parman No. 8 Waru</t>
  </si>
  <si>
    <t>RS Islam Siti Hajar Sidoarjo</t>
  </si>
  <si>
    <t>Jl. Raden Patah No. 70-72 Sidoarjo</t>
  </si>
  <si>
    <t>RS Umum Al-Islam H. M. Mawardi</t>
  </si>
  <si>
    <t>Jl. Kyai Mojo No.12A Jeruk Gamping Krian Sidoarjo</t>
  </si>
  <si>
    <t>RS Umum Delta Surya</t>
  </si>
  <si>
    <t>Jl. Pahlawan No. 09 Sidoarjo</t>
  </si>
  <si>
    <t xml:space="preserve">RS Umum Anwar Medika </t>
  </si>
  <si>
    <t>Jl. Raya By Pass Krian KM 33  Balong Bendo Sidoarjo</t>
  </si>
  <si>
    <t>RS Mitra Keluarga Pondok Tjandra</t>
  </si>
  <si>
    <t>Jl. Raya Taman Asri Kav DD. 1-8, Tambaksumur, Waru</t>
  </si>
  <si>
    <t>RS Umum Citra Medika</t>
  </si>
  <si>
    <t>Jl.Raya Surabaya Mojokerto KM.44 Kramat Temenggung Tarik Sidoarjo</t>
  </si>
  <si>
    <t>JL Kundi No 70 Kepuh Kiriman Waru Sidoarjo</t>
  </si>
  <si>
    <t xml:space="preserve">RS Umum  Pusdik Polri Porong </t>
  </si>
  <si>
    <t>JL. RAYA PORONG NO. 1 SIDOARJO</t>
  </si>
  <si>
    <t>RS Umum Daerah Sidoarjo Barat</t>
  </si>
  <si>
    <t>Jl. Bibis Bunder, Kelurahan Tambak Kemerakan, Kecamatan Krian, Kabupaten Sidoarjo, Provinsi Jawa Timur</t>
  </si>
  <si>
    <t>RS Sheila Medika</t>
  </si>
  <si>
    <t>Jl. Letjen Wahono No. 77-79 Juanda Sedati</t>
  </si>
  <si>
    <t>RS Umum Rahman Rahim</t>
  </si>
  <si>
    <t xml:space="preserve"> Jl. Raya Saimbang No. 277 RT. 10 RW. 03 Desa Kebonagung Kecamatan Sukodono</t>
  </si>
  <si>
    <t>RS Arafah Anwar Medika Sukodono</t>
  </si>
  <si>
    <t>Jl. Sawo No. 2 Dungus Sukodono</t>
  </si>
  <si>
    <t>RS Umum Jasem</t>
  </si>
  <si>
    <t>Jl. Samanhudi No.85 A Sidoarjo</t>
  </si>
  <si>
    <t>RS Bantuan 05.08.03 Sidoarjo</t>
  </si>
  <si>
    <t>JL DR SOETOMO NO 2 SIDOARJO</t>
  </si>
  <si>
    <t>RS Umum Aisyiyah Siti Fatimah</t>
  </si>
  <si>
    <t>JL. Raya Kenongo. no 14. Kel. Kenongo, Kec. Tulangan, Kab. Sidoarjo, Provinsi Jawa Timur</t>
  </si>
  <si>
    <t>RS Umum Prima Husada</t>
  </si>
  <si>
    <t>Jl. Letjen Suprapto No. 03, Kepuh Kiriman Waru</t>
  </si>
  <si>
    <t>RS Umum Mitra Sehat Mandiri Sidoarjo</t>
  </si>
  <si>
    <t>Jl. Raya Krian- Mojosari KM 3 Tropodo Krian Sidoarjo</t>
  </si>
  <si>
    <t>RS Umum Assakinah Medika</t>
  </si>
  <si>
    <t>Jl. Raya Sidoarjo 14, Kebonagung, Sukodono</t>
  </si>
  <si>
    <t>RS Umum Aminah</t>
  </si>
  <si>
    <t>Jl. Untung Suropati, Desa Watutulis, Kec Prambon Sidoarjo</t>
  </si>
  <si>
    <t xml:space="preserve">RS Umum Usada </t>
  </si>
  <si>
    <t>Jl. Jeruk 117 Wage,Taman Sidoarjo</t>
  </si>
  <si>
    <t>RS Pusura Candi</t>
  </si>
  <si>
    <t>JL Raya Gelam No. 39 Sidoarjo</t>
  </si>
  <si>
    <t xml:space="preserve">RS Ibu dan Anak Karinda Husada </t>
  </si>
  <si>
    <t>Situbondo</t>
  </si>
  <si>
    <t>Jl. Raya Kota Timur No. 26B, Besuki, Situbondo, Situbondo, Jawa Timur 68356</t>
  </si>
  <si>
    <t>RS Ibu dan Anak Jatimed</t>
  </si>
  <si>
    <t>Jl. Panglima Sudirman No. 5 Besuki Situbondo</t>
  </si>
  <si>
    <t>RS Mata Situbondo</t>
  </si>
  <si>
    <t>Jl. PB. Sudirman No 05 RT. 02 RW. 02, Kab. Situbondo</t>
  </si>
  <si>
    <t>RS Elizabeth</t>
  </si>
  <si>
    <t>Jl. WR Supratman Nomor 2A Situbondo</t>
  </si>
  <si>
    <t>RS Umum Daerah dr. Abdoer Rahem Situbondo</t>
  </si>
  <si>
    <t>Jl. Anggrek No. 68, Kelurahan. Patokan Kecamatan. Situbondo, Kabupaten. Situbondo Jawa Timur</t>
  </si>
  <si>
    <t>RS Umum Mulia Medical Center</t>
  </si>
  <si>
    <t>Jl. Pasir Putih No.07 RT. 002 RW. 001 Kelurahan Bletok Kecamatan Bungatan</t>
  </si>
  <si>
    <t>RS Umum Daerah Asembagus Kabupaten Situbondo</t>
  </si>
  <si>
    <t>Jl.Raya Asembagus No. 207 RT 002 RW 008 Dusun Wringin Desa Wringinanom Kecamatan Asembagus Kabupaten Situbondo 68373</t>
  </si>
  <si>
    <t>RS Umum Daerah Besuki Kabupaten Situbondo</t>
  </si>
  <si>
    <t xml:space="preserve">Jl. Olah Raga No 55 Besuki Kabupaten Situbondo Provinsi Jawa Timur </t>
  </si>
  <si>
    <t>RS Umum Mitra Sehat Kabupaten Situbondo</t>
  </si>
  <si>
    <t>Desa Curah Jeru Kecamatan Panji RT 02/RW 011 Kabupaten Situbondo</t>
  </si>
  <si>
    <t>RS Ibu dan Anak Esto Ebhu</t>
  </si>
  <si>
    <t>Sumenep</t>
  </si>
  <si>
    <t>Jl.Dr Cipto no 38. Kolor Kab. Sumenep</t>
  </si>
  <si>
    <t>RS Islam Garam Kalianget</t>
  </si>
  <si>
    <t>Jl. Raya Kalianget No.1 Kalianget, Kab Sumenep</t>
  </si>
  <si>
    <t>RS Umum Sumekar</t>
  </si>
  <si>
    <t>Jl. Arya Wiraraja No. 99 Lingkar Timur Desa Kolor Kec. Kota</t>
  </si>
  <si>
    <t xml:space="preserve">RS Umum Daerah dr. H. Moh. Anwar </t>
  </si>
  <si>
    <t xml:space="preserve">  Jl. Dr Cipto No. 42 Desa Kolor Kab. Sumenep</t>
  </si>
  <si>
    <t>RS Umum Daerah Abuya Kangean</t>
  </si>
  <si>
    <t>Jl. Raya Pantai Celgung Desa Sambakati Kec. Arjasa Kabupaten Sumenep Provinsi Jawa Timur</t>
  </si>
  <si>
    <t>RS Ibu dan Anak HST</t>
  </si>
  <si>
    <t>Trenggalek</t>
  </si>
  <si>
    <t>Jl. Dr. Soetomo 39A RT.01 RW.01 Kelurahan Ngantru, Kec. Trenggalek, Kab. Trenggalek, Provinsi Jawa Timur</t>
  </si>
  <si>
    <t>RS Umum Daerah dr. Soedomo Trenggalek</t>
  </si>
  <si>
    <t>Jl. dr. Soetomo No. 02 Kelurahan Tamanan, Kecamatan Trenggalek, Kabupaten Trenggalek, Provinsi Jawa Timur</t>
  </si>
  <si>
    <t>RS Umum Budi Asih Trenggalek</t>
  </si>
  <si>
    <t>Jl. Mayjend Sungkono Nomor 80 Dusun Cengkong Desa Tamanan, Kecamatan Trenggalek Kabupaten Trenggalek, Provinsi Jawa Timur</t>
  </si>
  <si>
    <t>RS Umum Daerah Panggul</t>
  </si>
  <si>
    <t>Jl. Raya Panggul No. 21 Desa Wonocoyo Kec. Panggul Kab. Trenggalek</t>
  </si>
  <si>
    <t>RS Umum Daerah Dr. R. Koesma Tuban</t>
  </si>
  <si>
    <t>Tuban</t>
  </si>
  <si>
    <t xml:space="preserve"> Jl. dr. Wahidin Sudiro Husodo No. 800</t>
  </si>
  <si>
    <t>RS Nahdlatul Ulama Tuban</t>
  </si>
  <si>
    <t>Jl. Letda Sucipto No. 211 Tuban</t>
  </si>
  <si>
    <t>RS Medika Mulia Tuban</t>
  </si>
  <si>
    <t>Jl. Mojopahit 699 Tuban</t>
  </si>
  <si>
    <t>RS Graha Husada</t>
  </si>
  <si>
    <t>Jl. Imam Bonjol, Lajo Lor, Kecamatan Singgahan, Kabupaten Tuban, Jawa Timur</t>
  </si>
  <si>
    <t>RS Muhammadiyah Tuban</t>
  </si>
  <si>
    <t>Jl. Diponegoro No.1 Tuban</t>
  </si>
  <si>
    <t>RS Umum Daerah R. Ali Manshur</t>
  </si>
  <si>
    <t>Jl. Raya Timur No. 131 Jatirogo Tuban</t>
  </si>
  <si>
    <t>RS Ibu dan Anak Trisna Medika</t>
  </si>
  <si>
    <t>Tulungagung</t>
  </si>
  <si>
    <t>Jalan Pahlawan No.216 RT.03/RW.02, Dusun Ketanon, Ketanon, Kec. Kedungwaru, Kabupaten Tulungagung, Jawa Timur 66226</t>
  </si>
  <si>
    <t xml:space="preserve">RS Ibu dan Anak Fauziah </t>
  </si>
  <si>
    <t>Jl. Dr. Sutomo 47 Tulungagung</t>
  </si>
  <si>
    <t>RS Ibu dan Anak Amanda</t>
  </si>
  <si>
    <t>JL. Mayor Sujadi No. 38 Jepun Tulungagung</t>
  </si>
  <si>
    <t>RS Umum Daerah Dr. Iskak Tulungagung</t>
  </si>
  <si>
    <t>Jl. Dr. Wahidin Sudiro Husodo Tulungagung</t>
  </si>
  <si>
    <t xml:space="preserve">RS Umum Era Medika </t>
  </si>
  <si>
    <t>Jl. Raya Pulosari No. 15 Ngunut Tulungagung</t>
  </si>
  <si>
    <t>RS Umum Bhayangkara Tulungagung</t>
  </si>
  <si>
    <t>Jl. I Gusti Ngurah Rai 25 - 27, Tulungagung</t>
  </si>
  <si>
    <t>RS Putra Waspada Tulungagung</t>
  </si>
  <si>
    <t>Jl. Jayeng Kusuma No 66 RT.002, RW.006, Kel. Ngujang, Kec. Kedungwaru, Kab. Tulungagung</t>
  </si>
  <si>
    <t>RS Umum Islam Orpeha</t>
  </si>
  <si>
    <t>Jl. KH. R. Abdul Fatah Batangsaren Kec. Kauman Kab. Tulungagung</t>
  </si>
  <si>
    <t>Jl. Soekarno Hatta, Kutoanyar</t>
  </si>
  <si>
    <t>RS Umum Muhammadiyah Bandung</t>
  </si>
  <si>
    <t>Jl. Panglima Sudirman No. 42, RT/RW 001/001 Dusun Bakah, Desa Mergayu, Kecamatan Bandung, Kabupaten Tulungagung, Propinsi Jawatimur</t>
  </si>
  <si>
    <t>RS Umum Daerah Campurdarat</t>
  </si>
  <si>
    <t>Jl. Kanigoro No. 13 Ngingas, Kecamatan Campurdarat, Kabupaten Tulungagung, Provinsi Jawa Timur</t>
  </si>
  <si>
    <t>RS Umum Satiti Prima Husada</t>
  </si>
  <si>
    <t>Ds. Balesono, Kec. Ngunut Kab. Tulungagung</t>
  </si>
  <si>
    <t>RS Umum Islam  Madinah</t>
  </si>
  <si>
    <t>Jl. Jatiwayang  Lk 02 Ngunut, Tulungagung</t>
  </si>
  <si>
    <t>Kalimantan Barat</t>
  </si>
  <si>
    <t>RS Umum Daerah Drs. Jacobus Luna, M.Si Kabupaten Bengkayang</t>
  </si>
  <si>
    <t>Bengkayang</t>
  </si>
  <si>
    <t>Jl. Sanggau Ledo No. 20, Desa/Kelurahan Sebalo, Kec. Bengkayang, Kab. Bengkayang</t>
  </si>
  <si>
    <t>RS Umum Bethesda Serukam</t>
  </si>
  <si>
    <t>Jl. Raya Bengkayang Km.48, Desa Pasti Jaya, Kec. Samalantan</t>
  </si>
  <si>
    <t>RS Umum Daerah dr. Achmad Diponegoro Putussibau</t>
  </si>
  <si>
    <t>Kapuas Hulu</t>
  </si>
  <si>
    <t>Jl.Kom Yos Sudarso No. 42 Putussibau Kabupaten Kapuas Hulu Provinsi Kalimantan Barat</t>
  </si>
  <si>
    <t>RS Umum Daerah Semitau</t>
  </si>
  <si>
    <t>Jl. Suhaid Semitau</t>
  </si>
  <si>
    <t>RS Umum Daerah Badau</t>
  </si>
  <si>
    <t>Jl. Lintas Badau Na.Kantuk Dusun Perumbang Desa Kekurak, Kec. Badau</t>
  </si>
  <si>
    <t>RS Umum Daerah Sultan Muhammad Jamaludin I</t>
  </si>
  <si>
    <t>Kayong Utara</t>
  </si>
  <si>
    <t>Jl. Provinsi Sukadana, Teluk Batang, Dusun Senebing RT. 03/ RW.1 Desa Harapan Mulia Kecamatan Su</t>
  </si>
  <si>
    <t>RS Ibu dan Anak Permata Bunda</t>
  </si>
  <si>
    <t>Ketapang</t>
  </si>
  <si>
    <t>Jl. Brigjen Katamso No 7 Sukaharja Kec. Delta Pawan Ketapang</t>
  </si>
  <si>
    <t>RS Umum Daerah Dr. Agoesdjam Ketapang</t>
  </si>
  <si>
    <t>Jl. Panjaitan No.51 Ketapang</t>
  </si>
  <si>
    <t>RS Fatima Ketapang</t>
  </si>
  <si>
    <t>Jl. Jend. Sudirman No.27 Ketapang</t>
  </si>
  <si>
    <t>RS Ibu dan Anak Nabasa Pontianak</t>
  </si>
  <si>
    <t>Kota Pontianak</t>
  </si>
  <si>
    <t>Jl. Sungai Raya Dalam No. 65, Bangka Belitung Darat, Pontianak Tenggara, Kota Pontianak, Provinsi Kalimantan Barat</t>
  </si>
  <si>
    <t>RS Bersalin Jeumpa</t>
  </si>
  <si>
    <t>Jl. Sultan Syarif Abdurrahman No. 54, Akcaya, Kec. Pontianak Selatan</t>
  </si>
  <si>
    <t>RS Umum Daerah Dr. Soedarso Pontianak</t>
  </si>
  <si>
    <t>Jl. dr. Soedarso No.1, Kel.Bangka Belitung Kec. Pontianak Tenggara, Kota Pontianak, Kalimantan Barat</t>
  </si>
  <si>
    <t>RS Umum St. Antonius Pontianak</t>
  </si>
  <si>
    <t>Jl. KH. Wahid Hasyim No. 249 Pontianak</t>
  </si>
  <si>
    <t>RS Universitas Tanjungpura</t>
  </si>
  <si>
    <t>Jl. Profesor Dokter H. Hadari Nawawi, Bansir Laut, Kec. Pontianak Tenggara, Kota Pontianak, Kalimantan Barat 78115</t>
  </si>
  <si>
    <t>RS Mitra Medika Pontianak</t>
  </si>
  <si>
    <t>Jl. Sultan Abdurrahman No. 25 Kel. Sungai Bangkong Kec. Pontianak Kota</t>
  </si>
  <si>
    <t xml:space="preserve">RS Bhayangkara Pontianak </t>
  </si>
  <si>
    <t xml:space="preserve">Jl. K. S. Tubun 14 Pontianak </t>
  </si>
  <si>
    <t>RS Islam Yarsi Pontianak</t>
  </si>
  <si>
    <t>Jl. Tanjung Raya II Kel. Tambelan Sampit, Kec. Pontianak Timur, Kota Pontianak, Kalimantan Barat</t>
  </si>
  <si>
    <t>RS Umum Daerah Sultan Syarif  Mohammad Alkadrie</t>
  </si>
  <si>
    <t>Jl. Komodor Yos Sudarso Pontianak</t>
  </si>
  <si>
    <t>RS Anugerah Bunda Khatulistiwa</t>
  </si>
  <si>
    <t>Jl. Ahmad Yani Pontianak Tenggara</t>
  </si>
  <si>
    <t>RS Umum Kharitas Bhakti</t>
  </si>
  <si>
    <t>JL. Siam No.153 Pontianak</t>
  </si>
  <si>
    <t>RS Umum Medika Djaya</t>
  </si>
  <si>
    <t>Jl. Parit H. Husin 1 Blok MD No. 1, Kec. Pontianak Tenggara, Kota Pontianak, Provinsi Kalimantan Barat</t>
  </si>
  <si>
    <t>RS Pro Medika Pontianak</t>
  </si>
  <si>
    <t>Jl. Gusti Sulung Lelanang Blok EA No. 2-5 Kota Pontianak</t>
  </si>
  <si>
    <t>RS Umum Daerah Pontianak Utara</t>
  </si>
  <si>
    <t>Jl. Khatulistiwa No. 151 Kel. Siantan Hilir, Kec. Pontianak Utara</t>
  </si>
  <si>
    <t>RS Ibu dan Anak Wempe Singkawang</t>
  </si>
  <si>
    <t>Kota Singkawang</t>
  </si>
  <si>
    <t>Jln. Gunung Sari No. 10 Kelurahan Pasiran, Kecamatan Singkawang Barat, Kota Singkawang</t>
  </si>
  <si>
    <t>RS Jiwa Provinsi Kalimantan Barat</t>
  </si>
  <si>
    <t xml:space="preserve"> Jl. Raya Singkawang Bengkayang KM 15 Singkawang</t>
  </si>
  <si>
    <t>RS Umum Daerah Dr. Abdul Aziz Singkawang</t>
  </si>
  <si>
    <t>Jl. Dr Soetomo No. 28, Singkawang</t>
  </si>
  <si>
    <t>RS Umum Santo Vincentius Singkawang</t>
  </si>
  <si>
    <t>Jl. P. Diponegoro No. 5 Singkawang</t>
  </si>
  <si>
    <t>RS Umum Harapan Bersama Singkawang</t>
  </si>
  <si>
    <t>Jl. P. Belitung No. 61 Singkawang</t>
  </si>
  <si>
    <t>RS Tk. IV 12.07.01 Singkawang</t>
  </si>
  <si>
    <t>Jl. Perwira No. H15 Singkawang</t>
  </si>
  <si>
    <t>RS Umum Sa'adah</t>
  </si>
  <si>
    <t>Jl. Gunung Merapi No.03 RT 030 RW 012, Pasiran, Singkawang Barat</t>
  </si>
  <si>
    <t>RS Ibu dan Anak Anugrah</t>
  </si>
  <si>
    <t>Kubu Raya</t>
  </si>
  <si>
    <t>Jl. Sungai Raya No. 43, Kecamatan Sungai Raya</t>
  </si>
  <si>
    <t>RS Angkatan Udara dr. Mohammad Sutomo</t>
  </si>
  <si>
    <t>Jl. Raya Kuala Dua No. 2 Kab. Kubu Raya</t>
  </si>
  <si>
    <t>RS Tk. II Kartika Husada Kes.Dam XII Tanjungpura</t>
  </si>
  <si>
    <t>Jl. Adi Sucipto KM 6.5 Sei Raya Kubu Raya</t>
  </si>
  <si>
    <t>RS Umum Daerah Kabupaten Kubu Raya</t>
  </si>
  <si>
    <t>Jl. Jenderal Sudirman Kec. Rasau Jaya Kubu Raya 78381</t>
  </si>
  <si>
    <t>RS Umum Daerah Kabupaten Landak</t>
  </si>
  <si>
    <t>Landak</t>
  </si>
  <si>
    <t>Jl. Raya Ngabang Sanggau No.109 Kecamatan Ngabang Kabupaten Landak</t>
  </si>
  <si>
    <t>RS Pratama Kabupaten Landak</t>
  </si>
  <si>
    <t>Jl. Jurusan Anjungan Bengkayang Desa Tunang Kec. Mempawah Hulu</t>
  </si>
  <si>
    <t>RS Umum Daerah Kabupaten Melawi</t>
  </si>
  <si>
    <t>Melawi</t>
  </si>
  <si>
    <t>Jl. Kelakik KM. 4 Nanga Pinoh Kabupaten Melawi</t>
  </si>
  <si>
    <t>RS Umum Daerah Belimbing</t>
  </si>
  <si>
    <t>Jl. PMKS PT. SDK 1,Desa Batu Buil Kecamatan Belimbing Kabupaten Melawi Provinsi Kalimantan Barat</t>
  </si>
  <si>
    <t>RS Umum Citra Husada Nanga Pinoh</t>
  </si>
  <si>
    <t>Jln. Dharma Bakti No. 45 C Nanga Pinoh</t>
  </si>
  <si>
    <t>RS Umum Kasih Bunda Jaya Nanga Pinoh</t>
  </si>
  <si>
    <t>Jl. Juang Km. 2 Dusun Tanah Tinggi Desa Tanjung Niaga Kecamatan Nanga Pinoh Kabupaten Melawi Provinsi Kalimantan Barat</t>
  </si>
  <si>
    <t>RS Umum Daerah Dr. Rubini Mempawah</t>
  </si>
  <si>
    <t>Mempawah</t>
  </si>
  <si>
    <t>Jalan Dr. Rubini, Desa/Kelurahan Kuala Secapah, Kec. Mempawah Hilir, Kab. Mempawah, Provinsi Kalimantan Barat, Kode Pos : 78914</t>
  </si>
  <si>
    <t>RS Umum Daerah Pemangkat</t>
  </si>
  <si>
    <t>Sambas</t>
  </si>
  <si>
    <t xml:space="preserve"> Jalan. Abdul Kadir Kasim No. 20 Pemangkat</t>
  </si>
  <si>
    <t>RS Umum Daerah Sambas</t>
  </si>
  <si>
    <t>Jl. Pendidikan no 300 Kecamatan Sambas Kabupaten Sambas Propinsi Kalimantan Barat</t>
  </si>
  <si>
    <t>RS Santa Elisabeth</t>
  </si>
  <si>
    <t>Jl. Gusti Hamzah RT 007 RW 004, Desa/Kelurahan Durian, Kec. Sambas, Kab. Sambas, Provinsi Kalimantan Barat, Kode Pos : 79462</t>
  </si>
  <si>
    <t>RS Umum Daerah Teluk Keramat</t>
  </si>
  <si>
    <t xml:space="preserve">Dusun Tambangan RT. 001 RW. 002 Desa Puringan Kecamatan Teluk Keramat Kabupaten Sambas Kalimantan Barat </t>
  </si>
  <si>
    <t>RS Parindu</t>
  </si>
  <si>
    <t>Sanggau</t>
  </si>
  <si>
    <t>Jl Raya Desa Binjai Kec.Tayan Hulu Kab. Sanggau Kalimantan Barat 78562</t>
  </si>
  <si>
    <t>RS Umum Daerah M. Th. Djaman Sanggau</t>
  </si>
  <si>
    <t>Jl. Jend Sudirman Sanggau, Kecamatan Kapuas, Kabupaten Sanggau, Provinsi Kalimantan Barat</t>
  </si>
  <si>
    <t>RS Umum Sentra Medika Sanggau</t>
  </si>
  <si>
    <t>JL. Cempaka Kelurahan Ilir Kota RT 014/RW 003 Kecamatan Kapuas Kab. Sanggau</t>
  </si>
  <si>
    <t>RS Umum Daerah Temenggung Gergaji</t>
  </si>
  <si>
    <t>Jl. Lintas Sekayam Desa Kenaman Kecamatan Sekayam Kabupaten Sanggau</t>
  </si>
  <si>
    <t>RS Umum Daerah Sekadau</t>
  </si>
  <si>
    <t>Sekadau</t>
  </si>
  <si>
    <t>Jalan Merdeka Timur KM.6 Desa Mungguk, Kecamatan Sekadau Hilir, Kabupaten Sekadau, Provinsi Kalimantan Barat. Kode Pos. 79582</t>
  </si>
  <si>
    <t>RS Pratama Tamongokng Naga Lantai</t>
  </si>
  <si>
    <t>Jl. Raya Landau Apin - Tembaga, Desa Landau Apin Kec. Nanga Mahap</t>
  </si>
  <si>
    <t>RS Ibu dan Anak Bujang Dara Sintang</t>
  </si>
  <si>
    <t>Sintang</t>
  </si>
  <si>
    <t>Jln. Muhammad Saad RT 003 RW 004  Kelurahan Tanjung Puri Sintang</t>
  </si>
  <si>
    <t>RS Jiwa Sudiyanto</t>
  </si>
  <si>
    <t>Jl. Adi Sucipto No. 41, RT. 3 RW. 1, Kel. Tanjung Puri, Kec. Sintang</t>
  </si>
  <si>
    <t xml:space="preserve">RS Umum Daerah Ade Muhammad Djoen Sintang </t>
  </si>
  <si>
    <t>Jl. Y.C. Oevang Oeray, No. 1  Desa Sungai Ana, Kec. Sintang, Kab. Sintang Kec. Sintang</t>
  </si>
  <si>
    <t>RS Tk. IV 12.07.02 Sintang</t>
  </si>
  <si>
    <t>Jl. MT Haryono KM.3 RT 16 RW 5 Kelurahan Kapuas Kanan Hulu Kec. Sintang Kab. Sintang</t>
  </si>
  <si>
    <t>RS Umum Sayang Ibu Sintang</t>
  </si>
  <si>
    <t>Jl. Lintas Melawi No.Â 32 Sintang</t>
  </si>
  <si>
    <t>RS Umum Anugrah Bunda Jaya Sintang</t>
  </si>
  <si>
    <t>Jl. MT. Haryono RT 11 RW 03 Kelurahan Kapuas Kanan Hulu Sintang</t>
  </si>
  <si>
    <t>RS Umum Daerah Serawai</t>
  </si>
  <si>
    <t>Jl. H. Baijoeri Desa Mekar Sari Kec. Serawai</t>
  </si>
  <si>
    <t>Kalimantan Selatan</t>
  </si>
  <si>
    <t>RS Umum Daerah Datu Kandang Haji</t>
  </si>
  <si>
    <t>Balangan</t>
  </si>
  <si>
    <t xml:space="preserve">Jl. Lingkar Timur Km.1,7, Kelurahan Paringin Kota, Kecamatan Paringin, Kabupaten Balangan, Kalimantan Selatan </t>
  </si>
  <si>
    <t>Banjar</t>
  </si>
  <si>
    <t>Jl. Taisir No. 2 Kelurahan Jawa, Kec. Sungai Sipai, Martapura Kota</t>
  </si>
  <si>
    <t>RS Jiwa Sambang Lihum</t>
  </si>
  <si>
    <t>Jl Gubernur Syarkawi KM.3,9 Kec.Gambut Kab. Banjar</t>
  </si>
  <si>
    <t>RS Umum Daerah Ratu Zalecha</t>
  </si>
  <si>
    <t>Jl Menteri Empat Martapura Kabupaten Banjar Kalimantan Selatan</t>
  </si>
  <si>
    <t>RS Umum Ciputra Mitra Hospital</t>
  </si>
  <si>
    <t>Jl. A. Yani Km 7,8 Komplek Perumahan Citra Land Banjarmasin</t>
  </si>
  <si>
    <t>RS Umum Pelita Insani</t>
  </si>
  <si>
    <t>Jl. Sekumpul No. 66 Kelurahan Jawa, Kecamatan Martapura, Kabupaten Banjar, Provinsi Kalimantan Selatan</t>
  </si>
  <si>
    <t>RS Umum Aveciena Medika</t>
  </si>
  <si>
    <t>Jl. A. Yani Km.38, Kawasan Komersial Sekumpul, Kelurahan Jawa, Kecamatan Martapura, Kabupaten Banjar, Provinsi Kalimantan Selatan, 70614</t>
  </si>
  <si>
    <t>RS Umum Daerah  H. Abdul Aziz Marabahan</t>
  </si>
  <si>
    <t>Barito Kuala</t>
  </si>
  <si>
    <t>Jl. Jend Sudirman No.10, RT. 13 RW. 001, Kelurahan Ulu Benteng, Kecamatan Marabahan, Kabupaten Barito Kuala, Provinsi Kalimantan Selatan, 70513</t>
  </si>
  <si>
    <t>Hulu Sungai Selatan</t>
  </si>
  <si>
    <t>Jl. Jend. A. Yani No. 28 A Tumpang Talu Kelurahan Kandangan Barat Kecamatan Kandangan Kabupaten Hulu Sungai Selatan Provinsi Kalimantan Selatan Kode Pos 71213</t>
  </si>
  <si>
    <t>RS Umum Daerah Brigjed H. Hasan Basry Kandangan</t>
  </si>
  <si>
    <t xml:space="preserve"> Jalan Jenderal  Sudirman No.26A RT.01 RK.I Hamalau, Sungai Raya, Kab. Hulu Sungai Selatan</t>
  </si>
  <si>
    <t>RS Umum Daerah Daha Sejahtera</t>
  </si>
  <si>
    <t xml:space="preserve"> Jl Pihanin Raya, Desa Pihanin Kecamatan Daha Selatan Kabupaten Hulu Sungai Selatan</t>
  </si>
  <si>
    <t>RS Umum Ceria</t>
  </si>
  <si>
    <t>Jl. Jend. Sudirman No. 10 Hamalau  Hulu Sungai Selatan</t>
  </si>
  <si>
    <t>RS Sumber Jaya Sehat</t>
  </si>
  <si>
    <t>Jl. Pahlawan No. 15 Kel. Kandangan Utara Kab. Hulu Sungai Selatan Prop. Kalimantan Selatan</t>
  </si>
  <si>
    <t>RS Umum Daerah  H Damanhuri Barabai</t>
  </si>
  <si>
    <t>Hulu Sungai Tengah</t>
  </si>
  <si>
    <t>Jl. Murakata No. 4, Kecamatan Barabai, Kab. Hulu Sungai Tengah</t>
  </si>
  <si>
    <t>RS Umum Daerah Pambalah Batung</t>
  </si>
  <si>
    <t>Hulu Sungai Utara</t>
  </si>
  <si>
    <t>Jl. Brigjen Hasan Basri,Desa/Kelurahan Muara Tapus, RT.03 No.127, Kecamatan Amuntai Tengah Kabupaten Hulu Sungai Utara, Provinsi Kalimantan Selatan  kode pos. 71419</t>
  </si>
  <si>
    <t>RS Mulia Amuntai</t>
  </si>
  <si>
    <t>Jl. Norman Umar RT. 07 Kelurahan Kebun Sari Kecamatan Amuntai Tengah Kabupaten Hulu Sungai Utara Provinsi Kalimantan Selatan</t>
  </si>
  <si>
    <t>RSD Idaman Kota Banjarbaru</t>
  </si>
  <si>
    <t>Kota Banjar baru</t>
  </si>
  <si>
    <t>JL. TRIKORA NO. 115 RT 09 RW 01 KELURAHAN GUNTUNG MANGGIS, KECAMATAN LANDASAN ULIN, KOTA BANJARBARU, PROVINSI KALIMANTAN SELATAN</t>
  </si>
  <si>
    <t>RS Islam Sultan Agung Banjarbaru</t>
  </si>
  <si>
    <t>Jl. Achmad Yani Km. 17,5 RT. 15 RW. 03 Kel. Landasan Ulin Barat Kec. Liang Anggang</t>
  </si>
  <si>
    <t>RS Umum Syifa Medika</t>
  </si>
  <si>
    <t>Jl. R.O Ulin No. 93 Kel. Loktabat Selatan, Kec. Banjarbaru Selatan Kota Banjarbaru KalimantanÂ Selatan</t>
  </si>
  <si>
    <t>RS Umum Permata Husada Banjarbaru</t>
  </si>
  <si>
    <t>Jl. Ir. Pangeran M. Noor No. 50A RT/RW. 004/005, Kel. Sungai Ulin Kec. Banjarbaru Utara, Kota Banjarbaru, Provinsi Kalimantan Selatan</t>
  </si>
  <si>
    <t>RS Umum Almansyur Medika Banjarbaru</t>
  </si>
  <si>
    <t>Jl. Ahmad Yani KM 36, Rt. 003, Rw.001, Kel. Sungai Ulin Kec. Banjarbaru Utara, Kota Banjarbaru, Kalimantan Selatan.</t>
  </si>
  <si>
    <t>RS TNI AU Sjamsudin Noor</t>
  </si>
  <si>
    <t>Jl. Hercules No. 17 Landasan Ulin Kota Banjarbaru Provinsi Kalimantan Selatan Kode Pos 70724</t>
  </si>
  <si>
    <t xml:space="preserve">RS Tk. IV Guntung Payung </t>
  </si>
  <si>
    <t>Jl. A. Yani, Km 31 Guntung manggis, Kec. Landasan Ulin, Kota Banjar Baru, Kalimantan Selatan 70721</t>
  </si>
  <si>
    <t xml:space="preserve">RS Umum Mawar </t>
  </si>
  <si>
    <t>Jl. Panglima Batur Timur No. 52, Kel. Banjarbaru Utara, Kec. Komet</t>
  </si>
  <si>
    <t>RS Khusus Bedah Banjarmasin Siaga</t>
  </si>
  <si>
    <t>Kota Banjarmasin</t>
  </si>
  <si>
    <t>Jl.Jend. Ahmad Yani KM.4,5 No.73 , Kel. Kebun Bunga, Kec. Banjarmasin Timur, Kota Banjarmasin, Provinsi Kalimantan Selatan, Kode Pos: 70235</t>
  </si>
  <si>
    <t>RS Khusus Gigi dan Mulut Gusti Hasan Aman</t>
  </si>
  <si>
    <t>Jl. Simpang Ulin No.28, Kelurahan Sungai Baru, Kecamatan Banjarmasin Tengah, Kota Banjarmasin, Provinsi Kalimantan Selatan</t>
  </si>
  <si>
    <t>Jl Jafri Zamzam No 56 RT  33 Banjarmasin</t>
  </si>
  <si>
    <t>RS Ibu dan Anak Mahkota Bunda</t>
  </si>
  <si>
    <t>Jl. Aes Nasution, No.102, Seberang Mesjid, kec. Banjarmasin Tengah, Kota Banjarmasin</t>
  </si>
  <si>
    <t>RS Umum Daerah Ulin Banjarmasin</t>
  </si>
  <si>
    <t>Jl. Jen A Yani No.43, Banjarmasin Kalimantan Selatan</t>
  </si>
  <si>
    <t>RS Umum Daerah Dr. H. Moch. Ansari Saleh</t>
  </si>
  <si>
    <t>Jl Brigjend H. Hasan Basry No.1, Banjarmasin</t>
  </si>
  <si>
    <t>RS Islam Banjarmasin</t>
  </si>
  <si>
    <t>JL. S PARMAN GG PURNAMA NO. 01, Desa/Kelurahan Pasar Lama, Kec. Banjarmasin Tengah, Kota Banjarmasin, Provinsi Kalimantan Selatan, KodeÂ Pos:Â 70115</t>
  </si>
  <si>
    <t>RS Umum Sari Mulia</t>
  </si>
  <si>
    <t>Jl. Pangeran Antasari No 139 Banjarmasin</t>
  </si>
  <si>
    <t>RS Umum Suaka Insan</t>
  </si>
  <si>
    <t>Jl. Zafri Zam-Zam No.60 Kelurahan Belitung Selatan Kecamatan Banjarmasin Barat Kota Banjarmasin</t>
  </si>
  <si>
    <t>RS Bhayangkara Tk. III Banjarmasin</t>
  </si>
  <si>
    <t>Jl. A. Yani Km.3,5 Banjarmasin</t>
  </si>
  <si>
    <t>RS Tk. III Dr. R. Soeharsono</t>
  </si>
  <si>
    <t>Jl. Mayjen Soetoyo S No. 408  Banjarmasin</t>
  </si>
  <si>
    <t>RS Umum Daerah Sultan Suriansyah Banjarmasin</t>
  </si>
  <si>
    <t>Jl. Rantauan Darat RT. 04 RW. 01 Kel. Kelayan Selatan, Kec. Banjarmasin Selatan</t>
  </si>
  <si>
    <t>RS Siloam Banjarmasin</t>
  </si>
  <si>
    <t>Jl. Ahmad Yani Km. 2 RT. 014 RW. 02, Sungai Baru Banjarmasin Tengah</t>
  </si>
  <si>
    <t>RS Umum Daerah Pangeran Jaya Sumitra</t>
  </si>
  <si>
    <t>Kota baru</t>
  </si>
  <si>
    <t>Jl. Brigjend. H. Hasan Basri No.57 Kelurahan  Semayap, Kecamatan Pulau Laut Utara,Kabupaten Kotabaru, Provinsi Kalimantan Selatan</t>
  </si>
  <si>
    <t>RS Umum Daerah Sengayam</t>
  </si>
  <si>
    <t>Jl. Jenderal Sudirman KM. 425  Sengayam, Pamukan Barat, Kotabaru Kalimantan Selatan  72184</t>
  </si>
  <si>
    <t>RS Umum Pertamina Tanjung</t>
  </si>
  <si>
    <t>Tabalong</t>
  </si>
  <si>
    <t>Jl. Gas No. 1, Komperta Murung Pudak, Tanjung</t>
  </si>
  <si>
    <t>RS Umum Daerah H. Badaruddin Kasim</t>
  </si>
  <si>
    <t>Jl. Tanjung Baru Desa Maburai Kecamatan Murung Pudak Kabupaten Tabalong Kode Pos 71571 Kalimantan Selatan</t>
  </si>
  <si>
    <t>RS Ibu dan Anak Paradise</t>
  </si>
  <si>
    <t>Tanah Bumbu</t>
  </si>
  <si>
    <t>RSIA Paradise Jl. Ins-Gub No. 267 RT. 006 RW.002 Kel Kampung Baru, Kec Simpang Empat, Kabupaten Tanah Bumbu, Provinsi Kalimantan Selatan, Kode pos 72212</t>
  </si>
  <si>
    <t>RS Umum Daerah dr. H. Andi Abdurrahman Noor</t>
  </si>
  <si>
    <t>Jl. HM. Amin KM. 10 RT. 03, Desa Sepunggur, Kec. Kusan Tengah, Kab.Tanah Bumbu, Kal.Sel.</t>
  </si>
  <si>
    <t>RS Marina Permata</t>
  </si>
  <si>
    <t>Jl.Kodeco KM 4, Desa Sarigadung Kec. Simpang Empat Kab. Tanah Bumbu.</t>
  </si>
  <si>
    <t>RS Ibu dan Anak Ibunda</t>
  </si>
  <si>
    <t>Tanah Laut</t>
  </si>
  <si>
    <t>Jl. A. Syairani RT 04 RW 2 Kel. Sarang Halang Kec. Pelaihari Kabupaten Tanah Laut</t>
  </si>
  <si>
    <t>RS Borneo Citra Medika</t>
  </si>
  <si>
    <t>Jl A. Yani RT 7B RW 03 Kel. Angsau Kec. Pelaihari</t>
  </si>
  <si>
    <t>RS Umum Daerah H. Boejasin Pelaihari</t>
  </si>
  <si>
    <t>Jl. A. Yani Km 68 Rt.006 Rw.003 Kel. Sarang Harang Kec. Pelaihari</t>
  </si>
  <si>
    <t>RS Umum Daerah KH. Mansyur</t>
  </si>
  <si>
    <t>JL. Pusaka RT. 01 RW. 01 - Desa Kintap Kec. Kintap Kabupaten Tanah Laut https://maps.app.goo.gl/xHgNMASPwKjwBE2KA</t>
  </si>
  <si>
    <t>RS Umum Daerah Datu Sanggul Rantau</t>
  </si>
  <si>
    <t>Tapin</t>
  </si>
  <si>
    <t xml:space="preserve">Jl. Tarantang RT 13 RW 04 Kel. Bitahan Kec. Lokpaikat Rantau Kalimantan Selatan 71154 </t>
  </si>
  <si>
    <t>RS Umum Handayati</t>
  </si>
  <si>
    <t>Jl. H. Isbat RT 09 Kel. Kupang Kec. Tapin Utara</t>
  </si>
  <si>
    <t>Kalimantan Tengah</t>
  </si>
  <si>
    <t>RS Umum Daerah Jaraga Sasameh</t>
  </si>
  <si>
    <t>Barito Selatan</t>
  </si>
  <si>
    <t xml:space="preserve">Jl. Patianom Nomor 6 Buntok Kode Pos.737112 Kalimantan Tengah Telepon (0525) 21261 Faksimile (0525) </t>
  </si>
  <si>
    <t>RS Umum Daerah Tamiang Layang</t>
  </si>
  <si>
    <t>Barito Timur</t>
  </si>
  <si>
    <t xml:space="preserve">Jl. Nansarunai Tamiang Layang No. 62 Kecamatan Dusun Timur  Kabupaten Barito Timur Provinsi Kalimantan Tengah </t>
  </si>
  <si>
    <t>RS Umum Daerah Muara Teweh</t>
  </si>
  <si>
    <t>Barito Utara</t>
  </si>
  <si>
    <t xml:space="preserve">   Jl. Yetro Sinseng Muara Teweh No. 2 Muara Teweh, Kelurahan Lanjas, Kecamatan Teweh Tengah, Kabupaten Barito Utara, Provinsi Kalimantan Tengah</t>
  </si>
  <si>
    <t>RS Umum Daerah Kuala Kurun</t>
  </si>
  <si>
    <t>Gunung Mas</t>
  </si>
  <si>
    <t>Jl. Jend. A. Yani No. 43 Kuala Kurun Kab. Gunung Mas</t>
  </si>
  <si>
    <t>RS Pratama Tumbang Talaken</t>
  </si>
  <si>
    <t>Jl. L. I. Nuhan. Tumbang Talaken, Kelurahan Tumbang Talaken, Kecamatan Manuhing, Kabupaten Gunung Mas, Provinsi Kalimantan Tengah Kode pos 74562</t>
  </si>
  <si>
    <t>RS Umum Daerah Dr. H. Soemarno Sosroaatmojo</t>
  </si>
  <si>
    <t>Kapuas</t>
  </si>
  <si>
    <t>Jl. Tambun Bungai  No. 16 Kuala Kapuas</t>
  </si>
  <si>
    <t>RS Umum Daerah  Mas Amsyar Kasongan</t>
  </si>
  <si>
    <t>Katingan</t>
  </si>
  <si>
    <t xml:space="preserve"> Jl. Tjilik Riwut No.1,Kasongan, Kelurahan Kasongan Lama, Kecamatan Katingan Hilir, Kabupaten Katingan, Provinsi Kalimantan Tengah</t>
  </si>
  <si>
    <t>RS Pratama Tumbang Samba</t>
  </si>
  <si>
    <t>Jl. Tumbang Samba Pundu KM. 2.5 Katingan Tengah</t>
  </si>
  <si>
    <t>RS Ibu dan Anak Bunda Palangkaraya</t>
  </si>
  <si>
    <t>Kota Palangka Raya</t>
  </si>
  <si>
    <t>Jl. George Obos No. 29 RT. 004 RW.002 Kelurahan Menteng Kecamatan Jekan Raya Kota Palangka Raya Provinsi Kalimantan Tengah</t>
  </si>
  <si>
    <t>RS Ibu dan Anak Yasmin Palangka Raya</t>
  </si>
  <si>
    <t>Jl. Tjilik Riwut Km. 1,5 No. 04 RT. 004 RW. 004 Kelurahan Palangka, Kecamatan Jekan Raya, Kota Palangka Raya, Provinsi Kalimantan Tengah 73112</t>
  </si>
  <si>
    <t>RS Umum Daerah Dr. Doris Sylvanus Palangka Raya</t>
  </si>
  <si>
    <t>Jl. Tambun Bungai No.4 Palangkaraya</t>
  </si>
  <si>
    <t>Jl. Beliang No.21 RT 001 RW 022 Kelurahan Palangka Kecamatan Jekan Raya Kota Palangka Raya Provinsi Kalimantan Tengah 73112</t>
  </si>
  <si>
    <t>RS Siloam Palangka Raya</t>
  </si>
  <si>
    <t>Jl. RTA Milono KM. 4 No. 425</t>
  </si>
  <si>
    <t>RS Primaya Betang Pambelum</t>
  </si>
  <si>
    <t>Jl. Tjilik Riwut Km 6.5 RT. 002 RW. 011</t>
  </si>
  <si>
    <t>RS Bhayangkara Palangka Raya</t>
  </si>
  <si>
    <t>Jl. Ahmad Yani No. 22</t>
  </si>
  <si>
    <t>RS Umum Daerah Palangka Raya</t>
  </si>
  <si>
    <t>Jl. Mahir Mahar Km. 18.5 Kel. Kalampangan, Kec. Sebangau, Kota Palangka Raya,  Provinsi Kalimantan Tengah</t>
  </si>
  <si>
    <t>RS Islam PKU Muhammadiyah Palangka Raya</t>
  </si>
  <si>
    <t>Jl. RTA. Milono KM. 2,5, Desa/Kelurahan Menteng, Kec. Jekan Raya, Kota Palangka Raya, Provinsi Kalimantan Tengah, Kode Pos : 73112</t>
  </si>
  <si>
    <t>RS Tk. IV Palangkaraya</t>
  </si>
  <si>
    <t xml:space="preserve">   Jl. Diponegoro No.55 Palangkaraya Kalteng</t>
  </si>
  <si>
    <t>RS Advent Palangkaraya</t>
  </si>
  <si>
    <t>Jl. Diponegoro No. 24/26 Kel. Langkai Kec. Pahandut Kota Palangkaraya</t>
  </si>
  <si>
    <t>RS Umum Daerah Sultan Imanuddin</t>
  </si>
  <si>
    <t>Kotawaringin Barat</t>
  </si>
  <si>
    <t>Jl. Sutan Syahrir No 17  Kelurahan Madurejo, Kecamatan Arut Selatan</t>
  </si>
  <si>
    <t>RS Citra Husada Pangkalan Bun</t>
  </si>
  <si>
    <t>Jl. Malijo No.RT.14, Madurejo, Kec. Arut Sel., Kabupaten Kotawaringin Barat, Kalimantan Tengah 74181</t>
  </si>
  <si>
    <t>RS Umum Harapan Insani</t>
  </si>
  <si>
    <t>Jl. Iskandar No. 88 RT. 07 Kelurahan Madurejo Kecamatan Arut Selatan Kabupaten Kotawaringin Barat Provinsi Kalimantan Tengah</t>
  </si>
  <si>
    <t>RS Umum Daerah Kutaringin</t>
  </si>
  <si>
    <t>Jl. Danau Gatal, Diung, RT 007, Kel. Kotawaringin Hulu</t>
  </si>
  <si>
    <t>RS Umum Daerah Dr Murjani Sampit</t>
  </si>
  <si>
    <t>Kotawaringin Timur</t>
  </si>
  <si>
    <t xml:space="preserve">  Jl. H M Arsyad No. 65 Sampit</t>
  </si>
  <si>
    <t>RS Kelas D Pratama Parenggean</t>
  </si>
  <si>
    <t>Jl. Lesa  No. 39 RT 001 / RW 001, Desa Bajarau, Kecamatan Parenggean Kabupaten Kotawaringin Timur Kalimantan Tengah</t>
  </si>
  <si>
    <t>RS Umum Daerah Kabupaten Lamandau</t>
  </si>
  <si>
    <t>Lamandau</t>
  </si>
  <si>
    <t>Jl. Trans Kalimantan KM.04, Desa Kujan, Kec. Bulik</t>
  </si>
  <si>
    <t>RS Umum Daerah Puruk Cahu</t>
  </si>
  <si>
    <t>Murung Raya</t>
  </si>
  <si>
    <t>Jl. A. Yani No. 01, Puruk Cahu</t>
  </si>
  <si>
    <t>RS Jiwa Kalawa Atei</t>
  </si>
  <si>
    <t>Pulang Pisau</t>
  </si>
  <si>
    <t>Jl. Trans P. Raya - Kuala Kurun KM. 16 Desa Bukit Rawi</t>
  </si>
  <si>
    <t>RS Umum Daerah Pulang Pisau</t>
  </si>
  <si>
    <t>Jl. W.A.D Duha Komplek Perkantoran Kab. Pulang Pisau  Provinsi Kalimantan Tengah</t>
  </si>
  <si>
    <t>RS Umum Daerah Hanau</t>
  </si>
  <si>
    <t>Seruyan</t>
  </si>
  <si>
    <t>Jl. Sampit Pangkalan Bun Km.142 Pembuang Hulu kec. Hanau Kab. Seruyan Provinsi Kalimantan Tengah</t>
  </si>
  <si>
    <t>RS Umum Daerah Kuala Pembuang</t>
  </si>
  <si>
    <t>Jl. A. Yani No.30 Kelurahan Kuala Pembuang Satu, Kecamatan Seruyan Hilir, Kabupaten Seruyan, Provinsi Kalimantan Tengah</t>
  </si>
  <si>
    <t>RS Umum Daerah Sukamara</t>
  </si>
  <si>
    <t>Sukamara</t>
  </si>
  <si>
    <t xml:space="preserve"> Jl. Tjilik Riwut Km 5,5 Nomor 35 Sukamara   </t>
  </si>
  <si>
    <t>Kalimantan Timur</t>
  </si>
  <si>
    <t>RS Umum Daerah Dr. Abdul Rivai</t>
  </si>
  <si>
    <t>Berau</t>
  </si>
  <si>
    <t>Jl. Pulau Panjang No.276 Tanjung Redeb</t>
  </si>
  <si>
    <t>RS Umum Daerah Talisayan</t>
  </si>
  <si>
    <t>Jl. Sultan Hasanuddin Poros Talisayan Kode Pos 77321, Kecamatan Talisayan, Kabupaten Berau</t>
  </si>
  <si>
    <t>RS Medika Utama Permata</t>
  </si>
  <si>
    <t>Kota Balikpapan</t>
  </si>
  <si>
    <t xml:space="preserve">Jl. Imam Bonjol no. 01, Balikpapan </t>
  </si>
  <si>
    <t>RS Ibu Anak Asih  Balikpapan</t>
  </si>
  <si>
    <t>Jl. Sepinggan Baru No. 104 Kel. Sepinggan Kec. Balikpapan Selatan.</t>
  </si>
  <si>
    <t>RS Ibu dan Anak Sayang Ibu</t>
  </si>
  <si>
    <t>Jl. Wain No.33 Kebun Sayur Kel.Baru Ilir Kec.Balikpapan Barat Kota Balikpapan Provinsi Kalimantan Timur Kode Pos 76131</t>
  </si>
  <si>
    <t>RS Khusus Mata SMEC Balikpapan</t>
  </si>
  <si>
    <t>Ruko Sentra Eropa Blok AA-2B No. 16, Kelurahan Damai Baru, Kecamatan Balikpapan Selatan</t>
  </si>
  <si>
    <t>RS Umum Daerah Dr. Kanujoso Djatiwibowo</t>
  </si>
  <si>
    <t>Jl. MT Haryono No.656, Batu Ampar, Kec. Balikpapan Utara, Kota Balikpapan, Kalimantan Timur 76115</t>
  </si>
  <si>
    <t>RS Siloam Hospitals Balikpapan</t>
  </si>
  <si>
    <t>JL. MT. Haryono Dalam No. 23</t>
  </si>
  <si>
    <t>RS Hermina Balikpapan</t>
  </si>
  <si>
    <t>Jl. MT Haryono No 45 Kelurahan Sepinggan Baru, Kecamatan Balikpapan Selatan, Kota Balikpapan</t>
  </si>
  <si>
    <t>RS Tk. II Dr. R. Hardjanto</t>
  </si>
  <si>
    <t>Jl. Tanjungpura I Balikpapan</t>
  </si>
  <si>
    <t>RS Bhayangkara Balikpapan</t>
  </si>
  <si>
    <t>Jl. Jend Sudirman No. 14 Kel Prapatan, Kec Balikpapan Kota, kota Balikpapan, Provinsi Kalimantan Timur</t>
  </si>
  <si>
    <t>RS Pertamina Balikpapan</t>
  </si>
  <si>
    <t>Jl. Jend Sudirman Balikpapan No.1</t>
  </si>
  <si>
    <t>RS Restu Ibu</t>
  </si>
  <si>
    <t>Jl. Jend A.Yani No. 12 Balikpapan Kalimantan Timur</t>
  </si>
  <si>
    <t>RS Umum Daerah Beriman</t>
  </si>
  <si>
    <t>Jalan Mayjend Sutoyo No. 30 RT. 01 Kel. Gunung Sari Ulu, Kec. Balikpapan Tengah, Kota Balikpapan, Provinsi Kalimantan Timur</t>
  </si>
  <si>
    <t>RS Umum Tk. IV  Lanud Balikpapan</t>
  </si>
  <si>
    <t>Jl. Mulawarman No.RT. 31, Sepinggan, Kecamatan Balikpapan Selatan, Kota Balikpapan, Kalimantan Timur 76115</t>
  </si>
  <si>
    <t>RS Umum Balikpapan Baru</t>
  </si>
  <si>
    <t>Jl. MT.Haryono Komplek Perumahan Balikpapan Baru Blok A.3A No.7-9</t>
  </si>
  <si>
    <t>RS Medika Utama Manggar</t>
  </si>
  <si>
    <t>Jl. Mulawarman No. 24 RT. 51 Manggar Baru Balikpapan Timur</t>
  </si>
  <si>
    <t>RS Umum Daerah Taman Husada Bontang</t>
  </si>
  <si>
    <t>Kota Bontang</t>
  </si>
  <si>
    <t>Jl. Let. Jend. S. Parman No.1 RT.49 Kel. Belimbing Kec. Bontang Barat Kota Bontang Prov. Kalimantan Timur Kode Pos 75313</t>
  </si>
  <si>
    <t>RS Pupuk Kaltim</t>
  </si>
  <si>
    <t xml:space="preserve"> Jl. Oksigen No.01 Komplek PT Kalimantan Timur Kelurahan Guntung Kecamatan Bontang Utara</t>
  </si>
  <si>
    <t>RS Islam Bontang</t>
  </si>
  <si>
    <t>Jl. Brigjen Katamso No.40</t>
  </si>
  <si>
    <t>RS Amalia Bontang</t>
  </si>
  <si>
    <t xml:space="preserve"> Jl. R. Soeprapto No. 22 Bontang - Kalimantan Timur</t>
  </si>
  <si>
    <t>RS LNG Badak</t>
  </si>
  <si>
    <t>Jl. Raya Kutai Komplek PT BADAK NGL NO: 1 RT: 10 Kelurahan Satimpo Kecamatan Bontang Selatan. Kota Bontang, Provinsi Kalimantan Timur,  Kode pos 75324</t>
  </si>
  <si>
    <t>RS Khusus Ibu dan Anak Qurrata A'yun</t>
  </si>
  <si>
    <t>Kota Samarinda</t>
  </si>
  <si>
    <t>Jl. DI Panjaitan No.77, Mugirejo, Kec. Sungai Pinang, Kota Samarinda, Kalimantan Timur 75117</t>
  </si>
  <si>
    <t>RS Ibu dan Anak Jimmy Medika Borneo</t>
  </si>
  <si>
    <t>Jl. Pangeran Hidayatullah No. 11 kelurahan Pelabuhan, Kecamatan Samarinda Kota, Kota Samarinda</t>
  </si>
  <si>
    <t>RS Ibu dan Anak  Aisyiyah Samarinda</t>
  </si>
  <si>
    <t>Jl. P. Hidayatullah No. 64 Kel. Pelabuhan Kec. Samarinda Kota, Kota Samarinda, Provinsi Kalimantan Timur</t>
  </si>
  <si>
    <t>RS Jiwa Atma Husada Mahakam</t>
  </si>
  <si>
    <t>Jl. Kakap No.23 Samarinda</t>
  </si>
  <si>
    <t>RS Mata Provinsi Kalimantan Timur</t>
  </si>
  <si>
    <t>Jalan Muhammad Yamin No. 04 RT. 019, Kelurahan Gunung Kelua Kecamatan Samarinda Ulu, Kota Samarinda Kalimantan Timur</t>
  </si>
  <si>
    <t>RS Umum Daerah Abdul Wahab Sjahranie</t>
  </si>
  <si>
    <t>Jalan Palang Merah Indonesia Nomor 1, Sidodadi, Samarinda Ulu</t>
  </si>
  <si>
    <t>RS Umum Haji Darjad</t>
  </si>
  <si>
    <t>J.l Dahlia No.4,Samarinda</t>
  </si>
  <si>
    <t>RS Umum Daerah Inche Abdoel Moeis</t>
  </si>
  <si>
    <t>Jl. H.A.M.M Rifaddin No. 1 , Kelurahan Harapan Baru, Kecamatan Loa Janan Ilir, Kota Samarinda, Provinsi Kalimantan Timur</t>
  </si>
  <si>
    <t>RS Siaga Al-Munawwarah Samarinda</t>
  </si>
  <si>
    <t>Jl.  Ramania No. 3 - Kelurahan Sidodadi - Samarinda Ulu - Kota Samarinda - Kalimantan Timur</t>
  </si>
  <si>
    <t>RS Umum Dirgahayu</t>
  </si>
  <si>
    <t>Jl. Gn. Merbabu No.62 Samarinda</t>
  </si>
  <si>
    <t>RS Hermina Samarinda</t>
  </si>
  <si>
    <t>Jl.Teuku Umar Kelurahan Karang Asam Kecamatan Sungai Kunjang</t>
  </si>
  <si>
    <t>RS Samarinda Medika Citra</t>
  </si>
  <si>
    <t>Jl. Kadrie Oening No 85  RT 35 Samarinda 751234</t>
  </si>
  <si>
    <t>RS Umum Bhakti Nugraha</t>
  </si>
  <si>
    <t>Jl. Basuki Rachmat No. 50,  kel. Bugis, kec. Samarinda kota, Kota Samarinda, Kalimantan Timur, Indonesia 75111</t>
  </si>
  <si>
    <t>RS Umum Daerah KORPRI Provinsi Kalimantan Timur</t>
  </si>
  <si>
    <t>Jl. Kesuma Bangsa No. 1B RT 18, Sungai Pinang Luar,Kec .Samarinda Kota,Kota Samarinda, Kalimantan Timur 75242</t>
  </si>
  <si>
    <t>RS Umum Tk. IV Samarinda</t>
  </si>
  <si>
    <t xml:space="preserve">  Jl. Jend. Sudirman no.52 Samarinda</t>
  </si>
  <si>
    <t>RS Umum Daerah Harapan Insan Sendawar</t>
  </si>
  <si>
    <t>Kutai Barat</t>
  </si>
  <si>
    <t>Jl. Hasanudin N0.100, Sekolaq Joleq, Kecamatan Sekolaq Darat, Kabupaten Kutai Barat, Kalimantan Timur 75777</t>
  </si>
  <si>
    <t>RS Santa Familia</t>
  </si>
  <si>
    <t>Jl. Senopati RT. XIV Busur, Kel. Barong Tongkok, KEc. Barong</t>
  </si>
  <si>
    <t>RS Umum Daerah Pratama Sendawar</t>
  </si>
  <si>
    <t>Jl. Sengkereaq Ingkih RT. 002, Kampung Linggang Bigung, Kec. Linggang Bigung</t>
  </si>
  <si>
    <t>RS Umum Daerah Aji Muhammad Parikesit</t>
  </si>
  <si>
    <t>Kutai Kartanegara</t>
  </si>
  <si>
    <t>Jl. Ratu Agung No. 1 Kecamatan Tenggarong Seberang  Kabupaten Kutai Kartanegara Propinsi Kalimantan Timur</t>
  </si>
  <si>
    <t>RS Umum Daerah Aji Batara Agung Dewa Sakti</t>
  </si>
  <si>
    <t>Jl Balikpapan - Handil II, RT 01 Kelurahan Sungai Seluang , Kecamatan Samboja, Kabupaten Kutai Kartanegara, Provinsi Kalimantan Timur 75271</t>
  </si>
  <si>
    <t>RS Umum Daerah Dayaku Raja</t>
  </si>
  <si>
    <t>Jl. Poros Kota Bangun - Tenggarong KM.5 RT. 001 No. 69 Desa Liang, Kec. Kota Bangun, Kab. Kutai Kartanegara, Provinsi Kalimantan Timur Kode Pos 75561</t>
  </si>
  <si>
    <t>RS Ibu Anak Cahaya Sangatta</t>
  </si>
  <si>
    <t>Kutai Timur</t>
  </si>
  <si>
    <t>Jl. Yos Sudarso III No. 77 Teluk Lingga Sangatta</t>
  </si>
  <si>
    <t>RS Ibu Anak Asy Syifa</t>
  </si>
  <si>
    <t xml:space="preserve">Jl. Yos Sudarso II No. 82 - 83 Sangatta Kec.Sangatta UtaraKab.Kutai timur Kalimantan Timur </t>
  </si>
  <si>
    <t>RS Umum Daerah Kudungga</t>
  </si>
  <si>
    <t>Jl. Soekarno Hatta No.1, Kecamatan : Sangatta Utara Kabupaten Kutai Timur, Provinsi Kalimatan Timur</t>
  </si>
  <si>
    <t>RS Pupuk Kaltim Prima Sangata</t>
  </si>
  <si>
    <t>Jl. Yos Sudarso I No.01</t>
  </si>
  <si>
    <t>RS Umum Daerah Sangkulirang</t>
  </si>
  <si>
    <t>Jl. Wana Bhakti, Desa Benua Baru Ulu, Kec. Sangkulirang, Kab. Kutai Timur</t>
  </si>
  <si>
    <t>RS Umum Medika Sangatta</t>
  </si>
  <si>
    <t>Jl. Yos Sudarso IV No. 1, Sangatta</t>
  </si>
  <si>
    <t>RS Pelita Kasih</t>
  </si>
  <si>
    <t>Jl. Yos Sudarso IV No. 9 Sangatta</t>
  </si>
  <si>
    <t>RS Santa Elisabeth Bengalon</t>
  </si>
  <si>
    <t>Jl. Mulawarman RT. 23 Desa Sepaso Kec. Bengalon Kab. Kutai Timur</t>
  </si>
  <si>
    <t>RS Umum Daerah Muara Bengkal</t>
  </si>
  <si>
    <t>Jl. Poros Muara Bengkal RT. 16 Desa Benua Baru Kec. Muara Bengkal  Kab. Kutai Timur</t>
  </si>
  <si>
    <t>RS Umum Meloy</t>
  </si>
  <si>
    <t>Jl. Yos Sudarso II, No.101, Sangatta Kabupaten Kutai Timur Kalimantan Timur</t>
  </si>
  <si>
    <t>RS Gerbang Sehat Mahulu</t>
  </si>
  <si>
    <t>Mahakam Hulu</t>
  </si>
  <si>
    <t>Ujoh Bilang Kec. Long Bagun Kab. Mahakam Ulu</t>
  </si>
  <si>
    <t>RS Umum Daerah Panglima Sebaya</t>
  </si>
  <si>
    <t>Paser</t>
  </si>
  <si>
    <t>Jl. Kusuma Bangsa KM.5 Tanah Grogot</t>
  </si>
  <si>
    <t>RS Hermina Nusantara</t>
  </si>
  <si>
    <t>Penajam Paser Utara</t>
  </si>
  <si>
    <t>Kawasan Inti Pusat Pemerintahan, Kelurahan Sepaku, Sepaku, Nusantara</t>
  </si>
  <si>
    <t>RS Umum Daerah Ratu Aji Putri Botung</t>
  </si>
  <si>
    <t>Jl Propinsi KM 9 Kab. Penajam Paser Utara</t>
  </si>
  <si>
    <t>RS Umum Daerah Sepaku Tipe D</t>
  </si>
  <si>
    <t>Jl. Negara KM.38 Desa Sukaraja Kec. Sepaku 76148</t>
  </si>
  <si>
    <t>Kalimantan Utara</t>
  </si>
  <si>
    <t>RS Umum Daerah Tanjung Selor</t>
  </si>
  <si>
    <t>Bulungan</t>
  </si>
  <si>
    <t>Jl. Cenderawasih No. 3 Tanjung Harapan, Kel. Tanjung Selor Hilir Kec. Tanjung Selor</t>
  </si>
  <si>
    <t>RST Tk. IV Abdul Rais Fatah Tanjung Selor</t>
  </si>
  <si>
    <t>Jl. Semangka RT 022/RW 008, Kel. Tanjung Selor Hilir, Kec. Tanjung Selor</t>
  </si>
  <si>
    <t>RS Umum Daerah dr.H. Jusuf SK</t>
  </si>
  <si>
    <t>Kota Tarakan</t>
  </si>
  <si>
    <t>Jl P. Irian No. 01 Skip Tarakan</t>
  </si>
  <si>
    <t>RS Umum Kota Tarakan</t>
  </si>
  <si>
    <t>Jl. Aki Babu RT 01 Kelurahan Karang Harapan Kecamatan Tarakan Barat Kota Tarakan Provinsi Kalimantan</t>
  </si>
  <si>
    <t>RS Pertamina Tarakan</t>
  </si>
  <si>
    <t>Jl. Mulawarman No. 99 RT. 18 Kel. Karang Anyar Pantai Kec. Tarakan Barat</t>
  </si>
  <si>
    <t>RS AL Ilyas Tarakan</t>
  </si>
  <si>
    <t>Jl RE. Martadinata No. 29 Kel. Pamusian kec. Tarakan Tengah.Tarakan</t>
  </si>
  <si>
    <t>RS Umum Carsa Tarakan</t>
  </si>
  <si>
    <t>Jl. Tiram No. 3 Kel. Sebengkok Tarakan</t>
  </si>
  <si>
    <t>RS Bhayangkara Tarakan</t>
  </si>
  <si>
    <t>Jl. Karya Bersama RT 18 Kel. Juata Laut Kec. Tarakan Utara</t>
  </si>
  <si>
    <t xml:space="preserve">RS Umum Daerah Kabupaten Malinau </t>
  </si>
  <si>
    <t>Malinau</t>
  </si>
  <si>
    <t>Jl. Respen Tubu Sembuak Warod Kec. Malinau Utara  Kab. Malinau Kode Pos (77554), Provinsi Kalimantan Utara Telp/Fax (0553) 2022220 - 2022215</t>
  </si>
  <si>
    <t>RS Pratama Langap</t>
  </si>
  <si>
    <t>Desa Langap Rt. 006 Kec. Malinau Selatan Kab. Malinau Provinsi Kalimantan Utara</t>
  </si>
  <si>
    <t>RS Pratama Long Ampung</t>
  </si>
  <si>
    <t>Jl. Batu Aloq Desa Long Ampung  RT 3, Kecamatan Kayan Selatan</t>
  </si>
  <si>
    <t>RS Umum Daerah Kabupaten Nunukan</t>
  </si>
  <si>
    <t>Nunukan</t>
  </si>
  <si>
    <t>Jl. Ujang Fatimah RT.04 Nunukan Barat</t>
  </si>
  <si>
    <t>RS Pratama Sebuku</t>
  </si>
  <si>
    <t>Jl. Trans Lumbis Desa Pembeliangan RT. 3 Kec. Sebuku Kab. Nunukan</t>
  </si>
  <si>
    <t>RS Pratama Sebatik</t>
  </si>
  <si>
    <t>Jl. Padaelo RT. 08 Desa Tanjung Karang Kecamatan Sebatik kabupaten Nunukan Propinsi Kalimantan Utara Kode Pos 77483</t>
  </si>
  <si>
    <t>RS Pratama Krayan</t>
  </si>
  <si>
    <t>Desa Pa' Mering</t>
  </si>
  <si>
    <t>RS Umum Daerah Akhmad Berahim</t>
  </si>
  <si>
    <t>Tana Tidung</t>
  </si>
  <si>
    <t>Jl. Padat Karya RT.01 RW.01, Desa Tideng Pale Timur Kecamatan Sesayap Kabupaten Tana Tidung Provinsi Kalimantan Utara 77152</t>
  </si>
  <si>
    <t>RS Kelas D Pratama Tanjung Keramat</t>
  </si>
  <si>
    <t>Jl. Poros  Rt.001 Desa Sambungan Selatan Kecamatan Tana Lia, Kabupaten .Tana Tidung, Provinsi Kalimantan Utara</t>
  </si>
  <si>
    <t>Kepulauan Bangka Belitung</t>
  </si>
  <si>
    <t>RS Jiwa Daerah dr. Samsi Jacobalis</t>
  </si>
  <si>
    <t>Bangka</t>
  </si>
  <si>
    <t xml:space="preserve">Jl. Jend Sudirman No. 345 Kel. Parit Padang Kec. Sungai Liat </t>
  </si>
  <si>
    <t>RS Umum Daerah Dr. (HC) Ir. Soekarno</t>
  </si>
  <si>
    <t>Jl. Zipur Desa Air Anyir Kec. Merawang</t>
  </si>
  <si>
    <t>RS Umum Daerah Depati Bahrin</t>
  </si>
  <si>
    <t>Jl. Jendral Sudirman No.195, Kelurahan Parit Padang Kecamatan Sungailiat Kabupaten Bangka Provinsi Kepulauan Bangka Belitung</t>
  </si>
  <si>
    <t>RS Umum Arsani</t>
  </si>
  <si>
    <t xml:space="preserve">Jl. Raya Air Kenanga Kec. Sungailiat Kab. Bangka Prov. Kepulauan Bangka Belitung </t>
  </si>
  <si>
    <t>RS Bakti Timah Sungailiat</t>
  </si>
  <si>
    <t>Jl. Jend. Sudirman No. 03, Kel. Sungailiat Kec. Sungailiat, Kabupaten Bangka 33211 Provinsi Kepulauan Bangka Belitung</t>
  </si>
  <si>
    <t>RS Umum Daerah DR. Eko Maulana Ali</t>
  </si>
  <si>
    <t>JL. RAYA BELINYU DUSUN SIMPANG CANGKUM DESA RIDING PANJANG KECAMATAN BELINYU KABUPATEN BANGKA PROVINSI KEPULAUAN BANGKA BELITUNG</t>
  </si>
  <si>
    <t>RS Umum Daerah Sjafrie Rachman Puding Besar</t>
  </si>
  <si>
    <t>Jl. Raya Sungailiat - Muntok Desa Puding Besar, Kecamatan Puding Besar Kabupaten Bangka, Provinsi Bangka Belitung</t>
  </si>
  <si>
    <t>RS Umum Daerah Sejiran Setason</t>
  </si>
  <si>
    <t>Bangka Barat</t>
  </si>
  <si>
    <t>Jl. Kadur Dalam, Kelurahan Belo Laut, Kecamatan Mentok, Kabupaten Bangka Barat, Propinsi Kepulauan Bangka Belitung</t>
  </si>
  <si>
    <t>RS Gunung Manik</t>
  </si>
  <si>
    <t>Jl. Raya Air Kuang Desa Puput Kecamatan Parittiga, Kabupaten Bangka Barat, Provinsi Bangka Belitung</t>
  </si>
  <si>
    <t>RS Umum Bakti Timah Muntok</t>
  </si>
  <si>
    <t>Jl. Raya Komplek Unmet Muntok</t>
  </si>
  <si>
    <t>RS Umum Daerah Junjung Besaoh</t>
  </si>
  <si>
    <t>Bangka Selatan</t>
  </si>
  <si>
    <t>Jl. Raya Gadung Desa Gadung, Kecamatan Toboali, Kabupaten Bangka Selatan, Propinsi Kepulauan Bangka Belitung</t>
  </si>
  <si>
    <t>RS Umum Daerah Kriopanting Payung</t>
  </si>
  <si>
    <t>Jl. Angkap Seruk Desa Payung Kec. Payung</t>
  </si>
  <si>
    <t>RS Umum Daerah Drs. H. Abu Hanifah</t>
  </si>
  <si>
    <t>Bangka Tengah</t>
  </si>
  <si>
    <t>Komplek Perkantoran Terpadu Pemerintah Kabupaten Bangka Tengah Jl. Merdeka By Pass Koba</t>
  </si>
  <si>
    <t>RS Siloam Bangka</t>
  </si>
  <si>
    <t>Jl. Soekarno Hatta KM. 5 Kelurahan Dul Kecamatan Pangkalanbaru</t>
  </si>
  <si>
    <t>RS Bhayangkara Polda Kep. Bangka Belitung</t>
  </si>
  <si>
    <t xml:space="preserve">Jl. Telaga Biru No. 1 Desa Padang Baru, kecamatan Pangkalan Baru, Kabupaten. Bangka Tengah, Provinsi. Kepulauan Bangka Belitung </t>
  </si>
  <si>
    <t>RS Umum Daerah Dr. Ir. H. Ibnu Saleh, MM</t>
  </si>
  <si>
    <t>Jl. Raya Sungkap  Desa Namang Kecamatan Namang  Kabupaten Bangka Tengah Provinsi Kep. Bangka Belitung 33685</t>
  </si>
  <si>
    <t>RS Umum Daerah dr. H. Marsidi Judono</t>
  </si>
  <si>
    <t>Belitung</t>
  </si>
  <si>
    <t>Jl. Jend. Sudirman Km 5,5 Desa Aik Rayak Tanjungpandan Kabupaten Belitung Provinsi Kepulauan Bangka Belitung</t>
  </si>
  <si>
    <t>RS Utama</t>
  </si>
  <si>
    <t>Jl. Jenderal Sudirman KM. 3 RT. 019 RW. 008 Kel. Lesung Batang Tanjungpandan</t>
  </si>
  <si>
    <t>RS Umum Almah</t>
  </si>
  <si>
    <t xml:space="preserve">Jl. Jend. Sudirman KM. 11 No. 1, Buluh Tumbang, Kec. Tanjung Pandan, Kabupaten Belitung, Kepulauan Bangka Belitung, 33144 </t>
  </si>
  <si>
    <t>RS Umum Daerah  Muhammad Zein</t>
  </si>
  <si>
    <t>Belitung Timur</t>
  </si>
  <si>
    <t>Jl. Raya Manggar Gantung Desa Padang Kecamatan Manggar</t>
  </si>
  <si>
    <t>RS Ibu dan Anak Muhaya</t>
  </si>
  <si>
    <t>Kota Pangkal Pinang</t>
  </si>
  <si>
    <t>Jl.Jend.Sudirman Pangkalpinang Kepulauan Bangka Belitung</t>
  </si>
  <si>
    <t>RS Ibu dan Anak Rona</t>
  </si>
  <si>
    <t>Jl. KH. Hasan Basri Sulaiman No. 20 RT. 01 RW. 01 Kel. Gedung Nasional Kec. Taman Sari Pangkalpinang</t>
  </si>
  <si>
    <t>RS Ibu dan Anak Dzakirah</t>
  </si>
  <si>
    <t xml:space="preserve">Jl. Depati Hamzah Kelurahan Bacang Kecamatan Bukit Intan </t>
  </si>
  <si>
    <t>RS Bakti Timah Pangkalpinang</t>
  </si>
  <si>
    <t>Jl. Bukit Baru No.1, Kel.Taman Bunga Kec.Gerunggang Kota Pangkal Pinang Prov.Kep.Bangka Belitung</t>
  </si>
  <si>
    <t>RS Umum Daerah Depati Hamzah</t>
  </si>
  <si>
    <t>Jl. Soekarno Hatta,Kota PangkalPinang</t>
  </si>
  <si>
    <t>RS Primaya Bhakti Wara</t>
  </si>
  <si>
    <t>JL. Solihin GP No.180 Kel. Gajah Mada Kec.Rangkui</t>
  </si>
  <si>
    <t>RS Kalbu Intan Medika</t>
  </si>
  <si>
    <t>Jl. Basuki Rachmad Kel. Batu Intan Kec. Girimaya Pangkal Pinang</t>
  </si>
  <si>
    <t>RS Tk. IV Batin Tikal</t>
  </si>
  <si>
    <t>Jl. A. Yani No. 155A  Kel. Kejaksaan Kec. Taman Sari</t>
  </si>
  <si>
    <t>Kepulauan Riau</t>
  </si>
  <si>
    <t>RS Jiwa dan Ketergantungan Obat Engku Haji Daud</t>
  </si>
  <si>
    <t>Bintan</t>
  </si>
  <si>
    <t>Jl. Indun Suri-Simpang Busung No.1, Tanjung Uban Kepulauan Riau</t>
  </si>
  <si>
    <t>RS Umum Daerah  Kabupaten Bintan</t>
  </si>
  <si>
    <t>Jl. Kesehatan No.1 Kelurahan Kijang Kota - Kecamatan Bintan Timur</t>
  </si>
  <si>
    <t>RS Umum Bhakti Timah</t>
  </si>
  <si>
    <t>Karimun</t>
  </si>
  <si>
    <t>Jl. Canggai Putri, Kel. Teluk Uma, Kec. Tebing</t>
  </si>
  <si>
    <t>RS Umum Daerah Muhammad Sani Kabupaten Karimun</t>
  </si>
  <si>
    <t>Jl. Soekarno - Hatta No. 1, Kelurahan Harjosari, Kecamatan Tebing, Kabupaten Karimun, Provinsi Kepulauan Riau</t>
  </si>
  <si>
    <t>RS Umum Daerah Tanjung Batu Kundur</t>
  </si>
  <si>
    <t>Jl. Diponegoro No. 1 Tanjung Batu Kota Kecamatan Kundur  Kabupaten Karimun Provinsi Kepulauan Riau</t>
  </si>
  <si>
    <t>RS Umum Daerah Bergerak Jemaja</t>
  </si>
  <si>
    <t>Kepulauan Anambas</t>
  </si>
  <si>
    <t xml:space="preserve"> Jl. Padang Melang Desa Batu Berapit - Kecamatan Jemaja Kabupaten Kepulauan Anambas Provinsi Kepulauan Riau</t>
  </si>
  <si>
    <t>RS Umum Daerah Tarempa</t>
  </si>
  <si>
    <t>Jl. Imam Bonjol No. 61, Kelurahan Tarempa, Kec. Siantan,  Kabupaten Kepualauan Anambas, Provinsi Kepulauan Riau</t>
  </si>
  <si>
    <t>RS Umum Daerah Palmatak</t>
  </si>
  <si>
    <t>Jalan Datuk Lamin No. 03 rt 9 rw 1 Desa Payalaman Kecamatan Kute Siantan Kabupaten Kepulauan Anambas Provinsi Kepulauan Riau</t>
  </si>
  <si>
    <t>RS Ibu dan  Anak Griya Medika Batam</t>
  </si>
  <si>
    <t>Kota Batam</t>
  </si>
  <si>
    <t>Komp. Mega Indah A-B No.3-4</t>
  </si>
  <si>
    <t>RS Ibu dan Anak Frisdhy Angel</t>
  </si>
  <si>
    <t>Jl. Raden Patah Blok B No. 1-3 Lubuk Baja Kota</t>
  </si>
  <si>
    <t>RS Umum Budi Kemuliaan Batam</t>
  </si>
  <si>
    <t>Jl. Budi Kemuliaan No.1,Batam</t>
  </si>
  <si>
    <t>RS Umum Daerah Embung Fatimah Kota Batam</t>
  </si>
  <si>
    <t xml:space="preserve">Jl. R. Soeprapto. Blok D 1 - 9 Batu Aji Kota Batam </t>
  </si>
  <si>
    <t>RS Umum Awal Bros Batam</t>
  </si>
  <si>
    <t>Jl. Gajah Mada Kav.I Baloi</t>
  </si>
  <si>
    <t>RS Badan Pengusahaan Batam</t>
  </si>
  <si>
    <t>Jl. Dr. Cipto Mangunkusumo No.1,  Sekupang,Batam</t>
  </si>
  <si>
    <t>RS Hj. Bunda Halimah Batam</t>
  </si>
  <si>
    <t>Jl. Uniba Bl. A09 Kawasan Uniba Batam Center Kelurahan Belian Kecamatan Batam Kota Provinsi Kepulauan Riau</t>
  </si>
  <si>
    <t>RS Umum Charis Medika</t>
  </si>
  <si>
    <t>Jl. R.Suprapto Blok D 1-9</t>
  </si>
  <si>
    <t>RS Awal Bros Botania</t>
  </si>
  <si>
    <t>Jl. Raja Ali Kelana, Desa/Kelurahan Belian, Kec. Batam Kota, Kota Batam</t>
  </si>
  <si>
    <t>RS Umum Santa Elisabeth Batam Kota</t>
  </si>
  <si>
    <t>Jl. Raja Ali Kelana, Belian Batam Kota</t>
  </si>
  <si>
    <t>RS Keluarga Husada Batam</t>
  </si>
  <si>
    <t>Jl. Tengku Sulung Odessa Blok C1 No. 12-16 Kelurahan Belian Kecamatan Batam Kota</t>
  </si>
  <si>
    <t>RS Umum Santa Elisabeth Batam</t>
  </si>
  <si>
    <t>Jl. Anggrek Blok II Lubuk Baja</t>
  </si>
  <si>
    <t>RS Umum Graha Hermine</t>
  </si>
  <si>
    <t>Komp. Ruko Asih Raya No. 6-15 Batu Aji</t>
  </si>
  <si>
    <t>RS Umum Camatha Sahidya</t>
  </si>
  <si>
    <t>Jl. Jend. A. Yani No.8, PanbiL - Kec. Sei Beduk, Kota Batam, Kepulauan Riau</t>
  </si>
  <si>
    <t>RS Umum Soedarsono Darmosoewito</t>
  </si>
  <si>
    <t>Jl. Hang Kesturi KM 4,5 Kabil Batam</t>
  </si>
  <si>
    <t>RS Mutiara Aini</t>
  </si>
  <si>
    <t>Jl. Batu Aji II Kompleks Griya Pratama Blok JJ</t>
  </si>
  <si>
    <t>RS Umum Harapan Bunda Batam</t>
  </si>
  <si>
    <t>Jl. Seraya No. 1 Batam</t>
  </si>
  <si>
    <t>RS Jasmine</t>
  </si>
  <si>
    <t>Komplek Pertokoan Duta Raya No. 05-11 Kel.Belian Kec. Batam Kota</t>
  </si>
  <si>
    <t>RS Santa Elisabeth Sei Lekop</t>
  </si>
  <si>
    <t>Jl. Sei Binti, Kav. Sungai Lekop, Kel. Sungai Lekop RT01/RW13, Kec. Sagulung</t>
  </si>
  <si>
    <t>RS Bhayangkara Batam Polda Kepri</t>
  </si>
  <si>
    <t>Jl. Dang Merdu KM 2 Batu Besar Nongsa Kota Batam</t>
  </si>
  <si>
    <t>Rumkital dr. Midiyato Suratani</t>
  </si>
  <si>
    <t>Kota Tanjung Pinang</t>
  </si>
  <si>
    <t>Jl. Ciptadi No. 1 Tanjung Pinang</t>
  </si>
  <si>
    <t>RS Umum Daerah Raja Ahmad Tabib</t>
  </si>
  <si>
    <t>JL. W.R Supratman No. 100 Km. 8 Tanjungpinang Kepulauan Riau</t>
  </si>
  <si>
    <t>RS Umum Daerah Kota Tanjung Pinang</t>
  </si>
  <si>
    <t>Jl. Jend. Sudirman No.  795  Kota Tanjungpinang</t>
  </si>
  <si>
    <t>RS Umum Daerah Dabo Kabupaten Lingga</t>
  </si>
  <si>
    <t>Lingga</t>
  </si>
  <si>
    <t>Jl. Kesehatan No.1, Dabo Singkep Kabupaten Lingga</t>
  </si>
  <si>
    <t>RS Umum Daerah Encik Mariyam</t>
  </si>
  <si>
    <t>Jl. Masjid Sultan Lingga No. 46 Kp. Darat Daik Kabupaten Lingga</t>
  </si>
  <si>
    <t>RS Umum Daerah Natuna</t>
  </si>
  <si>
    <t>Natuna</t>
  </si>
  <si>
    <t xml:space="preserve"> Jl. H.Ali Murtopo,Natuna</t>
  </si>
  <si>
    <t>RSAU dr. Yuniati Wisma Karyani</t>
  </si>
  <si>
    <t>Jl. Satrad 212, Kelurahan Batu Hitam, Kec Bunguran Timur, Kabupaten Natuna, Provinsi Kepulauan Riau</t>
  </si>
  <si>
    <t>Lampung</t>
  </si>
  <si>
    <t>RS Ibu dan Anak Santa Anna</t>
  </si>
  <si>
    <t>Kota Bandar Lampung</t>
  </si>
  <si>
    <t>Jl.Hasanuddin no.27 Telukbetung</t>
  </si>
  <si>
    <t>RS Ibu dan Anak Restu Bunda</t>
  </si>
  <si>
    <t>Jl. Kh. Hasyim Ashari No.73, Gedong Pakuon, Kec. Telukbetung Selatan, Kota Bandar Lampung, Lampung 35221</t>
  </si>
  <si>
    <t>RS Ibu dan Anak Mutiara Putri</t>
  </si>
  <si>
    <t>JL. HOS COKROAMINOTO NO. 96 ENGGAL BANDAR LAMPUNG</t>
  </si>
  <si>
    <t>RS Ibu dan Anak Puri Betik Hati</t>
  </si>
  <si>
    <t>Jln. Pajajaran No 109 Jagabaya II Wayhalim</t>
  </si>
  <si>
    <t>RS Ibu dan Anak Bunda Asy Syifa</t>
  </si>
  <si>
    <t xml:space="preserve">JL. Dr. Susilo, Nomor 54  Enggal, Pahoman, Bandar Lampung, Lampung </t>
  </si>
  <si>
    <t>RS Khusus Mata Permana Sari</t>
  </si>
  <si>
    <t>Jl.Bougenvile 1 Rawa Laut Kec.Enggal-Bandar Lampung</t>
  </si>
  <si>
    <t>RS Mata Lampung Eye Center (LEC)</t>
  </si>
  <si>
    <t>Jl. Sultan Agung, Komplek Ruko Sentra Niaga No. 12-15 Way Halim Permai, Bandar Lampung</t>
  </si>
  <si>
    <t>RS Umum Urip Sumoharjo</t>
  </si>
  <si>
    <t>Jl. Urip Sumoharjo No.200,Bandar Lampung</t>
  </si>
  <si>
    <t>RS Umum Daerah Dr H Abdul Moeloek</t>
  </si>
  <si>
    <t>Jl. Dr. Rivai 6, Kelurahan Penengahan Kecamatan Tanjungkarang Pusat, Kota Bandar Lampung, Provinsi Lampung  35112</t>
  </si>
  <si>
    <t>RS Umum Imanuel Way Halim</t>
  </si>
  <si>
    <t>Jl. Sukarno Hatta Way Halim,Bandar Lampung</t>
  </si>
  <si>
    <t>RS Hermina Lampung</t>
  </si>
  <si>
    <t>Jl. Tulang Bawang No. 21 Kel. Enggal Kec. Enggal</t>
  </si>
  <si>
    <t>RS Umum Graha Husada</t>
  </si>
  <si>
    <t>Jl. Gajah Mada No.88,Bandar Lampung</t>
  </si>
  <si>
    <t>RS Umum Bumi Waras</t>
  </si>
  <si>
    <t>Jl. W. Monginsidi No.235,Bandar Lampung</t>
  </si>
  <si>
    <t>RS Umum Daerah Dr. A. Dadi Tjokrodipo</t>
  </si>
  <si>
    <t>Jl. Basuki Rachmat No. 73 Teluk Betung Utara, Kota Bandar Lampung</t>
  </si>
  <si>
    <t>RS Bhayangkara Polda Lampung</t>
  </si>
  <si>
    <t>Jl. Pramuka No.88 Rajabasa Bandar Lampung</t>
  </si>
  <si>
    <t>RS Tk. IV 02.07.04</t>
  </si>
  <si>
    <t>Jl. Dr. A.Rivai No.7, Bandar Lampung</t>
  </si>
  <si>
    <t>RS Umum Bintang Amin</t>
  </si>
  <si>
    <t>Jl. Pramuka No.27 Kecamatan Kemiling, Kota Bandar Lampung Provinsi Lampung</t>
  </si>
  <si>
    <t>RS Belleza Kedaton Bandar Lampung</t>
  </si>
  <si>
    <t>Jl. Sultan Haji Labuan Ratu Bandar Lampung</t>
  </si>
  <si>
    <t>RS Umum Advent Bandar Lampung</t>
  </si>
  <si>
    <t>Jl. Teuku Umar No. 48, Kelurahan Surabaya, Kecamatan Kedaton</t>
  </si>
  <si>
    <t>RS Ibu dan Anak Asih Kota Metro</t>
  </si>
  <si>
    <t>Kota Metro</t>
  </si>
  <si>
    <t>JL.JEND.A.YANI NO.52 IRINGMULYO METRO TIMUR, KOTA METRO,LAMPUNG.</t>
  </si>
  <si>
    <t>RS Ibu dan Anak Anugerah Medical Center Metro</t>
  </si>
  <si>
    <t>Jl. Kunang 15 Kauman, Metro</t>
  </si>
  <si>
    <t>RS Umum Daerah Ahmad Yani Metro</t>
  </si>
  <si>
    <t>Jl.Jend. A.Yani No.13 Kota Metro</t>
  </si>
  <si>
    <t>RS Umum Muhammadiyah Metro</t>
  </si>
  <si>
    <t>Jl. Soekarno Hatta No.42 Mulyojati 16B, Metro Barat</t>
  </si>
  <si>
    <t>RS Umum Permata Hati Metro</t>
  </si>
  <si>
    <t>Jl. AH. Nasution No. 34-36 Kel. Yosorejo Kec. Metro Timur Kota Metro -Lampung</t>
  </si>
  <si>
    <t>RS Umum  Mardi Waluyo</t>
  </si>
  <si>
    <t>Jl. Jenderal Sudirman 156,Kota Metro, Lampung</t>
  </si>
  <si>
    <t>RS Umum Islam Metro</t>
  </si>
  <si>
    <t xml:space="preserve"> Jl. Jend.AH Nasution No.250 kelurahan Yosodadi, kecamatan Metro Timur , Kota Metro Lampung Provinsi Lampung</t>
  </si>
  <si>
    <t>RS Umum Daerah Sumbersari Bantul</t>
  </si>
  <si>
    <t xml:space="preserve">Jl. Jenderal Soeprapto No. 4 Kel. Sumbersari Kec. Metro Selatan </t>
  </si>
  <si>
    <t>RS Azizah</t>
  </si>
  <si>
    <t>Jl. Hanafiah No. 64/75 Kel. Imopuro Metro Pusat</t>
  </si>
  <si>
    <t>RS Ibu dan Anak Bunda</t>
  </si>
  <si>
    <t>Lampung Barat</t>
  </si>
  <si>
    <t>Jl. Raden Intan II, No.36, Kelurahan Way Mengaku, Kecamatan Balik Bukit</t>
  </si>
  <si>
    <t>RS Umum Daerah Alimuddin Umar</t>
  </si>
  <si>
    <t>Jl. Teuku Umar No. 3, Lampung Barat</t>
  </si>
  <si>
    <t>RS Ibu Anak Hidayah Ibu</t>
  </si>
  <si>
    <t>Lampung Selatan</t>
  </si>
  <si>
    <t>JL. KESUMA BANGSA NO.128 WAY URANG, KALIANDA, Desa/Kelurahan Way Urang, Kec. Kalianda, Kab. Lampung Selatan, Provinsi Lampung, Kode Pos: 35551</t>
  </si>
  <si>
    <t>RS Airan Raya</t>
  </si>
  <si>
    <t>JL. Airan Raya NO.99 Way Huwi Jati Agung Lampung Selatan</t>
  </si>
  <si>
    <t>RS Natar Medika</t>
  </si>
  <si>
    <t>Jl. Raya Natar No.4 Muara Putih, Lampung Selatan</t>
  </si>
  <si>
    <t>RS Umum Daerah Bandar Negara Husada</t>
  </si>
  <si>
    <t>Kompleks Pemprov Lampung Kota Baru Jati Agung Kabupaten Lampung Selatan 35365</t>
  </si>
  <si>
    <t>RS Umum Daerah Dr. H. Bob Bazar, SKM</t>
  </si>
  <si>
    <t>Jl. Lettu Rohani No. 14 B, Desa Kedaton, Kecamatan Kalianda, Kabupaten Lampung Selatan, Provinsi Lampung</t>
  </si>
  <si>
    <t>RS Siti Khodijah</t>
  </si>
  <si>
    <t>Jl. Kolonel Makmun Rasyid No. 59, Kel Way Urang</t>
  </si>
  <si>
    <t>RS Ibu Anak Puri Adhya Paramita</t>
  </si>
  <si>
    <t>Lampung Tengah</t>
  </si>
  <si>
    <t xml:space="preserve">Jl. SULTAN AGUNG NO. 5 BANDAR JAYA - TERBANGGI BESAR </t>
  </si>
  <si>
    <t>RS Ibu Anak Puti Bungsu</t>
  </si>
  <si>
    <t>Jalan. Raden Intan RT/RW 003/002 LK II, Bandar Jaya Timur , Terbanggi Besar, Lampung tengah</t>
  </si>
  <si>
    <t>RS Umum Yukum Medical Centre</t>
  </si>
  <si>
    <t>Jl. Negara No.99 Km.67 Yukum Jaya Lampung Tengah</t>
  </si>
  <si>
    <t>Jl. Raya Lintas Sumatera, Seputih Jaya No.31, Kec. Gunung Sugih, Kab. Lampung Tengah</t>
  </si>
  <si>
    <t>Jl. KARTINI NO. 104 KALIREJO</t>
  </si>
  <si>
    <t>RS Umum Mitra Mulia Husada</t>
  </si>
  <si>
    <t>Jl. Proklamator Raya No.162-164,Lampung Tengah</t>
  </si>
  <si>
    <t>RS Umum Az - Zahra</t>
  </si>
  <si>
    <t>Jl. Kartini No. 109 Kalirejo , Kec. Kalirejo,</t>
  </si>
  <si>
    <t>RS Umum Islam Asy-Syifaa Bandar Jaya</t>
  </si>
  <si>
    <t>Jl. Lintas Sumatera KM 65 Yukum Jaya Terbanggi Besar Bandar Jaya</t>
  </si>
  <si>
    <t>RS Umum Daerah Demang Sepulau Raya</t>
  </si>
  <si>
    <t>Jl. Lintas Sumatera Nomor 4.A, Terbanggi Agung, Gunung Sugih, Lampung Tengah. KodePos 34161</t>
  </si>
  <si>
    <t>RS Artha Bunda</t>
  </si>
  <si>
    <t>Jl. Lintas Timur RT/RW 017/08 Desa Sido Binangun,Kec.Way Seputih,Kab. Lampung Tengah Propinsi Lampung</t>
  </si>
  <si>
    <t>RS Ibu dan Anak Mawar</t>
  </si>
  <si>
    <t>Lampung Timur</t>
  </si>
  <si>
    <t>Jalan Lintas Timur Plangkawati 1, Desa Labuhan Ratu VII Kec. Labuhan Ratu Kab. Lampung Timur, Provinsi Lampung</t>
  </si>
  <si>
    <t>Jl. Raya Lintas Pantai Timur Sumatera, Desa Mataram Baru, Kel. Mataram Baru Kec. Mataram Baru</t>
  </si>
  <si>
    <t>Jl. Raya Way Jepara Plangkawati II Labuhan Ratu Baru Kec. Way Jepara Kab. Lampung Timur</t>
  </si>
  <si>
    <t>RS AKA Medika Sribhawono</t>
  </si>
  <si>
    <t>Jl. Ir. Sutami Km.1 Sribhawono, Lampung Timur</t>
  </si>
  <si>
    <t>RS Umum Daerah Sukadana</t>
  </si>
  <si>
    <t>Jl. Letnan Adnan Sanjaya,Lintas Timur,Sukadana,Lampung Timur</t>
  </si>
  <si>
    <t>RS Umum Daerah May Jen HM Ryacudu</t>
  </si>
  <si>
    <t>Lampung Utara</t>
  </si>
  <si>
    <t>Jl. Jend.Sudirman No.2 Kelurahan Tanjung Harapan Kecamatan Kotabumi Selatan  - Kabupaten Lampung Utara Provinsi Lampung</t>
  </si>
  <si>
    <t>RS Umum Handayani</t>
  </si>
  <si>
    <t>Jl. Soekarno - Hatta No.94,Kotabumi lampung Utara</t>
  </si>
  <si>
    <t>RS Medika Insani</t>
  </si>
  <si>
    <t>Jl. Sumber Jaya No. 667 Desa Tanjung Baru Kecamatan Bukit Kemuning Kabupaten Lampung Utara</t>
  </si>
  <si>
    <t>RS Maria Regina</t>
  </si>
  <si>
    <t>Jl. Abdoel Moeloek No. 119 Tanjung Aman, Kotabumi, Lampung Utara</t>
  </si>
  <si>
    <t>RS Candimas Medical Center</t>
  </si>
  <si>
    <t>Jl. Alamsyah Ratu Perwira Negara No. 47 Kotabumi Selatan</t>
  </si>
  <si>
    <t>RS Umum HI. Muhammad Yusuf</t>
  </si>
  <si>
    <t>Jl. Lintas Sumatera No. 12 KelurahanKalibalangan, Kecamatan Abung Selatan , Kabupaten Lampung Utara, Provinsi Lampung</t>
  </si>
  <si>
    <t>RS Umum Daerah Ragab Begawe Caram</t>
  </si>
  <si>
    <t>Mesuji</t>
  </si>
  <si>
    <t>Jl. ZA. Pagar Alam Brabasan Kec. Tanjung Raya Kabupaten Mesuji Lampung</t>
  </si>
  <si>
    <t>RS Mesuji Healthcare Center</t>
  </si>
  <si>
    <t>Jl. Jendral Sudirman, Kel. Simpang Mesuji, Kec. Simpang Pematang</t>
  </si>
  <si>
    <t>RS Jiwa Daerah Provinsi Lampung</t>
  </si>
  <si>
    <t>Pesawaran</t>
  </si>
  <si>
    <t>Jl. Raya Gd.Tataan KM 13 Pesawaran 35366</t>
  </si>
  <si>
    <t>RS Umum Daerah Pesawaran</t>
  </si>
  <si>
    <t>Jln. Raya Kedondong, Sukamarga, Desa Gedong Tataan Kec. Gedong Tataan, kab. Pesawaran</t>
  </si>
  <si>
    <t>RS Umum Gladish Medical Center</t>
  </si>
  <si>
    <t>Jln.Ahmad Yani No.36 Desa Taman Sari Kec.Gedong Tataan Kabupaten Pesawaran Lampung</t>
  </si>
  <si>
    <t>RS Umum Daerah KH. Muhammad Thohir KRUI</t>
  </si>
  <si>
    <t>Pesisir Barat</t>
  </si>
  <si>
    <t>Jl. Atar Sedangkek Pekon Way Suluh Kecamatan Krui Selatan Kabupaten Pesisir Barat</t>
  </si>
  <si>
    <t>RS Ibu dan Anak Mutiara Hati</t>
  </si>
  <si>
    <t>Pringsewu</t>
  </si>
  <si>
    <t>Jl. Raya Tambahsari No.15 Gading Rejo</t>
  </si>
  <si>
    <t>Jl. KH. Dewantara No. 1269 Pringsewu - Lampung</t>
  </si>
  <si>
    <t>RS Umum Daerah Pringsewu</t>
  </si>
  <si>
    <t>Jl. Lintas Barat Pekon Fajar Agung Barat Kec. Pringsewu</t>
  </si>
  <si>
    <t>RS Umum Mitra Husada</t>
  </si>
  <si>
    <t>Jl. Jend.A.Yani No.14 Pringsewu,Kab.Pringsewu</t>
  </si>
  <si>
    <t>RS Wisma Rini</t>
  </si>
  <si>
    <t>Jl. Wisma Rini Nomor 1 Kel. Pringsewu Selatan Kec. Pringsewu Kab. Pringsewu Prov. Lampung</t>
  </si>
  <si>
    <t>RS Umum Surya Asih</t>
  </si>
  <si>
    <t>Jl. A. Yani No.51, Pringsewu</t>
  </si>
  <si>
    <t>RS Umum Daerah Batin Mangunang</t>
  </si>
  <si>
    <t>Tanggamus</t>
  </si>
  <si>
    <t>Jl. Soekarno Hatta Komplek Islamic Center kecamatan Kota Agung Kabupaten Tanggamus Provinsi Lampung Kode Pos 35384</t>
  </si>
  <si>
    <t>RS Panti Secanti</t>
  </si>
  <si>
    <t>Jl. Raya Gisting,Tanggamus</t>
  </si>
  <si>
    <t>RS Umum Daerah Menggala Tulang Bawang</t>
  </si>
  <si>
    <t>Tulang Bawang</t>
  </si>
  <si>
    <t>Jalan Negara Lintas Timur KM. 112 Tiuh Tohou Ke. Menggala, Kab.T ulang Bawang, Prov. Lampung</t>
  </si>
  <si>
    <t>RS Umum Penawar Medika</t>
  </si>
  <si>
    <t>Jl. Lintas Timur Sumatera Desa Agung Dalam Rt.003 Rw.002 Kec. Banjar margo Kab. Tulang Bawang Provinsi Lampung</t>
  </si>
  <si>
    <t>RS Griya Medika Dompet Dhuafa</t>
  </si>
  <si>
    <t>Jl. Ethanol Unit 2 Tunggal Warga Kec. Banjar Agung</t>
  </si>
  <si>
    <t>RS Umum Mutiara Bunda</t>
  </si>
  <si>
    <t>Jl. Lintas Timur No. 1147 Unit II  Kec. Bandar Agung</t>
  </si>
  <si>
    <t>RS Ibu dan Anak Ummi Athayya</t>
  </si>
  <si>
    <t>Tulang Bawang Barat</t>
  </si>
  <si>
    <t>Jl. KH. Ahmad Dahlan, Candra Mukti, Tulang BAwang Barat</t>
  </si>
  <si>
    <t>RS Umum Daerah Tulang Bawang Barat</t>
  </si>
  <si>
    <t>Jl. Diponegoro Tiyuh Panaragan Kec. Tulang Bawang Tengah Kab. Tulang Bawang Barat Provinsi Lampung</t>
  </si>
  <si>
    <t>RS Umum Asy-Syifa Medika</t>
  </si>
  <si>
    <t>Daya Asri RT/RW 002/002 Kecamatan Tumijajar  Kabupaten Tulang Bawang Barat Provinsi Lampung</t>
  </si>
  <si>
    <t>RS Umum Daerah Zainal Abidin Pagar Alam</t>
  </si>
  <si>
    <t>Way Kanan</t>
  </si>
  <si>
    <t>Jl. Raya Lintas Sumatera, Umpu Semenguk</t>
  </si>
  <si>
    <t>RS Umum Haji Kamino</t>
  </si>
  <si>
    <t>Jl. Sriwijaya No. 56  Setia Negara Kec. Baradatu Kab. Way Kanan Provinsi Lampung</t>
  </si>
  <si>
    <t>Maluku</t>
  </si>
  <si>
    <t>RS Umum Daerah Kab. Buru</t>
  </si>
  <si>
    <t>Buru</t>
  </si>
  <si>
    <t>Jl. Butung Leong No. 1 Desa Lala Kab.Buru</t>
  </si>
  <si>
    <t>RS Umum Daerah dr. Salim Alkatiri</t>
  </si>
  <si>
    <t>Buru Selatan</t>
  </si>
  <si>
    <t>Jl. dr. J. Leimena No.01, Desa Labuang, Kec. Namrole</t>
  </si>
  <si>
    <t>RS Pratama Raja Latubau Soel Negeri Fogi</t>
  </si>
  <si>
    <t>Jl. Ibrahim Soel Desa Fogi, RT 000/ RW 000, Kelurahan/ Desa : Fogi, Kecamatan : Kepala Madan, Kabupaten : Buru Selatan, Provinsi : Maluku</t>
  </si>
  <si>
    <t>RS Umum Daerah Cendrawasih Dobo</t>
  </si>
  <si>
    <t>Kepulauan Aru</t>
  </si>
  <si>
    <t>Jl. Cendrawasih Km.6 RT 001 RW 006 Kelurahan Siwalima, Kecamatan Pulau Pulau, Kabupaten Kepulauan Aru, Provinsi Maluku</t>
  </si>
  <si>
    <t>RS Fatima Saumlaki</t>
  </si>
  <si>
    <t>Kepulauan Tanimbar</t>
  </si>
  <si>
    <t>Jl.  Suster Makaria Olilit Kecamatan Tanimbar Selatan</t>
  </si>
  <si>
    <t>RS Umum Daerah Dr. P. P. Magretti Saumlaki</t>
  </si>
  <si>
    <t>Jl. Mr. Latuharhari - Saumlaki, Kec. Tanimbar Selatan, Kab. Kepulauan Tanimbar, Prov. Maluku</t>
  </si>
  <si>
    <t>RSKD Provinsi Maluku</t>
  </si>
  <si>
    <t>Kota Ambon</t>
  </si>
  <si>
    <t>Jl. Laksdya Leo Wattimena Ambon</t>
  </si>
  <si>
    <t>RS Umum Dr. M. Haulussy Ambon</t>
  </si>
  <si>
    <t>Jl. dr. Kayadoe, Kelurahan Benteng, Kecamatan Nusaniwe. Ambon 97117.</t>
  </si>
  <si>
    <t>RS Umum Pusat Dr. Johannes Leimena Ambon</t>
  </si>
  <si>
    <t>Jl. Mr. CHR Soplanit, Negeri Rumahtiga, Kec. Teluk Ambon, Kota Ambon, Provinsi Maluku</t>
  </si>
  <si>
    <t>RS Sumber Hidup GPM</t>
  </si>
  <si>
    <t>Jl. Anthonie Rhebok No. 11, Kelurahan : Honipopu, Kecamatan : Sirimau, Kota Ambon, Propinsi Maluku, Kode Pos : 97126</t>
  </si>
  <si>
    <t>RS Tk. II Prof. dr. J. A. Latumeten</t>
  </si>
  <si>
    <t>Jl. Dr. Tamaela No. 2 Ambon</t>
  </si>
  <si>
    <t>RS Siloam Ambon</t>
  </si>
  <si>
    <t>Jl. Sultan Hasanuddin RT. 005 RW. 005 Kel. Hative kecil Kec. Sirimau</t>
  </si>
  <si>
    <t>RS Al Fatah</t>
  </si>
  <si>
    <t>Jl. Sultan Babullah 2 Ambon</t>
  </si>
  <si>
    <t>RS Bhayangkara Ambon</t>
  </si>
  <si>
    <t>Jl. Sultan Hasanuddin - Tantui, Ambon</t>
  </si>
  <si>
    <t>RS TNI AL dr. FX. Soehardjo</t>
  </si>
  <si>
    <t>Komplek Lantamal IX Halong Ambon</t>
  </si>
  <si>
    <t>RS Hative Passo</t>
  </si>
  <si>
    <t>Jl. Laskdya Leo Wattimena, Kelurahan Passo, Kecamatan Baguala, Kota Ambon, Provinsi Maluku,  97232</t>
  </si>
  <si>
    <t>RS Umum Bakti Rahayu</t>
  </si>
  <si>
    <t>Jl. Ahmad Yani (Belakang RRI) Ambon</t>
  </si>
  <si>
    <t>RS Umum Daerah Maren H. Noho Renuat Kota Tual</t>
  </si>
  <si>
    <t>Kota Tual</t>
  </si>
  <si>
    <t xml:space="preserve"> Jl.  Raya BTN Ngadi Tamedan, Desa Fiditan, Kec. Pulau Dullah Utara - Kota Tual</t>
  </si>
  <si>
    <t>RS Umum Daerah Tiakur</t>
  </si>
  <si>
    <t>Maluku Barat Daya</t>
  </si>
  <si>
    <t>Depan kantor BKPSDM Kab.MBD , Kelurahan Tiakur  , Kec.Moa , Kab.Maluku  Barat Daya</t>
  </si>
  <si>
    <t>RS Umum Daerah dr. Ishak Umarella</t>
  </si>
  <si>
    <t>Maluku Tengah</t>
  </si>
  <si>
    <t>Jl. Pahlawan No. 36 Tulehu, Desa/Kelurahan Tulehu, Kecamatan Salahutu, Kabupaten Maluku Tengah, Provinsi Maluku.</t>
  </si>
  <si>
    <t>RS Umum Masohi</t>
  </si>
  <si>
    <t xml:space="preserve">Jl. dr. G. A. Siwabessy Masohi  Kelurahan Namaelo Kecamatan Kota Masohi Kabupaten Maluku Tengah Provinsi Maluku </t>
  </si>
  <si>
    <t>RS Umum Daerah Banda</t>
  </si>
  <si>
    <t>JL.KUJALI no.163A Desa Nusantara, Kecamatan Banda, Kabupaten Maluku Tengah, Provinsi Maluku Kode Pos 97593</t>
  </si>
  <si>
    <t>RS Umum Saparua</t>
  </si>
  <si>
    <t xml:space="preserve"> Jl. Rumah Sakit Porto-Haria,Kec. Saparua, Kab. Maluku Tengah, Prov. Maluku</t>
  </si>
  <si>
    <t>RS Umum Karel Sadsuitubun</t>
  </si>
  <si>
    <t>Maluku Tenggara</t>
  </si>
  <si>
    <t xml:space="preserve">    Jl. Merdeka Raya No. 3 Ohoijang Langgur</t>
  </si>
  <si>
    <t>RS Hati Kudus Langgur</t>
  </si>
  <si>
    <t>Jl. Jenderal Sudirman Langgur</t>
  </si>
  <si>
    <t>RS Umum Piru</t>
  </si>
  <si>
    <t>Seram Bagian Barat</t>
  </si>
  <si>
    <t>Jl. Arteri Piru, Desa Piru, Kecamatan Seram Barat, Kabupaten Seram Bagian Barat, Provinsi Maluku</t>
  </si>
  <si>
    <t>RS Pratama Wasala</t>
  </si>
  <si>
    <t>Jl. Trans Seram, Desa Waesala, Kec. Huamual Belakang</t>
  </si>
  <si>
    <t>RS Umum Daerah Bula</t>
  </si>
  <si>
    <t>Seram Bagian Timur</t>
  </si>
  <si>
    <t>Jl. Wailola No. 11-12 Bula, Kabupaten Seram Bagian Timur, Propinsi Maluku</t>
  </si>
  <si>
    <t>Maluku Utara</t>
  </si>
  <si>
    <t>RS Umum Daerah Jailolo</t>
  </si>
  <si>
    <t>Halmahera Barat</t>
  </si>
  <si>
    <t>Jl.Ir. Soekarno Ds. Acango-Jailolo,Halmahera Barat</t>
  </si>
  <si>
    <t>RS Umum Daerah  Labuha</t>
  </si>
  <si>
    <t>Halmahera Selatan</t>
  </si>
  <si>
    <t>Jl.  Raya Labuha-Babang</t>
  </si>
  <si>
    <t>RS Umum Obi</t>
  </si>
  <si>
    <t>Jalan Cabang Kuning,Desa Buton,Kec.Obi,Kab.Halmahera Selatan,Prov.Maluku Utara,Kode Pos 97792</t>
  </si>
  <si>
    <t>RS Pratama Bisui Kab. Halmahera Selatan</t>
  </si>
  <si>
    <t>Jl. Desa Bisui Kec. Gane Timur Tengah Kab. Halmahera Selatan</t>
  </si>
  <si>
    <t>RS Umum Daerah Weda</t>
  </si>
  <si>
    <t>Halmahera Tengah</t>
  </si>
  <si>
    <t>JL. Raya Weda, Desa Wedana kec Weda Kabupaten Halmahera Tengah Provinsi Maluku Utara</t>
  </si>
  <si>
    <t>RS Umum Daerah Maba</t>
  </si>
  <si>
    <t>Halmahera Timur</t>
  </si>
  <si>
    <t>JL. TRANS HALMAHERA, DESA SOAGIMALAHA, KECAMATAN KOTA MABA, KABUPATEN HALMAHERA TIMUR, PROVINSI MALUKU UTARA</t>
  </si>
  <si>
    <t>RS Umum Daerah Tobelo</t>
  </si>
  <si>
    <t>Halmahera Utara</t>
  </si>
  <si>
    <t>Jl. Landbouw. Desa Gamsungi. Kota Tobelo. Kabupaten Halmahera Utara. Propinsi Maluku Utara</t>
  </si>
  <si>
    <t>RS Bethesda GMIH Tobelo</t>
  </si>
  <si>
    <t>JL. Kemakmuran  Tobelo, Keluran Desa Gamsungi, Kecamatan Tobelo, Kabupaten Halmahera Utara, Provinsi Maluku Utara</t>
  </si>
  <si>
    <t>RS Umum Daerah Sanana</t>
  </si>
  <si>
    <t>Kepulauan Sula</t>
  </si>
  <si>
    <t>Jl. Dr. Sibarani - Desa Falahu RW/RT : 001/008- Kecamatan Sanana Kabupaten Kep. Sula. Provinsi Maluku Utara</t>
  </si>
  <si>
    <t>RS Ibu dan Anak Andina</t>
  </si>
  <si>
    <t>Kota Ternate</t>
  </si>
  <si>
    <t>Jl. Sultan Khairun Kel. Soa Sio Kecamatan Ternate Utara Kota Ternate Provinsi Maluku Utara kode pos 97723</t>
  </si>
  <si>
    <t>RS Umum Daerah Dr. H. Chasan Boesoirie Ternate</t>
  </si>
  <si>
    <t>Jl. Cempaka Kel. Tanah Tinggi Kota Ternate</t>
  </si>
  <si>
    <t>RS Umum Daerah Kota Ternate</t>
  </si>
  <si>
    <t>Jl. Saleh Efendi No. 2 Kel. Stadion, Kec. Ternate Tengah</t>
  </si>
  <si>
    <t>RS Tk. IV 16.07.01 TNI AD Ternate</t>
  </si>
  <si>
    <t>Jl. Ais Nasution No.2, Ternate</t>
  </si>
  <si>
    <t>RS Bhayangkara Tk. IV Ternate</t>
  </si>
  <si>
    <t>Jl. Hasan Esa No. 1, Kel. Takoma Kec. Ternate Tengah, Kota Ternate, Prov. Maluku Utara</t>
  </si>
  <si>
    <t>RS Prima Ternate</t>
  </si>
  <si>
    <t>Jl. Raya Mangga Dua Ling Mangga Dua Tengah RT. 013 RW. 06 Mangga Dua Utara Ternate Selatan</t>
  </si>
  <si>
    <t>RS Umum Dharma Ibu Ternate</t>
  </si>
  <si>
    <t>Jl. Arnold Mononutu No. 125</t>
  </si>
  <si>
    <t>RS Islam PKU Muhammadiyah Maluku Utara</t>
  </si>
  <si>
    <t>Jl. Pemuda No.131, Kel. Toboleu, Kec. Ternate Utara Kota Ternate Prov. Maluku Utara</t>
  </si>
  <si>
    <t>RS Jiwa Sofifi</t>
  </si>
  <si>
    <t>Kota Tidore Kepulauan</t>
  </si>
  <si>
    <t>Jl. Lintas Halmahera Desa Garojou, Kec. Oba Utara. Kota Tidore Kepulauan Provinsi Maluku Utara</t>
  </si>
  <si>
    <t>RS Umum Daerah Kota Tidore Kepulauan</t>
  </si>
  <si>
    <t>Jl. Sultan mansyur No 11 Indonesiana Tidore Maluku Utara</t>
  </si>
  <si>
    <t>RS Umum Sofifi</t>
  </si>
  <si>
    <t>Jl. Raya 40, Kel. Guraping, Kec. Oba Utara, Kota Tidore Kepulauan, Provinsi Maluku Utara</t>
  </si>
  <si>
    <t>RS Umum Daerah Ir. Soekarno Kab. Pulau Morotai</t>
  </si>
  <si>
    <t>Pulau Morotai</t>
  </si>
  <si>
    <t>Jln. Nakamura Desa Dehegila, Kecamatan Morotai Selatan, Kab. Pulau Morotai, Provinsi Maluku Utara</t>
  </si>
  <si>
    <t>RS Umum Daerah Bobong</t>
  </si>
  <si>
    <t>Pulau Taliabu</t>
  </si>
  <si>
    <t>Jl. Lintas Selatan, Desa Ratahaya, Kecamatan Taliabu Barat , kabupaten Pulau Taliabu, provinsi Maluku utara</t>
  </si>
  <si>
    <t>Nusa Tenggara Barat</t>
  </si>
  <si>
    <t>RS Umum Bima</t>
  </si>
  <si>
    <t>Bima</t>
  </si>
  <si>
    <t>Jl. Langsat No. 1 Kel. Rabangodu Selatan, Kec. Raba</t>
  </si>
  <si>
    <t>RS Umum Daerah Sondosia Kab. Bima</t>
  </si>
  <si>
    <t>Jl. Lintas Sumbawa Desa Sondosia Kec. Bolo Kab. Bima, NTB</t>
  </si>
  <si>
    <t>RS Umum Dompu</t>
  </si>
  <si>
    <t>Dompu</t>
  </si>
  <si>
    <t xml:space="preserve"> Jl. Kesehatan No. 1 Kel.Bada Kec.Dompu Kab.Dompu Provinsi Nusa Tenggara Barat</t>
  </si>
  <si>
    <t>RS Umum Daerah Manggelewa</t>
  </si>
  <si>
    <t>Jl. Lintas Calabai Desa Doromelo Kecamatan Manggelewa Kabupaten Dompu Provinsi Nusa Tenggara Barat</t>
  </si>
  <si>
    <t>RS PKU Muhammadiyah Bima</t>
  </si>
  <si>
    <t>Kota Bima</t>
  </si>
  <si>
    <t>JL.Gajah Mada, No.6, Desa/Kelurahan Monggonao,kec. Mpunda, Kota Bima, Provinsi Nusa Tenggara Barat</t>
  </si>
  <si>
    <t>RS Tk. IV Sultan Abdul Kahir II Bima</t>
  </si>
  <si>
    <t>Jl. Jendral Sudirman No. 27 Kel. Rabangodu Utara Kec. Raba Kota Bima NTB</t>
  </si>
  <si>
    <t>RS Umum Daerah Kota Bima</t>
  </si>
  <si>
    <t xml:space="preserve">Jl. Datuk Dibanta Kelurahan Jatiwangi Kecamatan Asakota, Kota Bima Provinsi Nusa Tenggara Barat </t>
  </si>
  <si>
    <t>RS dr. Agung</t>
  </si>
  <si>
    <t>Jln. Ir. Sutami No. 1 Kelurahan Rabadompu Barat, Kecamatan Raba, Kota Bima, Provinsi NTB.</t>
  </si>
  <si>
    <t>RS Ibu dan Anak Tresna</t>
  </si>
  <si>
    <t>Kota Mataram</t>
  </si>
  <si>
    <t>Jl. Bung Karno No. 28 Mataram , Kelurahan Mataram Timur,  Kecamatan Mataram, Kota Mataram,  Nusa Tenggara Barat</t>
  </si>
  <si>
    <t>JL. MAJAPAHIT NO. 10C MATARAM</t>
  </si>
  <si>
    <t>RS Jiwa Mutiara Sukma</t>
  </si>
  <si>
    <t>Jalan Ahmad Yani No. 1 Kelurahan Selagalas Kecamatan Sandubaya Kota Mataram 83125</t>
  </si>
  <si>
    <t>RS Mata Nusa Tenggara Barat</t>
  </si>
  <si>
    <t>Jl. Harimau No 1 kelurahan Pejanggik, Kecamatan Mataram, Kota mataram, Provinsi Nusa Tenggara Barat</t>
  </si>
  <si>
    <t>RS Umum Daerah Provinsi NTB</t>
  </si>
  <si>
    <t>Jl. Prabu Rangkasari Dasan Cermen</t>
  </si>
  <si>
    <t>RS Umum Daerah Kota Mataram</t>
  </si>
  <si>
    <t xml:space="preserve">Jl. Bung Karno No.3 Pagesangan Timur, Mataram </t>
  </si>
  <si>
    <t>RS Metro Medika</t>
  </si>
  <si>
    <t>JL. Jenderal Sudirman No. 18A Rembiga, Selaparang, Mataram, NTB</t>
  </si>
  <si>
    <t>RS Universitas Mataram</t>
  </si>
  <si>
    <t>Jl. Majapahit No. 62 Mataram</t>
  </si>
  <si>
    <t>Siloam Hospitals Mataram</t>
  </si>
  <si>
    <t>JL.MAJAPAHIT NO.10 MATARAM</t>
  </si>
  <si>
    <t>RS Risa Sentra Medika</t>
  </si>
  <si>
    <t>Jl. Pejanggik No.115 Cakranegara Mataram</t>
  </si>
  <si>
    <t>RS Islam Siti Hajar</t>
  </si>
  <si>
    <t>Jl. Catur Warga Mataram, Kelurahan Mataram Timur, Kecamatan Mataram, Kota Mataram 83126</t>
  </si>
  <si>
    <t>RS Bhayangkara Mataram</t>
  </si>
  <si>
    <t>Jl. Langko No.64,Mataram</t>
  </si>
  <si>
    <t>RS Harapan Keluarga</t>
  </si>
  <si>
    <t>Jl. Ahmad Yani No. 9 Selagalas, Kec. Sandubaya, Mataram</t>
  </si>
  <si>
    <t>RS Angkatan Darat REM Wira Bhakti Mataram</t>
  </si>
  <si>
    <t>Jl. HOS Cokroaminoto 7 Mataram</t>
  </si>
  <si>
    <t>RS Bio Medika</t>
  </si>
  <si>
    <t>Jl. Bung Karno No. 143 Pagutan Barat, Kecamatan Mataram, Mataram, NTB</t>
  </si>
  <si>
    <t>RS Umum Khatolik Saint Antonius  Ampenan</t>
  </si>
  <si>
    <t>Jl. Koperasi no 61 Ampenan Utara, Kecamatan Ampenan, Kota Mataram, Propinsi Nusa Tenggara Barat Kode Pos 83111</t>
  </si>
  <si>
    <t>RS Umum Daerah Patut Patuh Patju</t>
  </si>
  <si>
    <t>Lombok Barat</t>
  </si>
  <si>
    <t>Jl. H. Lalu Anggrat BA No. 2 Gerung</t>
  </si>
  <si>
    <t>RS Umum Daerah Awet Muda Narmada</t>
  </si>
  <si>
    <t>Jl. Ahmad Yani No. 69 Telaga Ngembeng Narmada Lombok Barat</t>
  </si>
  <si>
    <t>RS Ibu dan Anak Bhumi Bunda</t>
  </si>
  <si>
    <t>Lombok Tengah</t>
  </si>
  <si>
    <t>Jl.Basuki Rahmat No.90 Ketejer, Gerunung, Praya Kab. Lombok Tengah Provinsi NTB</t>
  </si>
  <si>
    <t>RS Mandalika Provinsi Nusa Tenggara Barat</t>
  </si>
  <si>
    <t>Jl. Kuta Lombok, Sengkol, Kec. Pujut</t>
  </si>
  <si>
    <t>RS Umum Praya</t>
  </si>
  <si>
    <t>Jalan Haji Lalu Hasyim, Kelurahan Tiwu Galih, Kecamatan  Praya. Kabupaten Lombok Tengah, Provinsi Nusa Tenggara Barat. Kode Pos: 83518</t>
  </si>
  <si>
    <t>RS Islam Yatofa</t>
  </si>
  <si>
    <t>Jalan Raya Praya - Mantang. Km.7. Desa Montong Terep, Kecamatan Praya, Kabupaten Lombok Tengah, Provinsi Nusa Tenggara Barat</t>
  </si>
  <si>
    <t>Jl. Gajah Mada, Keluarahan Leneng, Kecamatan Praya</t>
  </si>
  <si>
    <t>RS Umum Adikarsa</t>
  </si>
  <si>
    <t>Jl. Basuki Rahmat 110, Praya, LombokÂ Tengah, Nusa Tenggara Barat</t>
  </si>
  <si>
    <t>RS Ibu dan Anak Permata Hati Lombok Timur</t>
  </si>
  <si>
    <t>Lombok Timur</t>
  </si>
  <si>
    <t>Jl. Raya Masbagik Selong Dusun Tanak Malit Selatan Kel. Masbagik Selatan Kab. Lombok Timur</t>
  </si>
  <si>
    <t>RS Ibu dan Anak Kuncup Bunga</t>
  </si>
  <si>
    <t>Jl. DR. Cipto MangunKusumo No. 16 Kel. Majdi Kec. Selong, Prov. Nusa Tenggara Barat</t>
  </si>
  <si>
    <t>RS Umum Daerah Dr. R. Soedjono Selong</t>
  </si>
  <si>
    <t>Jl. Prof M. Yamin, SH. No. 55 Selong, 83612</t>
  </si>
  <si>
    <t>RS Lotim Medical Center</t>
  </si>
  <si>
    <t>Jl. Pejanggik No. 78A Kelurahan Rakam, Kecamatan Selong, Kab. Lombok Timur. Provinsi NTB</t>
  </si>
  <si>
    <t>RS Islam Namira</t>
  </si>
  <si>
    <t>Jl. K.H. Akhmad Dahlan No 17 Pancor</t>
  </si>
  <si>
    <t>RS Umum Daerah Patuh Karya</t>
  </si>
  <si>
    <t>Jl. Arjanjang, Selebung Ketangga, Kecamatan Keruak Kabupaten Lombok Timur NTB</t>
  </si>
  <si>
    <t>RS Umum Daerah Lombok Timur</t>
  </si>
  <si>
    <t>Jl. HOS Cokroaminoto No. 31 Desa Labuhan Haji Kecamatan Labuhan Haji Lombok Timur</t>
  </si>
  <si>
    <t>RS Islam S. Anggoro</t>
  </si>
  <si>
    <t>Jl. Raya Terara Desa Terara Kecamatan Terara Kabupaten Lombok Timur Provinsi Nusa Tenggara Barat</t>
  </si>
  <si>
    <t>RS Umum Daerah Selaparang</t>
  </si>
  <si>
    <t>Jl. Wisata Gunung Rinjani Desa Suela Kec. Suela Kab. Lombok Timur</t>
  </si>
  <si>
    <t>RS Umum Kab. Lombok Utara</t>
  </si>
  <si>
    <t>Lombok Utara</t>
  </si>
  <si>
    <t xml:space="preserve">     Jl. Raya Tioq Tata Tunaq, Tanjung Lombok Utara</t>
  </si>
  <si>
    <t>RS H. L. Manambai Abdulkadir</t>
  </si>
  <si>
    <t>Sumbawa</t>
  </si>
  <si>
    <t>Jl. Lintas Sumbawa-Bima KM. 5 Sumbawa Besar</t>
  </si>
  <si>
    <t>RS Umum Sumbawa</t>
  </si>
  <si>
    <t>Jl. Sultan Kaharuddin Desa/Kel. Kerato Kec. Unteriwis Kab. Sumbawa</t>
  </si>
  <si>
    <t>RS Abdul Malik Fadjar</t>
  </si>
  <si>
    <t>Jl. Hasanuddin No. 33, RT 003 RW 003, Kelurahan Bugis, Kecamatan Sumbawa, Kabupaten Sumbawa, Provinsi Nusa Tenggara Barat</t>
  </si>
  <si>
    <t>RS Umum Daerah Asy-Syifa Sumbawa Barat</t>
  </si>
  <si>
    <t>Sumbawa Barat</t>
  </si>
  <si>
    <t xml:space="preserve"> Jln Lang Sesat Taliwang</t>
  </si>
  <si>
    <t>Nusa Tenggara Timur</t>
  </si>
  <si>
    <t>RS Daerah Kalabahi</t>
  </si>
  <si>
    <t>Alor</t>
  </si>
  <si>
    <t>Jl. Dr Soetomo No 08 Kelurahan Kalabahi Kota Kec. Teluk Mutiara  Kab. Alor</t>
  </si>
  <si>
    <t>RS Umum Kelas D Pratama Mola</t>
  </si>
  <si>
    <t>Jl. Masang, RT. 08 RW. 04 Kel. Welai Timur, Kec. Teluk Mutiara</t>
  </si>
  <si>
    <t>RS Umum Daerah MGR Gabriel Manek</t>
  </si>
  <si>
    <t>Belu</t>
  </si>
  <si>
    <t xml:space="preserve"> Jl. Dr Sutomo No. 2 Atambua</t>
  </si>
  <si>
    <t>RS Sito Husada</t>
  </si>
  <si>
    <t>Jl. KH.Dewantara, No.15 Bardao - Atambua Belu</t>
  </si>
  <si>
    <t>RS Katholik Marianum Halilulik</t>
  </si>
  <si>
    <t xml:space="preserve"> Jl. Raya Halilulik - Betun, Dusun Halibaurenes</t>
  </si>
  <si>
    <t>RS Tk. IV 09.07.04 Atambua</t>
  </si>
  <si>
    <t>Jl. Piere Tendean, Gerbades, Kota Atambua</t>
  </si>
  <si>
    <t>RS Umum Daerah Ende</t>
  </si>
  <si>
    <t>Ende</t>
  </si>
  <si>
    <t>Jl. Prof Dr. WZ.Johanes Ende</t>
  </si>
  <si>
    <t>RS St Antonius Jopu</t>
  </si>
  <si>
    <t>JLN. WOLOWARU-NGGELA RT 018/RW 009, DESA JOPU, KEC. WOLOWARU</t>
  </si>
  <si>
    <t>RS Umum Daerah dr. Hendrikus Fernandez Larantuka</t>
  </si>
  <si>
    <t>Flores Timur</t>
  </si>
  <si>
    <t xml:space="preserve"> Jl. Jend. Sudirman No. 33 Kelurahan Sarotari Tengah, Kecamatan Larantuka, Kabupaten Flores Timur, Provinsi Nusa Tenggara Timur</t>
  </si>
  <si>
    <t>RS Pratama Adonara</t>
  </si>
  <si>
    <t>Desa Saosina, Kec. Adonara Timur</t>
  </si>
  <si>
    <t>RS Ibu dan Anak Dedari</t>
  </si>
  <si>
    <t>Kota Kupang</t>
  </si>
  <si>
    <t>Jl. Rantai Damai No. 69 D, Kel. Tuak Daun Merah.</t>
  </si>
  <si>
    <t>RS Jiwa Naimata</t>
  </si>
  <si>
    <t>Jl. Taebenu RT. 007 RW. 003 Kel. Naimata Kec. Maulafa</t>
  </si>
  <si>
    <t>RS Umum Prof. Dr. WZ Johanes</t>
  </si>
  <si>
    <t xml:space="preserve">  Jl. Dr Moch Hatta No. 19 Kupang, Kel. Oetete. Kec. Oebobo</t>
  </si>
  <si>
    <t>RS Siloam Kupang</t>
  </si>
  <si>
    <t>Jl. R. W. Monginsidi Kelurahan Fatululi Kecamatan Oebobo</t>
  </si>
  <si>
    <t>RS Umum Pusat dr. Ben Mboi</t>
  </si>
  <si>
    <t>Jl. Viquam RT.15/RW.5 Kel. Manulai II Kec. Alak, Kota Kupang Provinsi Nusa Tenggara Timur 85238 Indonesia</t>
  </si>
  <si>
    <t>RS Bhayangkara</t>
  </si>
  <si>
    <t>Jl. Nangka No. 84 Kupang</t>
  </si>
  <si>
    <t>RS Tk. III Wirasakti Kupang</t>
  </si>
  <si>
    <t>Jln. Moch Hatta No.9-11 ,Kupang</t>
  </si>
  <si>
    <t>RS TNI AL Lantamal VII Kupang</t>
  </si>
  <si>
    <t>Jl. Yos Sudarso No. 5 Osmok, Kel Namosain Kec.Alak, Kupang</t>
  </si>
  <si>
    <t>RS Umum Mamami</t>
  </si>
  <si>
    <t>Jl. R. W. Monginsidi I No 3, Kota Kupang Kel. Pasir Panjang, Kec. Kota Lama</t>
  </si>
  <si>
    <t>RS Umum Leona Kupang</t>
  </si>
  <si>
    <t>Jl. Soeverdi No. 20 Oebufu</t>
  </si>
  <si>
    <t>RS St. Carolus Borromeus</t>
  </si>
  <si>
    <t>Jl. H.R. Koroh, km. 08, Kel. Bello, Kec. Maulafa, Kota Kupang, NTT</t>
  </si>
  <si>
    <t>RS Umum Daerah S. K. Lerik</t>
  </si>
  <si>
    <t xml:space="preserve">    Jl. Timor Raya  No. 134 Kelurahan Pasir Panjang Kecamatan Kota Lama Kota Kupang Nusa Tenggara Timur (85227)</t>
  </si>
  <si>
    <t>RS Umum Kartini Kupang</t>
  </si>
  <si>
    <t>Jl. Frans Seda No. 17 RT.34 RW.09 Kelurhan Tuak Daun Merah, Kecamatan Oebobo, Kota kUpang-NTT</t>
  </si>
  <si>
    <t>RS Umum Leona Noelbakti</t>
  </si>
  <si>
    <t>Kupang</t>
  </si>
  <si>
    <t>Jl. Timor Raya Km. 17 Noelbaki Kab. Kupang</t>
  </si>
  <si>
    <t>RS Umum Daerah Naibonat</t>
  </si>
  <si>
    <t xml:space="preserve"> Jl. Timor Raya KM.37 Oelamasi, Kupang</t>
  </si>
  <si>
    <t>RS Umum Daerah Lewoleba</t>
  </si>
  <si>
    <t>Lembata</t>
  </si>
  <si>
    <t>Jl.Trans Lembata No.1 Lewoleba Lembata</t>
  </si>
  <si>
    <t>RS Damian Lembata</t>
  </si>
  <si>
    <t>jalan Trans Nagawutung</t>
  </si>
  <si>
    <t>RS  Bukit Lewoleba</t>
  </si>
  <si>
    <t xml:space="preserve">Jl. Trans Atadei Kel. Lewoleba Barat </t>
  </si>
  <si>
    <t>RS Umum Penyangga Perbatasan Betun</t>
  </si>
  <si>
    <t>Malaka</t>
  </si>
  <si>
    <t>Jl. Sukabihanawa No. 02 Desa Kamanasa Kec.Malaka Tengah,Kabupaten Malaka,Propinsi NTT</t>
  </si>
  <si>
    <t>RS Umum Daerah Ruteng</t>
  </si>
  <si>
    <t>Manggarai</t>
  </si>
  <si>
    <t>Jl. Dr. Soetomo No. 1 Ruteng, Kab. Manggarai</t>
  </si>
  <si>
    <t>RS  ST Rafael Cancar</t>
  </si>
  <si>
    <t>Jl.Ruteng-Labuan Bajo, Kel. Wae Belang</t>
  </si>
  <si>
    <t>RS Pratama Reo</t>
  </si>
  <si>
    <t>Jl. Pelabuhan Reo Wangkung. Kec. Reok</t>
  </si>
  <si>
    <t>RS Siloam Labuan Bajo</t>
  </si>
  <si>
    <t>Manggarai Barat</t>
  </si>
  <si>
    <t>Jl. Gabriel GampurKecamatan Komodo - Labuan BajoKab. Manggarai Barat</t>
  </si>
  <si>
    <t>RS Umum Santo Yoseph Labuan bajo</t>
  </si>
  <si>
    <t>Jl. Eduardus Sangsung Kel. Wae Kelambu Kec. Komodo</t>
  </si>
  <si>
    <t>RS Umum Daerah Borong</t>
  </si>
  <si>
    <t>Manggarai Timur</t>
  </si>
  <si>
    <t>Lehong, Desa Gurung Liwut, Kecamatan Borong</t>
  </si>
  <si>
    <t>RS Pratama Watunggong</t>
  </si>
  <si>
    <t>Desa Satar Nawang Kec. Congkar Kab. Manggarai Timur</t>
  </si>
  <si>
    <t>RS Umum Daerah Aeramo Kabupaten Nagekeo</t>
  </si>
  <si>
    <t>Nagekeo</t>
  </si>
  <si>
    <t>Desa Aeramo, Kecamatan Aesesa Kabupaten Nagekeo</t>
  </si>
  <si>
    <t>RSUD Pratama Raja</t>
  </si>
  <si>
    <t>DESA RAJA TIMUR KECAMATAN BOAWAE KABUPATEN NAGEKEO</t>
  </si>
  <si>
    <t>RS Umum Bajawa</t>
  </si>
  <si>
    <t>Ngada</t>
  </si>
  <si>
    <t>Jl. Diponegoro No. 5, Bajawa</t>
  </si>
  <si>
    <t xml:space="preserve">RS Umum Daerah Rote Ndao Ba'a </t>
  </si>
  <si>
    <t>Rote Ndao</t>
  </si>
  <si>
    <t xml:space="preserve"> Jl. Prof. Adrianus Mooy, Kel. Mokdale, Kec. Lobalain, Kab. Rote Ndao</t>
  </si>
  <si>
    <t>RS Pratama Raijua</t>
  </si>
  <si>
    <t>Sabu Raijua</t>
  </si>
  <si>
    <t>Kelurahan Ledeunu Kecamatan Raijua, Kabupaten Sabu Raijua</t>
  </si>
  <si>
    <t>RS Umum Daerah Sabu Raijua</t>
  </si>
  <si>
    <t>Jl. El-Tari Seba, Menia</t>
  </si>
  <si>
    <t>RS Umum Dr TC Hillers Maumere</t>
  </si>
  <si>
    <t>Sikka</t>
  </si>
  <si>
    <t xml:space="preserve">   Jl. Wairklau, Kel. Kota Uneng, Kec. Alok, Kabupaten Sikka, Nusa Tenggara Timur</t>
  </si>
  <si>
    <t>RS St Elizabeth Lela</t>
  </si>
  <si>
    <t>Lela Maumere,Kab.Sikka</t>
  </si>
  <si>
    <t>RS Umum St. Gabriel Kewapante Sikka</t>
  </si>
  <si>
    <t>Kewapante Kabupaten Sikka</t>
  </si>
  <si>
    <t>RS Umum Waikabubak</t>
  </si>
  <si>
    <t>Sumba Barat</t>
  </si>
  <si>
    <t xml:space="preserve"> Jl. Adhyaksa, Km.3, Kel. Diratana, Kec. Loli, Waikabubak</t>
  </si>
  <si>
    <t>RS Umum Hobakalla</t>
  </si>
  <si>
    <t>Desa Patiala Bawa Kec. Lamboya</t>
  </si>
  <si>
    <t>RS Kristen Lende Moripa</t>
  </si>
  <si>
    <t>Jl. El Tari No.2 Waikabubak</t>
  </si>
  <si>
    <t>RS Karitas Weetabula</t>
  </si>
  <si>
    <t>Sumba Barat Daya</t>
  </si>
  <si>
    <t>Jl. Bulgur No 1 - Weetebula</t>
  </si>
  <si>
    <t>RS Umum Daerah Reda Bolo</t>
  </si>
  <si>
    <t>Jl. Welonda, Desa Watu Kawula, Kec. Kota Tambolaka, Kab. Sumba Barat Daya</t>
  </si>
  <si>
    <t>RS Umum Daerah Waibakul</t>
  </si>
  <si>
    <t>Sumba Tengah</t>
  </si>
  <si>
    <t>Jl. Lintas Waihibur Desa Umbu Mamijuk Kecamatan Umbu Ratu Nggay Barat Kabupaten Sumba Tengah</t>
  </si>
  <si>
    <t>RS Ibu dan Anak Mitra Ananda</t>
  </si>
  <si>
    <t>Sumba Timur</t>
  </si>
  <si>
    <t>Jl. Ahmad Yani No. 29, Waingapu, Sumba Timur, NTT</t>
  </si>
  <si>
    <t>RS Umum Daerah Waingapu</t>
  </si>
  <si>
    <t xml:space="preserve">  Jl. Adam Malik No.54 Kel. Kambajawa - Kecamatan Kota Waingapu</t>
  </si>
  <si>
    <t>RS Kristen Lindimara</t>
  </si>
  <si>
    <t>Jl. Prof.DR WZ. Johannes No.6,Waingapu</t>
  </si>
  <si>
    <t>RS Umum Imanuel Sumba</t>
  </si>
  <si>
    <t>Jl. Nangka No.4,Waingapu-Sumba Timur</t>
  </si>
  <si>
    <t>RS Pratama Umbu Hunga Meha Nggongi</t>
  </si>
  <si>
    <t>Jl. Lintas Waingapu-Nggongi, Desa Nggongi Kec. Karera</t>
  </si>
  <si>
    <t>RS Umum Soe</t>
  </si>
  <si>
    <t>Timor Tengah Selatan</t>
  </si>
  <si>
    <t xml:space="preserve">   Jl. Boegenville No.7 Soe - Timor Tengah Selatan</t>
  </si>
  <si>
    <t>RS Umum Muder Ignacia</t>
  </si>
  <si>
    <t>Jalan Kakatua No. 38 Kelurahan Nunumeu Kecamatan Kota Soe</t>
  </si>
  <si>
    <t>RS Pratama Kualin</t>
  </si>
  <si>
    <t>Jl. Lintas Selatan, Desa Tuafanu No. 1, Kec. Kualin</t>
  </si>
  <si>
    <t>RS Umum Daerah Kefamenanu</t>
  </si>
  <si>
    <t>Timor Tengah Utara</t>
  </si>
  <si>
    <t xml:space="preserve"> Jl. Letjen Suprapto Kefamenanu</t>
  </si>
  <si>
    <t>RS Umum Leona</t>
  </si>
  <si>
    <t>Jl. Eltari Kelurahan Maubeli, Kec. Kota Kefamenanu</t>
  </si>
  <si>
    <t>RS Umum Bunda Pembantu Abadi Naob</t>
  </si>
  <si>
    <t>Desa Naob Kecamatan Noemuti Timur</t>
  </si>
  <si>
    <t>Papua</t>
  </si>
  <si>
    <t>RS Angkatan Laut dr. R Gandhi AT</t>
  </si>
  <si>
    <t>Biak Numfor</t>
  </si>
  <si>
    <t>Komplek TNI AL Lanal Biak Jalan Jenderal Sudirman Kelurahan Waupnor Kecamatan Biak Kota Kabupaten Biak Numfor Provinsi Papua (98515)</t>
  </si>
  <si>
    <t>RS Umum Biak</t>
  </si>
  <si>
    <t xml:space="preserve"> Jl. Sriwijaya Ridge I Biak, Kecamatan Samofa, Kabupaten Biak Numfor, Propinsi Papua</t>
  </si>
  <si>
    <t>RS Umum Daerah Yowari Sentani</t>
  </si>
  <si>
    <t>Jayapura</t>
  </si>
  <si>
    <t xml:space="preserve">    Jl. Raya Sentani - Depapre,Doyo Baru</t>
  </si>
  <si>
    <t>RS Umum Daerah Kwaingga Kabupaten Keerom</t>
  </si>
  <si>
    <t>Keerom</t>
  </si>
  <si>
    <t>JLN. BHAYANGKARA ARSO SWAKARSA</t>
  </si>
  <si>
    <t>RS Umum Daerah Serui</t>
  </si>
  <si>
    <t>Kepulauan Yapen</t>
  </si>
  <si>
    <t>Jl. Pertanian Wainakawini - Distrik Anotaurei,Kelurahan Anotaurei, Serui - Papua</t>
  </si>
  <si>
    <t>RS Jiwa Abepura</t>
  </si>
  <si>
    <t>Kota Jayapura</t>
  </si>
  <si>
    <t>Jl. Kesehatan II Abepura. Kelurahan Awiyo. Kecamatan Abepura. Kota Jayapura, Papua. 99351.</t>
  </si>
  <si>
    <t>RS Umum Jayapura</t>
  </si>
  <si>
    <t xml:space="preserve"> Jl. Kesehatan I No. 01 Dok II Jayapura, Kel. Bhayangkara Kec. Jayapura Utara Kota Jayapura Provinsi Papua</t>
  </si>
  <si>
    <t>RS TNI Angkatan Laut dr. Soedibjo Sardadi</t>
  </si>
  <si>
    <t>Jl. Amphibi No.1 Hamadi Jayapura</t>
  </si>
  <si>
    <t>RS Umum Abepura</t>
  </si>
  <si>
    <t>Jl. Kesehatan No. I Abepura, jayapura</t>
  </si>
  <si>
    <t>RS Dian Harapan</t>
  </si>
  <si>
    <t>Jl. Teruna Bakti Waena Jayapura</t>
  </si>
  <si>
    <t>RS Provita Jayapura</t>
  </si>
  <si>
    <t>Jl. Sam Ratulangi No. 39 APO Jayapura Utara</t>
  </si>
  <si>
    <t>RS Bhayangkara Jayapura</t>
  </si>
  <si>
    <t>Jl. Jeruk Nipis Furia Kotaraja,Jayapura</t>
  </si>
  <si>
    <t>RS TNI Angkatan Darat Marthen Indey Jayapura</t>
  </si>
  <si>
    <t xml:space="preserve">Jln. Diponegoro No. 57 Kelurahan Gurabesi </t>
  </si>
  <si>
    <t>RS Umum Daerah Ramela Muara Tami</t>
  </si>
  <si>
    <t>Jl. Protokol Koya Barat, Kel. Koya Barat, Distrik Muara Tami, Kota Jayapura, Provinsi Papua</t>
  </si>
  <si>
    <t>RS Umum Daerah Kawera</t>
  </si>
  <si>
    <t>-</t>
  </si>
  <si>
    <t>Mamberamo Raya</t>
  </si>
  <si>
    <t xml:space="preserve">  Jln. Demianus Kyeuw-kyeuw, SH</t>
  </si>
  <si>
    <t>RS Hendrik Fintay Kabupaten Sarmi</t>
  </si>
  <si>
    <t>Sarmi</t>
  </si>
  <si>
    <t>Jl Trans Jayapura-Sarmi Kampung Dabe Distrik Pantai Timur Bagian Barat Kabupaten Sarmi Provinsi Papua</t>
  </si>
  <si>
    <t>RS Umum Daerah Supiori</t>
  </si>
  <si>
    <t>Supiori</t>
  </si>
  <si>
    <t>Jl. Raya Korido Marsram, Desa/kelurahan Masram, Distrik/Kecamatan Supiori Timur, Kabupaten  Supiori, Kota Sorendiweri, 98573 Provinsi Papua.</t>
  </si>
  <si>
    <t xml:space="preserve">RS Umum Daerah Rumah Rodo Fabo </t>
  </si>
  <si>
    <t>Waropen</t>
  </si>
  <si>
    <t>Jl. HKBP Roberth Suweni No.1, Batu Zaman, Ware</t>
  </si>
  <si>
    <t>Papua Barat</t>
  </si>
  <si>
    <t>RS Umum Daerah Fakfak</t>
  </si>
  <si>
    <t>Fakfak</t>
  </si>
  <si>
    <t>Jalan Jend. Sudirman â€“ Kel. Wagom Distrik Pariwari Fakfak Papua Barat Kode Pos 98613</t>
  </si>
  <si>
    <t>RS Umum Daerah Kaimana</t>
  </si>
  <si>
    <t>Kaimana</t>
  </si>
  <si>
    <t>Jl. Perempatan Kaimana-Tanggaromi, Km 01, Distrik Kaimana, Kabupaten Kaimana, Provinsi Papua Barat 98654</t>
  </si>
  <si>
    <t>RS Umum Daerah Provinsi Papua Barat</t>
  </si>
  <si>
    <t>Manokwari</t>
  </si>
  <si>
    <t>Jl. Angkasa Mulyono Kompleks Irman Jaya Manokwari Papua Barat 98312</t>
  </si>
  <si>
    <t>RS Umum Daerah Manokwari</t>
  </si>
  <si>
    <t>Jl. Bhayangkara No. 1 Kelurahan Manokwari Timur, Kecamatan Manokwari Barat, Kabupaten Manokwari, Propinsi Papua Barat. Kode Pos 98312</t>
  </si>
  <si>
    <t>RS Bhayangkara Lodewijk Mandatjan</t>
  </si>
  <si>
    <t>Jl. Trikora Maripi KM 21</t>
  </si>
  <si>
    <t>RS AL dr. Azhar Zahir Manokwari</t>
  </si>
  <si>
    <t>Jl. Serma Suwandi No. 01 Manokwari</t>
  </si>
  <si>
    <t>RS Pratama Warmare</t>
  </si>
  <si>
    <t>Jln. Poros Prafi, Kampung Indisey, Distrik Prafi, Manokwari, Papua Barat (98316)</t>
  </si>
  <si>
    <t>RS Divari Medical Center</t>
  </si>
  <si>
    <t>Jl. Drs. Esau Sesa RT. 001 RW. 008 Kel. Wosi Kec. Manokwari Barat</t>
  </si>
  <si>
    <t>RS Tk.IV 18.07.02 J. A. Dimara</t>
  </si>
  <si>
    <t>Jl. Brawijaya No.30, Kel. Manokwari Timur, Distrik Manokwari Barat, Kab. Manokwari, Papua Barat. 98312</t>
  </si>
  <si>
    <t>RS Umum Elia Waran</t>
  </si>
  <si>
    <t>Manokwari Selatan</t>
  </si>
  <si>
    <t xml:space="preserve">Jl. Otawar, Distrik Oransbari, Kabupaten Manokwari Selatan, Provinsi Papua Barat </t>
  </si>
  <si>
    <t>RS Umum Daerah Teluk Bintuni</t>
  </si>
  <si>
    <t>Teluk Bintuni</t>
  </si>
  <si>
    <t>Jl. Raya Sibena Km.7, Kampung Wesiri, Kelurahan Bintuni Barat, Kecamatan Bintuni, Kabupaten Teluk Bintuni, Provinsi Papua Barat</t>
  </si>
  <si>
    <t>RS Umum Daerah Dr. Alberth H. Torey</t>
  </si>
  <si>
    <t>Teluk Wondama</t>
  </si>
  <si>
    <t>Jl. Raya Manggurai - Rasiei</t>
  </si>
  <si>
    <t>Papua Barat Daya</t>
  </si>
  <si>
    <t>RS Umum Daerah Sele Be Solu</t>
  </si>
  <si>
    <t>Kota Sorong</t>
  </si>
  <si>
    <t>Jl Selebesolu II No. 1 Km 12 Klawalu Kota Sorong</t>
  </si>
  <si>
    <t>RS Mutiara</t>
  </si>
  <si>
    <t>JL. MALEO NO 2A HBM, Desa/Kelurahan Remu Utara, Kec. Sorong, Kota Sorong, Provinsi Papua Barat,</t>
  </si>
  <si>
    <t>RS Kasih Herlina</t>
  </si>
  <si>
    <t>Jl. Selat Makassar No. 7 Kel. Remu Selatan</t>
  </si>
  <si>
    <t>RS Angkatan Laut dr. R. Oetojo</t>
  </si>
  <si>
    <t>Jl. Jend. Ahmad Yani Klademak IIIC</t>
  </si>
  <si>
    <t>RS Pertamina Sorong</t>
  </si>
  <si>
    <t>Jl. Ahmad Yani No.13 Sorong</t>
  </si>
  <si>
    <t>RS Tk. IV dr. Aryoko</t>
  </si>
  <si>
    <t>Jl. Basuki Rahmat KM. 10, Klawalu Distrik Sorong Timur, Papua Barat Daya</t>
  </si>
  <si>
    <t>RS Umum Pratama Type D Kab. Maybrat</t>
  </si>
  <si>
    <t>Maybrat</t>
  </si>
  <si>
    <t>Jl. Susumuk-Kumurkek Sonere Aifat Maybrat Papua Barat Daya</t>
  </si>
  <si>
    <t>RS Umum Daerah Raja Ampat</t>
  </si>
  <si>
    <t>Raja Ampat</t>
  </si>
  <si>
    <t>Jl. Jendral Basuki Rahmat, Kelurahan Warmasen, Distrik Waisai Kota, Kabupaten Raja Ampat, Provinsi Papua Barat Daya</t>
  </si>
  <si>
    <t>RS Umum Daerah Kabupaten Sorong</t>
  </si>
  <si>
    <t>Sorong</t>
  </si>
  <si>
    <t>Jl. Sorong Klamono KM. 22 Kel. Klafma Distrik Aimas</t>
  </si>
  <si>
    <t>RS Umum Daerah Scholoo Keyen</t>
  </si>
  <si>
    <t>Sorong Selatan</t>
  </si>
  <si>
    <t xml:space="preserve"> Jl. Teminabuan - Ayamaru Kampung Keyen - Teminabuan</t>
  </si>
  <si>
    <t>RS Umum Kelas D Pratama Kab. Tambrauw</t>
  </si>
  <si>
    <t>Tambrauw</t>
  </si>
  <si>
    <t>Jl. Irawiam Distrik Fef Kab. Tambrauw</t>
  </si>
  <si>
    <t>Papua Pegunungan</t>
  </si>
  <si>
    <t>RS Umum Daerah Tiom</t>
  </si>
  <si>
    <t>Lanny Jaya</t>
  </si>
  <si>
    <t>Jl. Abua - Tiom, Distrik Tiom, Kab. Lanny Jaya</t>
  </si>
  <si>
    <t>RS Umum Daerah Lukas Enembe Kab. Memberamo Tengah</t>
  </si>
  <si>
    <t>Mamberamo Tengah</t>
  </si>
  <si>
    <t>Jln. Poros Gimbis Nomor 1, Distrik Kobakma, Kab. Mamberamo Tengah</t>
  </si>
  <si>
    <t>RS Pratama Elvrida Sara</t>
  </si>
  <si>
    <t>Nduga</t>
  </si>
  <si>
    <t>Jl. Kompleks Rumah Sakit Distrik Kenyam</t>
  </si>
  <si>
    <t>RS Umum Daerah Oksibil</t>
  </si>
  <si>
    <t>Pegunungan Bintang</t>
  </si>
  <si>
    <t xml:space="preserve"> jl. Poros Kabiding No. 2 Oksibil</t>
  </si>
  <si>
    <t>RS Umum Daerah Karubaga</t>
  </si>
  <si>
    <t>Tolikara</t>
  </si>
  <si>
    <t>Jl.Igari, Kompleks Perkantoran Pemerintah Daerah Tolikara, Desa Igari Distrik Wenam  Kab.Tolikara Prov. Papua Pegunungan Kode Pos 99562</t>
  </si>
  <si>
    <t>RS Umum Daerah Dekai</t>
  </si>
  <si>
    <t>Yahukimo</t>
  </si>
  <si>
    <t>Jl.  Jendral Sudirman, Distrik Dekai , Papua Pegunungan</t>
  </si>
  <si>
    <t>RS Umum Daerah Er Dabi</t>
  </si>
  <si>
    <t>Yalimo</t>
  </si>
  <si>
    <t>Jl. Trans Wamena Jayapura KM. 123 Heahobak Distrik Abenaho Kab. Yalimo</t>
  </si>
  <si>
    <t>Papua Selatan</t>
  </si>
  <si>
    <t>RS Umum Daerah Perpetua J. Safanpo</t>
  </si>
  <si>
    <t>Asmat</t>
  </si>
  <si>
    <t>Jl. Zegward, Bis Agats, Kab. Asmat</t>
  </si>
  <si>
    <t>RS Umum Daerah Boven Digoel</t>
  </si>
  <si>
    <t>Boven Digoel</t>
  </si>
  <si>
    <t>Jl. Trans Papua KM 4, Kel. Persatuan, Kec. Mandobo</t>
  </si>
  <si>
    <t>RS Bergerak Kab. Boven Digoel</t>
  </si>
  <si>
    <t>Jl. Trans Papua Kampung Osso - Distrik Mindiptana</t>
  </si>
  <si>
    <t>RS Umum Daerah Kabupaten Mappi</t>
  </si>
  <si>
    <t>Mappi</t>
  </si>
  <si>
    <t>Jl. Poros Agham Km.6, Kelurahan Kepi, Distrik Obaa, Kabupaten Mappi Provinsi Papua Selatan</t>
  </si>
  <si>
    <t>RS Umum Merauke</t>
  </si>
  <si>
    <t>Merauke</t>
  </si>
  <si>
    <t>Jl. Soekarjo Wiryopranoto No. 1 Merauke</t>
  </si>
  <si>
    <t>RS Bunda pengharapan Merauke</t>
  </si>
  <si>
    <t>Jl. Tujuh Wali-Wali, RT 020, RW 004, Kelurahan Kamundu, Kecamatan Merauke, Kabupaten Merauke, Papua</t>
  </si>
  <si>
    <t>RS Tk. IV 17.07.01 Jenderal LB Moerdani</t>
  </si>
  <si>
    <t>Jl. Poros L.B. Moerdani, Kel. Kamangi, Kec. Tanah Miring, Kab. Merauke, Prov. Papua Selatan</t>
  </si>
  <si>
    <t>RS TNI Angkatan Laut Merauke</t>
  </si>
  <si>
    <t>JL. Trikora No.7 Merauke</t>
  </si>
  <si>
    <t>Papua Tengah</t>
  </si>
  <si>
    <t>RS Umum Daerah Pratama Waghete</t>
  </si>
  <si>
    <t>Deiyai</t>
  </si>
  <si>
    <t xml:space="preserve">Jl. Poros Waghete </t>
  </si>
  <si>
    <t>RS Umum Daerah Pratama Dogiyai</t>
  </si>
  <si>
    <t>Dogiyai</t>
  </si>
  <si>
    <t>Kampung Ekimani Distrik Kamu Utara Kabupaten Dogiyai</t>
  </si>
  <si>
    <t>RS Umum Daerah Kabupaten Intan Jaya</t>
  </si>
  <si>
    <t>Intan Jaya</t>
  </si>
  <si>
    <t>Jln. Kali Wabu Wandoga, Yokatapa, Distrik Sugapa</t>
  </si>
  <si>
    <t>RS Umum Daerah Kabupaten Mimika</t>
  </si>
  <si>
    <t>Mimika</t>
  </si>
  <si>
    <t xml:space="preserve"> Jl. Yos Sudarso KM 4. Nomor 00, Kelurahan Mawokauw Jaya, Kecamatan Wania, Kabupaten  Mimika, Propinsi Papua Tengah</t>
  </si>
  <si>
    <t>RS Mitra Masyarakat Timika</t>
  </si>
  <si>
    <t>Jl. Charitas No. 1- Papua Tengah</t>
  </si>
  <si>
    <t>RS TNI AD Tk. IV Timika</t>
  </si>
  <si>
    <t>Jl. Agimuga Mile 32 Desa Karang Senang Distrik Kuala Kencana</t>
  </si>
  <si>
    <t>Jl. A. Yani No. 37</t>
  </si>
  <si>
    <t>RS Bhayangkara Dhira Brata Cartenz</t>
  </si>
  <si>
    <t>Jl. Agimuga Mile 32 Asrama Polres Mimika</t>
  </si>
  <si>
    <t>RS Umum Nabire</t>
  </si>
  <si>
    <t>Nabire</t>
  </si>
  <si>
    <t xml:space="preserve">  Jl. R.E Martadinata Nabire, Siriwini, Papua Tengah</t>
  </si>
  <si>
    <t>RS Umum Daerah Paniai</t>
  </si>
  <si>
    <t>Paniai</t>
  </si>
  <si>
    <t xml:space="preserve"> Jl. Raya Madi KM.7, Paniai Timur, Paniai, Papua Tengah</t>
  </si>
  <si>
    <t>RS Umum Daerah Ilaga</t>
  </si>
  <si>
    <t>Puncak</t>
  </si>
  <si>
    <t>Kampung Kibogolome Distrik Ilaga</t>
  </si>
  <si>
    <t>RS Umum Daerah Mulia</t>
  </si>
  <si>
    <t>Puncak Jaya</t>
  </si>
  <si>
    <t xml:space="preserve"> Jl. Papua, Pruleme, Distrik Mulia Kabupaten Puncak Jaya</t>
  </si>
  <si>
    <t>Riau</t>
  </si>
  <si>
    <t>RS Umum Daerah  Bengkalis</t>
  </si>
  <si>
    <t>Bengkalis</t>
  </si>
  <si>
    <t>Jl Kelapapati Tengah No.90, Bengkalis</t>
  </si>
  <si>
    <t>RS Umum  Permata Hati</t>
  </si>
  <si>
    <t>Jl Jend. Sudirman No. 37,Kelurahan Gajah Sakti,Kecamatan Mandau,Kabupaten Bengkalis,Duri-RIAU,28784</t>
  </si>
  <si>
    <t>RS Umum Daerah  Kec.Mandau</t>
  </si>
  <si>
    <t>Jl Stadion No.10 Duri Bengkalis</t>
  </si>
  <si>
    <t>RS Umum  Thursina</t>
  </si>
  <si>
    <t>Jl Hangtuah No. 93</t>
  </si>
  <si>
    <t>RS Umum  Mutia Sari</t>
  </si>
  <si>
    <t>Jl. Bathin Betuah No. 1A, Air Jamban, Mandau, Bengkalis</t>
  </si>
  <si>
    <t>RS Pertamina Hulu Rokan</t>
  </si>
  <si>
    <t>Komplek Merapi Camp PT Pertamina Hulu Rokan Duri, Kelurahan Pematang Pudu, Kecamatan Mandau, Kabupaten Bengkalis, Provinsi Riau</t>
  </si>
  <si>
    <t>RS Ibu dan Anak Bunda Puja</t>
  </si>
  <si>
    <t>Indragiri Hilir</t>
  </si>
  <si>
    <t>Jl. Batang Tuaka No. 1, RT/RW 001/002, Kel. Pekan Arba Kec. Tembilahan</t>
  </si>
  <si>
    <t>RS Umum Daerah  Puri Husada Tembilahan</t>
  </si>
  <si>
    <t xml:space="preserve">Jl Veteran No. 52 Tembilahan </t>
  </si>
  <si>
    <t>RS Umum Daerah  Tengku Sulung</t>
  </si>
  <si>
    <t>Jl Penunjang Pulau Kijang, Kec.Reteh, Kab. Inhil, Prov Riau</t>
  </si>
  <si>
    <t>RS Umum Daerah  Raja Musa</t>
  </si>
  <si>
    <t>Jl Tunas Harapan Sungai Guntung Kecamatan Kateman, Kabupaten Indragiri hilir, Provinsi Riau</t>
  </si>
  <si>
    <t>RS Ibu dan Anak  Safira</t>
  </si>
  <si>
    <t>Indragiri Hulu</t>
  </si>
  <si>
    <t>Jl. Jendral Sudirman No.79 Air Molek, Kel. Sekar Mawar, Kec. Pasir Penyu, Kab. Indragiri Hulu, Prov. Riau</t>
  </si>
  <si>
    <t>RS Umum Daerah  Indrasari Rengat</t>
  </si>
  <si>
    <t>Jl Lintas Timur Sumatera Rengat Kec. Rengat Barat Kab. Indragiri Hulu Prov. Riau</t>
  </si>
  <si>
    <t>RS Muizzah</t>
  </si>
  <si>
    <t>Jl. Lintas Timur Belilas Kel. Pangkalan Kasai</t>
  </si>
  <si>
    <t>RS Umum  Kasih Ibu Rengat</t>
  </si>
  <si>
    <t>Jl Azki Aris Kampung Dagang Rengat</t>
  </si>
  <si>
    <t>RS Ibu Anak  Bunda Anisyah</t>
  </si>
  <si>
    <t>Kampar</t>
  </si>
  <si>
    <t>JL. Raya Pekanbaru-Bangkinang KM 52, Kampar</t>
  </si>
  <si>
    <t>RS Ibu Anak  Norfa Husada</t>
  </si>
  <si>
    <t>JL. MAYOR ALI RASYID NO 17 ABCD BANGKINANG KOTA, KABUPATEN KAMPAR, PROVINSI RIAU</t>
  </si>
  <si>
    <t>RS Ibu Anak  Husada Bunda</t>
  </si>
  <si>
    <t>Jl Prof. M. Yamin, SH Salo, Kec.Salo Kab. Kampar, Riau 28451</t>
  </si>
  <si>
    <t>RS Umum Pelita</t>
  </si>
  <si>
    <t>Jl. Raya Pekanbaru â€“ Sungai Pagar, RT.001/RW.001 Dusun I Harapan Makmur, Desa Lubuk Sakat, Kec. Perhentian Raja.</t>
  </si>
  <si>
    <t>RS Umum Daerah  Bangkinang</t>
  </si>
  <si>
    <t>Jl Lingkar Bangkinang-Batu Belah, Kampar, Riau</t>
  </si>
  <si>
    <t>RS Nurlima</t>
  </si>
  <si>
    <t>Jl. Raya Lintas Pekanbaru-Taluk Kuantan Km 62 Desa Lipat Kain Selatan, Kec. Kampar Kiri</t>
  </si>
  <si>
    <t>RS Umum  Tandun</t>
  </si>
  <si>
    <t>Desa Talang danto, Kec. Tapung Hulu, Kab. Kampar, Prov. Riau</t>
  </si>
  <si>
    <t>RS Umum  Mesra</t>
  </si>
  <si>
    <t>Jl Raya Pasir Putih No. 3A-C Kec. Siak Hulu, Kabupaten Kampar, Riau</t>
  </si>
  <si>
    <t>RS Umum Daerah  Kabupaten Kepulauan Meranti</t>
  </si>
  <si>
    <t>Kepulauan Meranti</t>
  </si>
  <si>
    <t>Jl Dorak</t>
  </si>
  <si>
    <t>RS Umum Daerah  Kota Dumai</t>
  </si>
  <si>
    <t>Kota Dumai</t>
  </si>
  <si>
    <t>Jl Tanjung Jati No.4, Buluh Kasap Kecamatan Dumai Timur Kota Dumai . Provinsi Riau</t>
  </si>
  <si>
    <t>Naray Hospital</t>
  </si>
  <si>
    <t>Jl. Dr. Wahidin No. 98 â€“ 99, Kel. Purnama, Kec. Dumai Barat, Kota Dumai Riau</t>
  </si>
  <si>
    <t>RS Awal Bros Dumai</t>
  </si>
  <si>
    <t>Jl. Jenderal Sudirman No. 88, RT 013 RW 000, Kel. Bintan, Kec. Dumai Kota</t>
  </si>
  <si>
    <t>RS Bhayangkara Dumai</t>
  </si>
  <si>
    <t>Jl. Hangtuah No.01 Kel. Buluh Kasap Kec. Dumai Timur</t>
  </si>
  <si>
    <t>RS Graha Yasmine</t>
  </si>
  <si>
    <t>Jl. Marlan Jaya, Bukit Datuk, Kec. Dumai Selatan, Kota Dumai</t>
  </si>
  <si>
    <t>RS Pertamina Dumai</t>
  </si>
  <si>
    <t>Jl Raya Bukit Datuk,Dumai</t>
  </si>
  <si>
    <t>RS Ibu Anak  Budhi Mulia</t>
  </si>
  <si>
    <t>Kota Pekanbaru</t>
  </si>
  <si>
    <t>Jl Soekarno Hatta no 228 Pekanbaru</t>
  </si>
  <si>
    <t>RS Ibu dan Anak  Zainab</t>
  </si>
  <si>
    <t>Jl Ronggowarsito I No I Kelurahan Sukamaju Kecamatan Sail Kota Pekanbaru</t>
  </si>
  <si>
    <t>Jl Garuda No.66 Kel.Tangkerang Tengah Kec.Marpoyan Damai</t>
  </si>
  <si>
    <t>RS Ibu dan Anak Hermina Rumbai</t>
  </si>
  <si>
    <t>Jl. Khayangan No.53, Limbungan Baru, Rumbai Pesisir, Pekanbaru City, Riau 28261</t>
  </si>
  <si>
    <t>RS Ibu dan Anak Andini</t>
  </si>
  <si>
    <t>Jl. Tuanku Tambusai No. 55 Pekanbaru Kelurahan Tangkerang Barat / Kecamatan Marpoyan Damai Provinsi Riau</t>
  </si>
  <si>
    <t>RS Jiwa Tampan</t>
  </si>
  <si>
    <t>Jl H.R. Subrantas Km.12,5 Pekanbaru</t>
  </si>
  <si>
    <t>RS Khusus  Mata SMEC Pekanbaru</t>
  </si>
  <si>
    <t>Jl Arifin Ahmad No. 92 Kecamatan Marpoyan Damai Kota Pekanbaru</t>
  </si>
  <si>
    <t xml:space="preserve">RS Khusus Mata Pekanbaru Eye Center </t>
  </si>
  <si>
    <t>Jl Soekarno Hatta No 236 Pekanbaru</t>
  </si>
  <si>
    <t>RS Umum  Awal Bros Pekanbaru</t>
  </si>
  <si>
    <t>Jl Jend. Sudirman No.117, Kelurahan Tangkerang Selatan, Kecamatan Bukit Raya - Riau, Kode Pos 28282</t>
  </si>
  <si>
    <t>RS Santa Maria Pekanbaru</t>
  </si>
  <si>
    <t>Jl Ahmad Yani No. 68 Rt/Rw 001/001 Kel.Pulau Karam Kec. Sukajadi</t>
  </si>
  <si>
    <t>RS Umum  Awal Bros Panam</t>
  </si>
  <si>
    <t>Jl HR. Soebrantas No 88 Panam, Kelurahan Sialang Munggu, Kecamatan Tuah Madani, Kota Pekanbaru, Provinsi Riau. Kodepos:  28293</t>
  </si>
  <si>
    <t>RS Umum  Eka Hospital Pekanbaru</t>
  </si>
  <si>
    <t>Jl Soekarno- Hatta Km.6,5</t>
  </si>
  <si>
    <t>RS Umum Daerah  Arifin Achmad</t>
  </si>
  <si>
    <t>Jl Diponegoro No. 2, Pekanbaru</t>
  </si>
  <si>
    <t>RS Bhayangkara Tk. III Kota Pekanbaru</t>
  </si>
  <si>
    <t>JL KARTINI NO. 14 PEKANBARU</t>
  </si>
  <si>
    <t>RS Umum  Lancang Kuning</t>
  </si>
  <si>
    <t>Jl Ronggowarsito Ujung No.5A Pekanbaru</t>
  </si>
  <si>
    <t>RS Daerah Madani Kota Pekanbaru</t>
  </si>
  <si>
    <t>Jl. Garuda Sakti Pekanbaru KM 2</t>
  </si>
  <si>
    <t>RS Prof. Dr. Tabrani</t>
  </si>
  <si>
    <t>Jl Jend. Sudirman 410, Pekanbaru</t>
  </si>
  <si>
    <t>RS Umum  Sansani</t>
  </si>
  <si>
    <t>Jl Soekarno Hatta (Arengka Atas) Pekanbaru</t>
  </si>
  <si>
    <t xml:space="preserve">RS Umum Daerah  Petala Bumi </t>
  </si>
  <si>
    <t>Jl Dr. Soetomo No.65 Kota Pekanbaru Provinsi Riau</t>
  </si>
  <si>
    <t>RS Angkatan Udara dr. Sukirman Lanud Roesmin Nurjadin</t>
  </si>
  <si>
    <t>Jl. Adi Sucipto No. 123 Kelurahan Maharatu Kecamatan Marpoyan Damai Kota Pekanbaru Provinsi Riau</t>
  </si>
  <si>
    <t>RS Umum  Pekanbaru Medical Center</t>
  </si>
  <si>
    <t>Jl Lembaga Pemasyarakatan No.25, Gobah Pekanbaru</t>
  </si>
  <si>
    <t>RS Awal Bros A. Yani</t>
  </si>
  <si>
    <t>Jln. Jend. A. Yani No. 73</t>
  </si>
  <si>
    <t>RS Hermina Pekanbaru</t>
  </si>
  <si>
    <t>Jl. Tuanku Tambusai RT. 03 RW. 02 Kel. Delima Kec. Tampan Kota Pekanbaru</t>
  </si>
  <si>
    <t>RS Umum  Prima Pekanbaru</t>
  </si>
  <si>
    <t>Jl Bima NO.1 T. Tambusai Ujung Kel. Delima Kec. Binawidya, Pekanbaru</t>
  </si>
  <si>
    <t>RS  Eria</t>
  </si>
  <si>
    <t>Jl. KH. Ahmad Dahlan No. 163 kelurahan kampung tengah, kecamatan sukajadi, pekanbaru, provinsi riau</t>
  </si>
  <si>
    <t>RS Umum  Islam Ibnu Sina</t>
  </si>
  <si>
    <t>Jl Melati No.60 Pekanbaru</t>
  </si>
  <si>
    <t>Aulia Hospital</t>
  </si>
  <si>
    <t>Jl. HR Soebrantas No. 63 Kel. Tuah Karya Kec. Tampan Pekanbaru Riau</t>
  </si>
  <si>
    <t>RS Umum  Syafira</t>
  </si>
  <si>
    <t>Jl Jenderal Sudirman No.134, Pekanbaru</t>
  </si>
  <si>
    <t>RS Umum  Bina Kasih</t>
  </si>
  <si>
    <t>Jl. Samanhudi No. 3-5 Kel. Sago - Kec. Senapelan, Kota Pekanbaru - Riau - 28151</t>
  </si>
  <si>
    <t>RS Tk. IV Pekanbaru</t>
  </si>
  <si>
    <t>Jl Kesehatan No 2 Pekanbaru</t>
  </si>
  <si>
    <t>RS Umum  Universitas Riau</t>
  </si>
  <si>
    <t>Kompleks Bina Widya KM 12,5 Simpang Baru, Panam</t>
  </si>
  <si>
    <t>RS Ibu dan Anak Milano</t>
  </si>
  <si>
    <t>Kuantan Singingi</t>
  </si>
  <si>
    <t>Jl Perintis Kemerdekaan KM 2 Jao Teluk Kuantan</t>
  </si>
  <si>
    <t>RS Umum Daerah Teluk Kuantan</t>
  </si>
  <si>
    <t>Jl Kesehatan No. 1 Sinambek</t>
  </si>
  <si>
    <t>RS Umum  Efarina</t>
  </si>
  <si>
    <t>Pelalawan</t>
  </si>
  <si>
    <t>Jl Lintas Timur No.1 Pangkalan Kerinci Riau</t>
  </si>
  <si>
    <t>RS Umum Daerah  Selasih Riau</t>
  </si>
  <si>
    <t>Jl Rumah Sakit No.01 Pkl Kerinci</t>
  </si>
  <si>
    <t>RS Umum  Amalia Medika</t>
  </si>
  <si>
    <t>Jl Lintas Timur Pangkalan Kerinci - Pelalawan - Riau</t>
  </si>
  <si>
    <t>RS Umum  Medicare Sorek</t>
  </si>
  <si>
    <t xml:space="preserve">Jl Dt. Laksamana Sorek I kec Pkl.Kuras </t>
  </si>
  <si>
    <t>RS Ibu dan Anak Athaya Medika</t>
  </si>
  <si>
    <t>Rokan Hilir</t>
  </si>
  <si>
    <t>Jl. Lintas-Medan Kepenghuluan Ujung Tanjung Putih</t>
  </si>
  <si>
    <t>RS Umum Daerah  Dr. RM. Pratomo Bagansiapiapi</t>
  </si>
  <si>
    <t>Jl Pahlawan No.13, Bagansiapiapi</t>
  </si>
  <si>
    <t>RS Umum Awal Bros Bagan Batu</t>
  </si>
  <si>
    <t>Jl. Lintas Riau-Sumatera Utara KM. 1 Desa/Kel. Bagan Batu Kec. Bagan Sinembah</t>
  </si>
  <si>
    <t>RS Ibunda</t>
  </si>
  <si>
    <t>Jl. Lintas Riau Km 4 Bagan Batu Kelurahan Bahtera Makmur Kota Kecamatan Bagan Sinembah Kabupaten Rokan Hilir Provinsi Riau</t>
  </si>
  <si>
    <t>RS Umum  Indah</t>
  </si>
  <si>
    <t>Jl Jenderal Sudirman, KM 02, Kel. Bahtera Makmur Kota, Kec. Bagan Sinembah, Kab. Rokan Hilir, Riau.</t>
  </si>
  <si>
    <t>RS Umum Cahaya</t>
  </si>
  <si>
    <t>Jl Lintas Riau Ujung Tanjung, Kec. Tanah Puth RT 024 RW 009</t>
  </si>
  <si>
    <t>RS Ibu dan Anak Harapan Medika</t>
  </si>
  <si>
    <t>Rokan Hulu</t>
  </si>
  <si>
    <t xml:space="preserve">Jl. Jendral Sudirman No. 265 Ujungbatu Kab. Rokan Hulu </t>
  </si>
  <si>
    <t>RS Umum Daerah  Rokan Hulu</t>
  </si>
  <si>
    <t>Jl Syekh Ismail, Pasir Pengaraian</t>
  </si>
  <si>
    <t>RS Umum  Surya Insani</t>
  </si>
  <si>
    <t>Jl Diponegoro KM 4 Pasir Pengaraian</t>
  </si>
  <si>
    <t>RS Umum  Awal Bros Ujung Batu</t>
  </si>
  <si>
    <t>Jl. Jenderal Sudirman No. 314</t>
  </si>
  <si>
    <t>RS Doa Ibunda</t>
  </si>
  <si>
    <t>Jl. Jenderal Sudirman KM 03 Ujungbatu Timur</t>
  </si>
  <si>
    <t>RS Umum Azzahra</t>
  </si>
  <si>
    <t>Jl. Rambutan No. 03 RK Harapan, Ujung Batu</t>
  </si>
  <si>
    <t>RS Umum Daerah Tengku Rafi'an Siak Sri Indrapura</t>
  </si>
  <si>
    <t>Siak</t>
  </si>
  <si>
    <t>Jl Raja Kecik No.1 Kampung dalam,Siak Sri Indrapura</t>
  </si>
  <si>
    <t>RS Umum Daerah Minas</t>
  </si>
  <si>
    <t>Jl. Yos Sudarso Km. 26, Minas, Siak</t>
  </si>
  <si>
    <t>RS Umum Daerah Tualang</t>
  </si>
  <si>
    <t>Jl. Raya Perawang Minas Km. 10 Kelurahan Perawang Barat Kecamatan Tualang</t>
  </si>
  <si>
    <t>Sulawesi Barat</t>
  </si>
  <si>
    <t>RS Umum Daerah Kabupaten Majene</t>
  </si>
  <si>
    <t>Majene</t>
  </si>
  <si>
    <t>Jl. Poros Majene-Mamuju, Kelurahan Baru, Kecamatan Banggae, Kabupaten Majene, Provinsi Sulawesi Barat</t>
  </si>
  <si>
    <t>RS Pratama Salutambung</t>
  </si>
  <si>
    <t>Jl. Poros Majene-Mamuju KM 78 Desa Salutambung</t>
  </si>
  <si>
    <t>RS Umum Daerah Kondosapata Kab. Mamasa</t>
  </si>
  <si>
    <t>Mamasa</t>
  </si>
  <si>
    <t>Jl. Poros Mamasa-Polewali Desa  Balla Kecamatan Balla,Kabupaten Mamasa, Provinsi Sulawesi Barat</t>
  </si>
  <si>
    <t>RS Banua Mamase</t>
  </si>
  <si>
    <t>Jl. Kampung Baru, Desa Buntubuda, Kecamatan Mamasa, Kabupaten Mamasa, Propinsi Sulawesi Barat</t>
  </si>
  <si>
    <t>RS Ibu dan Anak Mutiara Ibu</t>
  </si>
  <si>
    <t>Mamuju</t>
  </si>
  <si>
    <t>Jl. Pababari No. 44 Mamuju, Kelurahan Rimuku, Kecamatan Mamuju, Kabupaten Mamuju, Provinsi Sulawesi Barat</t>
  </si>
  <si>
    <t>RS Umum Daerah Provinsi Sulawesi Barat</t>
  </si>
  <si>
    <t xml:space="preserve">Jl. RE Martadinata, Kelurahan Simboro, Kecamatan Simboro Dan Kepulauan, Kabupaten Mamuju, Sulawesi Barat </t>
  </si>
  <si>
    <t>RS Bhayangkara Tk. IV Polda Sulbar</t>
  </si>
  <si>
    <t>Jl. Arteri, Kel. Simboro, Kec. Simboro, Kab. Mamuju</t>
  </si>
  <si>
    <t>RS Umum Mitra Manakarra</t>
  </si>
  <si>
    <t>Jl. Pongtiku No. 2 , Kelurahan Rimuku, Kecamatan Mamuju, Kabupaten Mamuju, Provinsi Sulawesi Barat</t>
  </si>
  <si>
    <t>RS Umum Daerah Kabupaten Mamuju</t>
  </si>
  <si>
    <t xml:space="preserve">  Jl. Kurungan Bassi No 1 Kabupaten Mamuju, Sulawesi Barat</t>
  </si>
  <si>
    <t>RS Tk. III Punggawa Malolo</t>
  </si>
  <si>
    <t>Jl. Ahmad Yani, Kel. Binanga, Kec. Mamuju</t>
  </si>
  <si>
    <t>RS Umum Daerah Kabupaten Mamuju Tengah</t>
  </si>
  <si>
    <t>Mamuju Tengah</t>
  </si>
  <si>
    <t xml:space="preserve"> Jl.Tammauni Pue Ballung No.2 Tobadak Kab. Mamuju Tengah Prov. Sulawesi Barat</t>
  </si>
  <si>
    <t>RS Umum Daerah Pasangkayu</t>
  </si>
  <si>
    <t>Pasangkayu</t>
  </si>
  <si>
    <t>Jl. Bukit Husada - No. 10 Ako Pasangakayu</t>
  </si>
  <si>
    <t>RS Ibu dan Anak Mifta</t>
  </si>
  <si>
    <t>Polewali Mandar</t>
  </si>
  <si>
    <t>Jl. Jend. Ahmad Yani No. 100  Desa/Kelurahan Polewali, Kec.Polewali, Kabupaten Polewali Mandar, Provinsi Sulawesi Barat</t>
  </si>
  <si>
    <t>RS Umum Daerah Hajjah Andi Depu</t>
  </si>
  <si>
    <t xml:space="preserve">   Jl. Dr Ratulangi No. 50 Polewali</t>
  </si>
  <si>
    <t>RS Umum Daerah Wonomulyo</t>
  </si>
  <si>
    <t>Jl. Jenderal Sudirman No. 62, Kelurahan Sidodadi, Kecamatan Wonomulyo, Kabupaten Polewali Mandar , Provinsi Sulawesi Barat (91352)</t>
  </si>
  <si>
    <t>Sulawesi Selatan</t>
  </si>
  <si>
    <t>RS Ibu dan Anak Pelangi Medica</t>
  </si>
  <si>
    <t>Bantaeng</t>
  </si>
  <si>
    <t>Jl. Lingkar Bisampole Kab. Bantaeng</t>
  </si>
  <si>
    <t>RS Umum Daerah Prof. Dr. H. Anwar Makkatutu</t>
  </si>
  <si>
    <t>Jl. Teratai No. 20 Kel. Pallantikang, Kec. Bantaeng</t>
  </si>
  <si>
    <t>RS Umum Daerah Banyorang</t>
  </si>
  <si>
    <t>Jl. Pendidikan No. 33, Kelurahan Banyorang, Kecamatan Tompobulu, Kabupaten Bantaeng, Provinsi Sulawesi Selatan</t>
  </si>
  <si>
    <t>RS Umum Daerah La Patarai</t>
  </si>
  <si>
    <t>Barru</t>
  </si>
  <si>
    <t>Jl. Lasawedi Kel.Coppo Kec.Barru Kab.Barru</t>
  </si>
  <si>
    <t>RS Umum Daerah Tenriawaru Bone</t>
  </si>
  <si>
    <t>Bone</t>
  </si>
  <si>
    <t xml:space="preserve"> Jl. DR. Wahidin Sudirohusodo Watampone</t>
  </si>
  <si>
    <t>RS Umum Daerah La Mappapenning</t>
  </si>
  <si>
    <t>Jl. HM. Yusuf, Desa/Kel. Mappesangka, Kec. Ponre</t>
  </si>
  <si>
    <t>RS Hapsah</t>
  </si>
  <si>
    <t xml:space="preserve">JL. Urip Sumoharjo No 10, Kelurahan Mattirowalie, Kecamatan Tanete Riattang Barat, Kabupaten Bone, Provinsi Sulawesi-Selatan </t>
  </si>
  <si>
    <t>RS Tk. IV DR. M. Yasin Bone</t>
  </si>
  <si>
    <t>Jl. Jend Sudirman Watampone</t>
  </si>
  <si>
    <t>RS Umum Daerah Datu Pancaitana</t>
  </si>
  <si>
    <t>Jl. Gatot Subroto Kel. Biru Kec. Tanete Riattang</t>
  </si>
  <si>
    <t xml:space="preserve">RS Hamuna </t>
  </si>
  <si>
    <t>Jl. Poros Bone Sinjai Desa Gona Kec. Kajuara Kab. Bone</t>
  </si>
  <si>
    <t>RS Ibu dan Anak Yasira</t>
  </si>
  <si>
    <t>Bulukumba</t>
  </si>
  <si>
    <t xml:space="preserve">Jl. Kusuma Bangsa No. 3 </t>
  </si>
  <si>
    <t>RS Umum Daerah H.A. Sulthan Daeng Radja</t>
  </si>
  <si>
    <t>Jl. Serikaya No. 17 Bulukumba</t>
  </si>
  <si>
    <t>RS Umum Daerah Kelas D Pratama Tanete</t>
  </si>
  <si>
    <t>Jl. Poros Bulukumbaâ€“Tanete Kel. Tanete Kec. Bulukumpa</t>
  </si>
  <si>
    <t>RS Umum Daerah Massenrempulu Enrekang</t>
  </si>
  <si>
    <t>Enrekang</t>
  </si>
  <si>
    <t xml:space="preserve"> Jl. Jend Sudirman, Kelurahan Galonta, Kecamatan Enrekang, Kabupaten Enrekang, Provinsi Sulawesi Selatan</t>
  </si>
  <si>
    <t>RS Umum Hj. Puang Sabbe</t>
  </si>
  <si>
    <t>Jl. H. Andi Liu no. 01 Kelurahan Lakawan, Kecamatan Anggeraja, Kabupaten Enrekang, Propinsi Sulawesi Selatan</t>
  </si>
  <si>
    <t>RS Umum Daerah Syehk Yusuf Gowa</t>
  </si>
  <si>
    <t>Gowa</t>
  </si>
  <si>
    <t>Jl. Dr. Wahidin Sudirohusodo No.48, Kelurahan Batangkaluku, Kecamatan Somba Opu, Kabupaten Gowa, Provinsi Sulawesi Selatan</t>
  </si>
  <si>
    <t>RS Umum Yapika</t>
  </si>
  <si>
    <t>Jl. Abdul Kadir Dg. Suro No.140 Kel. Samata Kec. Somba Opu, Kab. Gowa, Prov. Sulawesi Selatan</t>
  </si>
  <si>
    <t>RS PKU Muhammadiyah Unismuh Makassar</t>
  </si>
  <si>
    <t>Jl. Tun Abdul Razak RT. 01 RW.  05 Kelurahan Romang Polong Kec. Somba Opu Kab. Gowa</t>
  </si>
  <si>
    <t>RS Umum Thalia Irham</t>
  </si>
  <si>
    <t>Jl. Poros Limbung Km.15, Panciro</t>
  </si>
  <si>
    <t>RS Umum Daerah Lanto Daeng Pasewang</t>
  </si>
  <si>
    <t>Jeneponto</t>
  </si>
  <si>
    <t>JL ISHAK ISKANDAR, KEL. EMPOANG SELATAN, KEC. BINAMU</t>
  </si>
  <si>
    <t>RS Umum Daerah Rumbia</t>
  </si>
  <si>
    <t>Jl. Desa Lebang Manai Kec. Rumbia</t>
  </si>
  <si>
    <t>RS Umum Daerah KH. Hayyung Kepulauan Selayar</t>
  </si>
  <si>
    <t>Kepulauan Selayar</t>
  </si>
  <si>
    <t>Jl. KH. Abdul Kadir Kasim Kepulauan Selayar Sulawesi Selatan</t>
  </si>
  <si>
    <t>RS Pratama Jampea</t>
  </si>
  <si>
    <t>Dusun Lembongan Desa Bontobaru Kec. Pasimasunggu Timur Kab. Kepulauan Selayar Prov. Sulawesi Selatan</t>
  </si>
  <si>
    <t>RS Islam Gigi dan Mulut FKG-UMI</t>
  </si>
  <si>
    <t>Kota Makassar</t>
  </si>
  <si>
    <t>Jl. Padjonga Daeng Ngalle No. 27 Makassar</t>
  </si>
  <si>
    <t>RS Khusus Gigi dan Mulut Universitas Hasanuddin</t>
  </si>
  <si>
    <t>JL. Kandea No. 5, Kota Makassar Provinsi Sulawesi Selatan</t>
  </si>
  <si>
    <t>RS Gigi dan Mulut Ladokgi TNI AL Yos Sudarso</t>
  </si>
  <si>
    <t>Jl. Satando No. 25 Makassar</t>
  </si>
  <si>
    <t xml:space="preserve">RS Khusus Daerah Gigi dan Mulut Provinsi Sulawesi </t>
  </si>
  <si>
    <t>Jl. Lanto Dg. Pasewang, Kec. Mamajang, Kel. Maricaya Selatan, Kota Makassar, Provinsi Sulawesi Selatan</t>
  </si>
  <si>
    <t>RS Ibu dan Anak Paramount</t>
  </si>
  <si>
    <t>Jl. Andi Pangeran Pettarani No 82 Makassar</t>
  </si>
  <si>
    <t>RS Khusus Daerah Ibu dan Anak Siti Fatimah</t>
  </si>
  <si>
    <t xml:space="preserve"> Jl. Gunung Merapi No. 75  Makassar Kelurahan Lajangiru Kecamatan UjungPandang Provinsi Sulawesi Selatan</t>
  </si>
  <si>
    <t>RS Ibu dan Anak Prof. dr. H. M. Farid</t>
  </si>
  <si>
    <t>Jl. Dr. Wahidin Sudirohusodo No. 230 Makassar 90173,  Desa/Kelurahan Melayu Barau, Kecamtan Wajo, Kota Makassar, Provinsi Sulawesi Selatan</t>
  </si>
  <si>
    <t>RS Ibu dan Anak Ananda</t>
  </si>
  <si>
    <t xml:space="preserve">Jl. Andi Djemma No 57, Kelurahan Banta - Bantaeng, Kecamatan Rappocini, Kota Makassar, Provinsi Sulawesi Selatan </t>
  </si>
  <si>
    <t>Jl. Tamalanrea raya (Poros BTP) Blok 10M No.9-10</t>
  </si>
  <si>
    <t>RS Ibu dan Anak Malebu Husada</t>
  </si>
  <si>
    <t>JL.Goa Ria Blok A1 No 7 Kelurahan Bakung Kecamatan Biringkanaya Kota Makassar Provinsi Sulawesi Selatan</t>
  </si>
  <si>
    <t>RS Ibu dan Anak Chaterine Booth</t>
  </si>
  <si>
    <t>Jl. Arief Rate No.15 Makassar</t>
  </si>
  <si>
    <t xml:space="preserve">RS Ibu dan Anak Kartini </t>
  </si>
  <si>
    <t>JALAN R.A KARTINI NO. 1A KEC. UJUNG PANDANG, KEL. BARU</t>
  </si>
  <si>
    <t>RS Ibu dan Anak Budi Mulia</t>
  </si>
  <si>
    <t>JL. Nikel Blok. A. 21</t>
  </si>
  <si>
    <t>RS Khusus Daerah Ibu dan Anak Pertiwi</t>
  </si>
  <si>
    <t xml:space="preserve">  Jl. Jend.Sudirman No.14, Makasar</t>
  </si>
  <si>
    <t>RS Ibu dan Anak Sentosa</t>
  </si>
  <si>
    <t>Jl. Jend. Sudirman No.52, Kel. Sawerigading, Kec. Ujung Pandang, Kota Makassar, Sulawesi Selatan 90114</t>
  </si>
  <si>
    <t>RS Ibu dan Anak Amanat</t>
  </si>
  <si>
    <t>Jl. Haji Bau No. 11D Makassar</t>
  </si>
  <si>
    <t>RS Ibu dan Anak Masyita</t>
  </si>
  <si>
    <t xml:space="preserve"> Jl. Camba Jawayya No.24 Tello Baru, Makasar</t>
  </si>
  <si>
    <t>RS Ibu dan Anak Sitti Khadijah 1 Muhammadiyah</t>
  </si>
  <si>
    <t>Jalan RA Kartini No. 15 - 17 Makassar</t>
  </si>
  <si>
    <t>RS Otak &amp; Jantung Pertamina Royal Biringkanaya</t>
  </si>
  <si>
    <t>Jl. Pajjaiang Sudiang Raya</t>
  </si>
  <si>
    <t>RS Khusus Daerah Dadi</t>
  </si>
  <si>
    <t>Jl. Lanto Dg. Pasewang No. 34 Makassar</t>
  </si>
  <si>
    <t>RS Mata Makassar</t>
  </si>
  <si>
    <t>Jl. Lingkar Barat Tallasa City Tamalanrea, Desa/Kel. Tamalanrea, Kec. Tamalanrea</t>
  </si>
  <si>
    <t>RS Mata JEC ORBITA @Makassar</t>
  </si>
  <si>
    <t>Jl. Masjid Raya No. 75, Timungan Lompoa, Kec. Bontoala</t>
  </si>
  <si>
    <t>RS Kemenkes Makassar</t>
  </si>
  <si>
    <t>Jalan Metro Tanjung Bunga, Kawasan Center Point Indonesia, Maccini Sombala, Tamalate</t>
  </si>
  <si>
    <t>RSUP Dr. Wahidin Sudirohusodo</t>
  </si>
  <si>
    <t>Jl. Perintis Kemerdekaan Km.11, Tamalanrea, Makassar, Sulawesi Selatan</t>
  </si>
  <si>
    <t>RS Siloam Makassar</t>
  </si>
  <si>
    <t>Jl. Metro Tanjung Bunga Kav. 9</t>
  </si>
  <si>
    <t>RS Tk. II Pelamonia</t>
  </si>
  <si>
    <t>Jl. Jend Sudirman No.27,Makassar</t>
  </si>
  <si>
    <t>RS Umum Daerah Haji Makassar</t>
  </si>
  <si>
    <t>Jl. Dg. Ngeppe No. 14 Kecamatan Tamalate,Kelurahan Parang Tambung,Kota Makassar,Provinsi Sulawesi Selatan,Kode Pos 90224</t>
  </si>
  <si>
    <t>RS Akademis Jaury</t>
  </si>
  <si>
    <t>Jl. Jend. M. Jusuf No. 57 A, RT 004 RW 001 Kelurahan Pattunuang Kecamatan Wajo Kota Makassar Provinsi Sulawesi Selatan</t>
  </si>
  <si>
    <t>RS Islam Faisal</t>
  </si>
  <si>
    <t>Jl. Andi Pangeran Pettarani, kelurahan Banta-bantaeng, Kecamatan Rappocini, Kota Makassar, Provinsi Sulawesi Selatan</t>
  </si>
  <si>
    <t>RS Ibnu Sina YW-UMI Makassar</t>
  </si>
  <si>
    <t>Jl. Urip Sumohardjo Km. 05 No. 264, Kelurahan Karampuang, Kecamatan panakkukang, Kota Makassar, Provinsi Sulawesi Selatan, Kode Pos 90232</t>
  </si>
  <si>
    <t>RS Umum Daerah Daya Kota Makassar</t>
  </si>
  <si>
    <t>Jl. Perintis Kemerdekaan KM. 14, Daya Kec. Biringkanayya Kota Makassar Provinsi Sulawesi Selatan</t>
  </si>
  <si>
    <t>RS Grestelina</t>
  </si>
  <si>
    <t>Jl. Hertasning Raya No.51 Makassar</t>
  </si>
  <si>
    <t>RS Umum Pusat Dr. Tadjuddin Chalid Makassar</t>
  </si>
  <si>
    <t>Jl. Paccerakkang No.67 / Pajjaiang  No.67  Daya  Makassar,90241 Propinsi Sulawesi Selatan</t>
  </si>
  <si>
    <t>RS Umum Daerah Labuang Baji</t>
  </si>
  <si>
    <t>Jl. Dr. Ratulangi No. 81 Makassar</t>
  </si>
  <si>
    <t>RS Stella Maris</t>
  </si>
  <si>
    <t>Jl. Somba Opu No.273 Makassar</t>
  </si>
  <si>
    <t>RS Universitas Hasanuddin</t>
  </si>
  <si>
    <t>Jl. Perintis Kemerdekaan KM.11 Kel. Tamalanrea Indah, Kec. Tamalanrea, Kota Makassar, Sulawesi Selatan 90245</t>
  </si>
  <si>
    <t>RS Kepolisian Bhayangkara</t>
  </si>
  <si>
    <t>Jl. Letjen Pol. A Mappaoudang No. 63 Makassar</t>
  </si>
  <si>
    <t>Jl. Urip Sumohardjo No. 43</t>
  </si>
  <si>
    <t>RS Hermina Makassar</t>
  </si>
  <si>
    <t>Jl. Toddopuli Raya Timur, Kel. Borong, Kec. Manggala, Makassar</t>
  </si>
  <si>
    <t>RS Hikmah</t>
  </si>
  <si>
    <t>Jl. Yosef Latumahina No. 1, Makassar Losari, Kec. Ujung Pandang, Sulawesi Selatan.</t>
  </si>
  <si>
    <t>RS Umum Bahagia</t>
  </si>
  <si>
    <t>Jl.Minasa upa Raya blok H 7 No 9 .Kelurahan Minasa Upa .Kec Rappoccini .Kab Makassar .Provinsi Sulawesi-Selatan</t>
  </si>
  <si>
    <t>RS Umum Wisata Universitas Indonesia Timur</t>
  </si>
  <si>
    <t>Jl. Abdul Kadir No.70</t>
  </si>
  <si>
    <t>Jl. Gunung Merapi No. 220</t>
  </si>
  <si>
    <t>RS AL Jala Ammari Makassar</t>
  </si>
  <si>
    <t>Jl. Satando  No 27 Kel Tamalabba Kec Ujung Tanah</t>
  </si>
  <si>
    <t>RS Umum Primaya Hertasning</t>
  </si>
  <si>
    <t>Jl. Aroepala No.  99 C Kel. Karunrung, Kec. Rappocini</t>
  </si>
  <si>
    <t>RS Umum Sandi Karsa Makassar</t>
  </si>
  <si>
    <t xml:space="preserve">Jl. Abdullah Daeng Sirua No. 16A </t>
  </si>
  <si>
    <t>RS Umum Daerah Sayang Rakyat</t>
  </si>
  <si>
    <t>Jl. Pahlawan No. 1000 Kec. Biringkanaya</t>
  </si>
  <si>
    <t>RS PKU Muhammadiyah Mamajang</t>
  </si>
  <si>
    <t>Jl. Veteran Selatan No. 201 Makassar Sulawesi Selatan</t>
  </si>
  <si>
    <t>RS Umum Cahaya Medika Makassar</t>
  </si>
  <si>
    <t>Jl. Perintis Kemerdekaan KM 8 NO 27-28 Kelurahan Tamalanrea Indah, Kecamatan Tamalanrea, Kota Makassar, Sulawesi Selatan Kode Pos 90245</t>
  </si>
  <si>
    <t>RS Politeknik Ilmu Pelayaran (PIP) Makassar</t>
  </si>
  <si>
    <t>Jl. Tentara Pelajar No. 173/Jl. Yos Sudarso Kel. Malimongan Tua Kec. Wajo Kota Makassar Provinsi Sulawesi Selatan</t>
  </si>
  <si>
    <t>RS Umum Sayang Bunda</t>
  </si>
  <si>
    <t>Jl. Letjen Hertasning No.52, Kel. Tidung, Kec. Rappocini, Kota Makassar, Sulawesi Selatan 90222</t>
  </si>
  <si>
    <t>RS Umum Luramay</t>
  </si>
  <si>
    <t>Jl. A.P. Pettarani Blok E19/11 Makassar</t>
  </si>
  <si>
    <t>RS Umum Daerah Sawerigading</t>
  </si>
  <si>
    <t>Kota Palopo</t>
  </si>
  <si>
    <t xml:space="preserve">   Jl. Dr. Ratulangi KM.7 Rampoang, Kel.To'bulung, Kec.Bara, Kota Palopo, Provinsi Sulawesi Selatan, Kode Pos 91914</t>
  </si>
  <si>
    <t>RS Umum St. Madyang</t>
  </si>
  <si>
    <t xml:space="preserve">JL. Andi Kambo No.87 Kelurahan Salekoe Kecamatan Wara Timur Kota Palopo Provinsi Sulawesi Selatan  </t>
  </si>
  <si>
    <t>RS AT Medika</t>
  </si>
  <si>
    <t>Jl. Andi Djemma No. 6 Palopo</t>
  </si>
  <si>
    <t>RS Dokter Palemmai Tandi</t>
  </si>
  <si>
    <t>Jl. Samiun No. 2 Kota Palopo</t>
  </si>
  <si>
    <t>RS Mega Buana Palopo</t>
  </si>
  <si>
    <t>Jl. Andi Djemma No. 138 Kel. Binturu Kec. Wara Selatan Kota Palopo Prov. Sulawesi Selatan</t>
  </si>
  <si>
    <t>RS Umum Bintang Laut Palopo</t>
  </si>
  <si>
    <t>Jl. KH. M. Kasim No. 5 Palopo</t>
  </si>
  <si>
    <t>RS Mujaisyah</t>
  </si>
  <si>
    <t>Jl. DR. Ratulangi KM.05 Poros Balandai, Kelurahan Temmalebba, Kecamatan Bara, Kota Palopo, Provinsi Sulawesi Selatan</t>
  </si>
  <si>
    <t>RS Ibu dan Anak Ananda Trifa</t>
  </si>
  <si>
    <t>Kota Pare-pare</t>
  </si>
  <si>
    <t>Jl. H. Agussalim No. 218 Kelurahan Labukkang Kecamatan Ujung Kota Parepare Provinsi Sulawesi Selatan</t>
  </si>
  <si>
    <t>RS Umum Daerah Andi Makkasau Parepare</t>
  </si>
  <si>
    <t>Jl. Nurussamawati No.9 Kota Parepare</t>
  </si>
  <si>
    <t>RS Dr. Hasri Ainun Habibie Parepare</t>
  </si>
  <si>
    <t>Jl. Latasakka, Tonrangeng 1 No.46 C, RT1/RW2, Kel: Lumpue, Kec: Bacukiki Barat, Kota Parepare Parepare, Prov.Sulawesi Selatan</t>
  </si>
  <si>
    <t>RS Tk. IV 07.07.03 Dr. Sumantri</t>
  </si>
  <si>
    <t>Jl. Karaeng Burane No.24 Kec Ujung Bulu Kel Ujung Kota Parepare</t>
  </si>
  <si>
    <t>RS Fatima Pare-Pare</t>
  </si>
  <si>
    <t>Jl. Ilham No.5 Pare-Pare</t>
  </si>
  <si>
    <t xml:space="preserve">RS Hikmah Sejahtera Belopa </t>
  </si>
  <si>
    <t>Luwu</t>
  </si>
  <si>
    <t>Jl. Topoka No. 22 B, Kelurahan Tampumia Radda. Kec. Belopa. Kab. Luwu. Provinsi. Sulawesi Selatan</t>
  </si>
  <si>
    <t>RS Umum Daerah Batara Guru</t>
  </si>
  <si>
    <t xml:space="preserve">   Jl. Sawerigading, Desa Lebani, Kec. Belopa Utara Kab.Luwu Prov.Sulawesi Selatan</t>
  </si>
  <si>
    <t>RS Umum Inco Sorowako</t>
  </si>
  <si>
    <t>Luwu Timur</t>
  </si>
  <si>
    <t xml:space="preserve">Jl. Diponegoro No. 1 Sorowako, Kec. Nuha Kab.Luwu Timur </t>
  </si>
  <si>
    <t>RS Umum Daerah I Lagaligo</t>
  </si>
  <si>
    <t xml:space="preserve"> Jl. Sangkuruwira,No. 1 Ds. Aroalipu Kec.Wotu Kab.Luwu Timur</t>
  </si>
  <si>
    <t>RS Umum Hikmah Masamba</t>
  </si>
  <si>
    <t>Luwu Utara</t>
  </si>
  <si>
    <t>Jln. Ir. Soekarno, Kelurahan  Kappuna Kecamatan Masamba Kabupaten Luwu Utara Provinsi Sulawesi Selatan</t>
  </si>
  <si>
    <t>RS Umum Daerah Andi Djemma Masamba</t>
  </si>
  <si>
    <t xml:space="preserve">   Jl. Sultan Hasanuddin No.23 Masamba</t>
  </si>
  <si>
    <t>RS Hikmah Sejahtera Sukamaju</t>
  </si>
  <si>
    <t>Jl. Trans Sulawesi Desa Kaluku Kecamatan Sukamaju</t>
  </si>
  <si>
    <t>RS AU dr. Dody Sardjoto</t>
  </si>
  <si>
    <t>Maros</t>
  </si>
  <si>
    <t xml:space="preserve">Jl. By Pass Bandar Udara Internasional Sultan Hasanuddin </t>
  </si>
  <si>
    <t>RS Umum Daerah dr. La Palaloi</t>
  </si>
  <si>
    <t xml:space="preserve">  Jl. Poros Maros-Makassar KM 3 Maros</t>
  </si>
  <si>
    <t>RS Umum Batara Siang</t>
  </si>
  <si>
    <t>Pangkajene Kepulauan</t>
  </si>
  <si>
    <t xml:space="preserve">  Jl. Sultan Hasanudin 7 Pangkajene</t>
  </si>
  <si>
    <t>RS Umum Daerah Batiling</t>
  </si>
  <si>
    <t>Jl.poros Batiling, Desa Batara, Kec.Labakkang kab. Pangkep</t>
  </si>
  <si>
    <t>RS Kelas D Pratama Sailus</t>
  </si>
  <si>
    <t>Pulau Sailus Desa Sailus Kec. Liukang Tangaya Keb. Pangkajene dan kepulauan</t>
  </si>
  <si>
    <t>RS Umum Daerah Lasinrang Pinrang</t>
  </si>
  <si>
    <t>Pinrang</t>
  </si>
  <si>
    <t xml:space="preserve">  Jl. Macan No. 22 Pinrang</t>
  </si>
  <si>
    <t>RS Umum Daerah Madising</t>
  </si>
  <si>
    <t>Jalan Poros Pinrang - Polman. KM.33 Desa Bungi Kecamatan Duampanua Kab Pinrang  Propinsi Sulawesi Selatan 91253</t>
  </si>
  <si>
    <t>RS Umum Aisyiyah St. Khadijah</t>
  </si>
  <si>
    <t xml:space="preserve">Jl. A. Abdullah No. 1-3, Kabupaten Pinrang, Provinsi Sulawesi Selatan </t>
  </si>
  <si>
    <t>RS Umum Daerah Nene Mallomo</t>
  </si>
  <si>
    <t>Sidenreng Rappang</t>
  </si>
  <si>
    <t xml:space="preserve"> Jl. Wolter Monginsidi Pangkajene, Kab. Sidenreng Rappang</t>
  </si>
  <si>
    <t>RS Umum Daerah Arifin Numang</t>
  </si>
  <si>
    <t>Jl.Jend.  Achmad Yani No. 1 Rappang</t>
  </si>
  <si>
    <t>RS Adinda Medical Centre</t>
  </si>
  <si>
    <t>Jl. Hos Cokroaminoto Kel. Maccorawalie Kec. Panca Rijang</t>
  </si>
  <si>
    <t>RS Umum Anugrah Pangkajene</t>
  </si>
  <si>
    <t>Jl. Lanto Dg. Pasewang No. 60, Kelurahan Pangkajene, Kecamatan Maritengngae, Kabupaten Sidenreng Rappang, Provinsi Sulawesi selatan</t>
  </si>
  <si>
    <t>RS Umum Daerah Kabupaten Sinjai</t>
  </si>
  <si>
    <t>Sinjai</t>
  </si>
  <si>
    <t xml:space="preserve">  Jl. Jend Sudirman No. 47 Sinjai, Sulawesi Selatan</t>
  </si>
  <si>
    <t>RS Umum Daerah Kelas D Pratama Bulu Paccing Bikeru</t>
  </si>
  <si>
    <t>Jl. Poros Bulu Paccing Desa Alenangka Kec. Sinjai Selatan Kab. Sinjai</t>
  </si>
  <si>
    <t>RS Umum Daerah Latemmamala Soppeng</t>
  </si>
  <si>
    <t>Soppeng</t>
  </si>
  <si>
    <t xml:space="preserve"> Jl. Malaka Raya Kec. Lalabata, Kab. Soppeng</t>
  </si>
  <si>
    <t>RS Khusus Ibu dan Anak Zainab</t>
  </si>
  <si>
    <t>Takalar</t>
  </si>
  <si>
    <t>Jl. Bauru Daeng Gau No. 45 Kel. Bontolebang Kec. Galesong Utara</t>
  </si>
  <si>
    <t>RS Umum Daerah Galesong Kabupaten Takalar</t>
  </si>
  <si>
    <t>Jl. Poros Galesong Utara, Kec. Galesong Utara, Kab. Takalar</t>
  </si>
  <si>
    <t>RS Umum Daerah H. Padjonga Dg. Ngalle Takalar</t>
  </si>
  <si>
    <t>Jl. H. Ince Husain Dg Parani No 1, Kab Takalar</t>
  </si>
  <si>
    <t>RS Maryam Citra Medika</t>
  </si>
  <si>
    <t>Jl Poros Takalar-Makassar KM, Kelurahan Bajeng, Kecamatan Pattallassang, Kabupaten Takalar</t>
  </si>
  <si>
    <t>RS Umum Daerah Pratama Takalar</t>
  </si>
  <si>
    <t>Jalan Zubair Dg Tutu No.1 Kelurahan Palleko Kecamatan Polongbangkeng Utara Kab. Takalar</t>
  </si>
  <si>
    <t>RS Umum Daerah Lakipadada</t>
  </si>
  <si>
    <t>Tana Toraja</t>
  </si>
  <si>
    <t>Jl. Pongtiku No.486, Kel. Tambunan, Kecamatan Makale Utara, Kabupaten Tana Toraja, Prov. Sulawesi Selatan</t>
  </si>
  <si>
    <t>RS Fatima Makale</t>
  </si>
  <si>
    <t>Jl. Nusantara No.18 Makale Tator</t>
  </si>
  <si>
    <t>Rumah Sakit Sinar Kasih Toraja</t>
  </si>
  <si>
    <t>Jl. Buntu Pantan No 8 A Kecamatan Makale, Kabupaten Tana Toraja</t>
  </si>
  <si>
    <t>RS Umum Daerah Pongtiku</t>
  </si>
  <si>
    <t>Toraja Utara</t>
  </si>
  <si>
    <t>Buntu Mapaken, Kel/Desa. Buntu Tallunglipu, Kecamatan Tallunglipu, Kab.Toraja Utara, Provinsi Sulawesi Selatan</t>
  </si>
  <si>
    <t>RS Umum Elim Rantepao</t>
  </si>
  <si>
    <t xml:space="preserve"> Jl. A.Yani No. 68 Rantepao</t>
  </si>
  <si>
    <t>RS Santa Teresa Marampa Rantepao</t>
  </si>
  <si>
    <t>JL. ANDI MAPPANYUKI NO.73, RT. 01, RW. 01</t>
  </si>
  <si>
    <t>RS Umum Daerah Lamaddukkelleng Kabupaten Wajo</t>
  </si>
  <si>
    <t>Wajo</t>
  </si>
  <si>
    <t xml:space="preserve"> Jl. Kartika Chandra Kirana No. 9 Sengkang</t>
  </si>
  <si>
    <t>RS Umum Daerah Siwa</t>
  </si>
  <si>
    <t xml:space="preserve">  Jl. Andi Djaja No.1 Kec. Pitumpanua, Siwa, Kab. Wajo</t>
  </si>
  <si>
    <t>RS Prima Husada Sengkang</t>
  </si>
  <si>
    <t>Jl. Jend. Ahmad Yani No. 29 Sengkang</t>
  </si>
  <si>
    <t>Sulawesi Tengah</t>
  </si>
  <si>
    <t xml:space="preserve">RS Umum Daerah Kabupaten Banggai </t>
  </si>
  <si>
    <t>Banggai</t>
  </si>
  <si>
    <t>Jl. Imam Bonjol KM 3 No. 14 Luwuk</t>
  </si>
  <si>
    <t>RS Claire Medika</t>
  </si>
  <si>
    <t>Jl. Sungai Musi No. 17 Kelurahan Soho Kecamatan Luwuk</t>
  </si>
  <si>
    <t>RS Pratama dr. Abdul Chalik Masulili</t>
  </si>
  <si>
    <t>Jl. Trans Sulawesi Luwuk Palu Desa Tongkonunuk Kec. Pagimana</t>
  </si>
  <si>
    <t>RS Umum Daerah Trikora Salakan</t>
  </si>
  <si>
    <t>Banggai Kepulauan</t>
  </si>
  <si>
    <t>Desa Tompudau, Kec. Tinangkung, Kab. Banggai Kepulauan, Provinsi Sulawesi Tengah</t>
  </si>
  <si>
    <t>RS Pratama Bilabanggai Buko Selatan</t>
  </si>
  <si>
    <t>Desa Apal Kecamatan Buko Selatan</t>
  </si>
  <si>
    <t>RS Umum Daerah Banggai</t>
  </si>
  <si>
    <t>Banggai Laut</t>
  </si>
  <si>
    <t>Jl. KM. 07 Desa Adean Kecamatan Banggai Tengah Kabupaten Banggai Laut Provinsi Sulawesi Tengah</t>
  </si>
  <si>
    <t>RS Umum Daerah Mokoyurli Buol</t>
  </si>
  <si>
    <t>Buol</t>
  </si>
  <si>
    <t xml:space="preserve"> Jln. DR. Wahidin Sudirohusodo No.12 Kel. Leok II  Kec. Biau Kabupaten Buol Provinsi Sulawesi Tengah</t>
  </si>
  <si>
    <t>RS Umum Daerah Kabelota</t>
  </si>
  <si>
    <t>Donggala</t>
  </si>
  <si>
    <t xml:space="preserve">  Jl. Poros  Palu - Donggala Desa/Kelurahan Kabonga Besar, Kecamatan Banawa ,Kabupaten Donggala ,Provinsi Sulawesi Tengah</t>
  </si>
  <si>
    <t>RS Umum Daerah Pendau Tambu Kab Donggala</t>
  </si>
  <si>
    <t>Jl. Samudra No 1 Desa Mapane Tambu Kec. Balaesang Kab. Donggala</t>
  </si>
  <si>
    <t>RS Ibu dan Anak Care She</t>
  </si>
  <si>
    <t>Kota Palu</t>
  </si>
  <si>
    <t>Jl. MT Haryono 24 Palu</t>
  </si>
  <si>
    <t>RS Ibu dan Anak Nasana Pura</t>
  </si>
  <si>
    <t>Jl. Jend. H. M. Soeharto no. 10, Kel. Petobo, Kec. Palu Selatan, Kota Palu, Provinsi Sulawesi Tengah</t>
  </si>
  <si>
    <t>RS Ibu dan Anak Tinatapura</t>
  </si>
  <si>
    <t>Jl. Raden Saleh 31 Palu</t>
  </si>
  <si>
    <t>RS Umum Anutapura Palu</t>
  </si>
  <si>
    <t>Jl. Kangkung No.1, Desa/Kelurahan Donggala Kodi, Kec. Ulujadi, Kota Palu, Provinsi Sulawesi Tengah, Kode Pos : 94226</t>
  </si>
  <si>
    <t>RS Umum Daerah Undata Palu</t>
  </si>
  <si>
    <t>JL. RE. Martadinata, Desa/Kelurahan Talise, Kec. Mantikulore, Kota Palu, Provinsi Sulawesi Tengah</t>
  </si>
  <si>
    <t>RS Budi Agung Palu</t>
  </si>
  <si>
    <t>Jl. Maluku No. 44 Palu</t>
  </si>
  <si>
    <t>RS Umum Tadulako Palu</t>
  </si>
  <si>
    <t>JL Soekarno Hatta Kilometer 9 Kampus Bumi Tadulako</t>
  </si>
  <si>
    <t>RS Umum Daerah Madani Palu</t>
  </si>
  <si>
    <t>Jl. Thalua Kontji No. 11  Mamboro Barat Kecamatan Palu Utara</t>
  </si>
  <si>
    <t>RS Woodward</t>
  </si>
  <si>
    <t>Jl. L.H. Woodward No.1 Palu</t>
  </si>
  <si>
    <t>RS Umum  Sis Al Jufri Palu</t>
  </si>
  <si>
    <t>Jl.SIS ALJUFRI No 72, PALU</t>
  </si>
  <si>
    <t>RS Samaritan Palu</t>
  </si>
  <si>
    <t>JL. Towua No 77 Palu</t>
  </si>
  <si>
    <t>RS TK. III. 13.06.01 Dr. Sindhu Trisno</t>
  </si>
  <si>
    <t>Jl. Sisinga Mangaraja No.4, Palu</t>
  </si>
  <si>
    <t>RS Bhayangkara Palu</t>
  </si>
  <si>
    <t xml:space="preserve">   Jl. DR. Suharso Lrg III No. 2 Palu</t>
  </si>
  <si>
    <t>RS Umum Daerah Morowali</t>
  </si>
  <si>
    <t>Morowali</t>
  </si>
  <si>
    <t xml:space="preserve">  Jl. Trans Sulawesi , Desa Bahomohoni, Kec. Bungku Tengah, Kab. Morowali, Provinsi Sulawesi Tengah</t>
  </si>
  <si>
    <t>RS Umum Daerah Salabangkapaku</t>
  </si>
  <si>
    <t>Desa Lakombulo Kec. Bungku Selatan Kab. Morowali, Provinsi Sulawesi Tengah</t>
  </si>
  <si>
    <t>RS Umum Daerah Kolonodale</t>
  </si>
  <si>
    <t>Morowali Utara</t>
  </si>
  <si>
    <t>Jl. dr. Aziz Maralla No. 12 Kolonodale Kec. Petasia Kab. Morowali Utara</t>
  </si>
  <si>
    <t>RS Pratama Mayapuria</t>
  </si>
  <si>
    <t>Desa Baturube Kode Pos 94972</t>
  </si>
  <si>
    <t>RS Ibu dan Anak Defina</t>
  </si>
  <si>
    <t>Parigi Moutong</t>
  </si>
  <si>
    <t>Jln.Trans Sulawesi no.7 Kampal Parigi</t>
  </si>
  <si>
    <t>RS Umum Daerah Anuntaloko Parigi</t>
  </si>
  <si>
    <t xml:space="preserve"> Jl. Sis Al Jufri No.214 Parigi Moutong</t>
  </si>
  <si>
    <t>RS Umum Daerah Raja Tombolotutu</t>
  </si>
  <si>
    <t>Jl. Trans Sulawesi Dsn II Tinombo</t>
  </si>
  <si>
    <t>RS Umum Daerah Buluye Napoae Moutong</t>
  </si>
  <si>
    <t>Jl. H. Samsurizal Tombolotutu No.1 Salumpengut Kec. Moutong</t>
  </si>
  <si>
    <t>RS Umum Daerah Poso</t>
  </si>
  <si>
    <t>Poso</t>
  </si>
  <si>
    <t>Jl. Jenderal Sudirman No.33  Kel Kasintuwu Poso</t>
  </si>
  <si>
    <t>RS TK 4 Dr. Yanto, Sp.OT</t>
  </si>
  <si>
    <t xml:space="preserve"> jl Tadulako No 20 Kel. Bonesompe Kec. Poso Kota Utara Kabupaten Poso</t>
  </si>
  <si>
    <t>RS GKST Tentena</t>
  </si>
  <si>
    <t>Jl. Setia Budi No.98. Tentena Kec. Pamona Puselemba</t>
  </si>
  <si>
    <t>RS Umum Daerah Tora Belo</t>
  </si>
  <si>
    <t>Sigi</t>
  </si>
  <si>
    <t xml:space="preserve"> JL. TRANS PALU - PALOLO KM. 15 DESA/KELURAHAN, SIDERA KEC. SIGI BIROMARU KAB. SIGI PROVINSI SULAWESI TENGAH.</t>
  </si>
  <si>
    <t>RS Umum Daerah Ampana</t>
  </si>
  <si>
    <t>Tojo Una-Una</t>
  </si>
  <si>
    <t xml:space="preserve"> Jl. St Hasanudin No. 32, Kel. Labiabae, Kec. Ampana Kota, Kabupaten Tojo Una-Una, Provinsi Sulawesi Tengah</t>
  </si>
  <si>
    <t>RS Umum Daerah Wakai</t>
  </si>
  <si>
    <t xml:space="preserve"> Desa Tanimpo, Kec. Una Una</t>
  </si>
  <si>
    <t>RS Umum Daerah Pratama Togean</t>
  </si>
  <si>
    <t>Desa Wakai Kec. Una-una Kab. Tojo Una-una</t>
  </si>
  <si>
    <t>RS Umum  Mokopido Toli-Toli</t>
  </si>
  <si>
    <t>Toli-Toli</t>
  </si>
  <si>
    <t xml:space="preserve"> Jl. Lanoni No.37 Kel Baru Kec Baolan kab Toli-Toli, Sulteng</t>
  </si>
  <si>
    <t>RS Umum Hj. Zubaeda Bantilan</t>
  </si>
  <si>
    <t>Jl. Kesehatan No. 6 Desa Malala Kec. Dondo  Kab. Tolitoli, Sulawesi Tengah</t>
  </si>
  <si>
    <t>Sulawesi Tenggara</t>
  </si>
  <si>
    <t>RS Umum Daerah Kabupaten Bombana</t>
  </si>
  <si>
    <t>Bombana</t>
  </si>
  <si>
    <t>Jl.Poros Kasipute-Kendari Desa Lantouwa Kecamatan Rarowatu Utara Kebupaten Bombana Provinsi Sulawesi Tenggara</t>
  </si>
  <si>
    <t>RS Umum Daerah Kabupaten Buton</t>
  </si>
  <si>
    <t>Buton</t>
  </si>
  <si>
    <t xml:space="preserve"> Jl. Protokol Laburunce  Kec. Pasarwajo Kab. Buton Sulawesi Tenggara</t>
  </si>
  <si>
    <t>RS Umum Daerah Kabupaten Buton Selatan</t>
  </si>
  <si>
    <t>Buton Selatan</t>
  </si>
  <si>
    <t>Jl. Gajah Mada, kel. Bandar Batauga kec. Batauga kab. Buton Selatan Propinsi Sulawesi Tenggara Telp/Fax.(0402)</t>
  </si>
  <si>
    <t>RS Umum Daerah Kabupaten Buton Tengah</t>
  </si>
  <si>
    <t>Buton Tengah</t>
  </si>
  <si>
    <t>Jalan Gersamata, Kelurahan Bombonawulu, Kecamatan Gu, Kabupaten Buton Tengah, Provinsi Sulawesi Tenggara</t>
  </si>
  <si>
    <t>RS Umum Daerah Kabupaten Buton Utara</t>
  </si>
  <si>
    <t>Buton Utara</t>
  </si>
  <si>
    <t>Jl. Poros Ereke - Waode Buri, Desa Kalibu, Kecamatan Kulisusu, Kabupaten Buton Utara, Provinsi Sulawesi Tenggara</t>
  </si>
  <si>
    <t>RS Ibu dan Anak Budi Medika</t>
  </si>
  <si>
    <t>Kolaka</t>
  </si>
  <si>
    <t>Jl. Pramuka No. 113, Kel. Lamokato, Kec. Kolaka</t>
  </si>
  <si>
    <t>RS Benyamin Guluh Kolaka</t>
  </si>
  <si>
    <t>Jl. Mekongga Indah By Pass Kolaka-Pomalaa Kel. Tahoa Kec.  Kolaka</t>
  </si>
  <si>
    <t>RS Umum Harifa</t>
  </si>
  <si>
    <t>Jl. Alam Mekongga No.12 Kel. Laloeha, Kolaka 93511</t>
  </si>
  <si>
    <t>RS Antam Nikel Pomalaa</t>
  </si>
  <si>
    <t>Jl. R.Suprapto Pomalaa Kab.Kolaka</t>
  </si>
  <si>
    <t>RS Umum Daerah Kabupaten Kolaka Timur</t>
  </si>
  <si>
    <t>Kolaka Timur</t>
  </si>
  <si>
    <t>Jl. Drs. H. Abd. Silondae No. 35 Kelurahan Welala, Kecamatan Ladongi, Kabupaten Kolaka Timur, Sulawesi Tenggara, 93573</t>
  </si>
  <si>
    <t>RS Umum Daerah H.M.Djafar Harun</t>
  </si>
  <si>
    <t>Kolaka Utara</t>
  </si>
  <si>
    <t>Jl. Trans Sulawesi, Lasusua, Kolaka Utara, Sulawesi Tenggara</t>
  </si>
  <si>
    <t>RS Umum Daerah Konawe</t>
  </si>
  <si>
    <t>Konawe</t>
  </si>
  <si>
    <t>Jl. Pangeran Diponegoro No.301, Konawe</t>
  </si>
  <si>
    <t>RS Umum Setia Bunda</t>
  </si>
  <si>
    <t>Jl. Jenderal Sudirman No.698, Kel. Ambekairi Kec. Unaaha Kab. Konawe Prov. Sulawesi Tenggara</t>
  </si>
  <si>
    <t>RS Umum Daerah Kabupaten Konawe Kepulauan</t>
  </si>
  <si>
    <t>Konawe Kepulauan</t>
  </si>
  <si>
    <t>Desa Pasir Putih Kecamatan Wawonii Barat Kabupaten Konawe Kepulauan Provinsi Sulawesi Tenggara</t>
  </si>
  <si>
    <t>RS Umum Daerah Konawe Selatan</t>
  </si>
  <si>
    <t>Konawe Selatan</t>
  </si>
  <si>
    <t xml:space="preserve"> Jl. Poros Andoolo No. 1 Kompleks Perkantoran Pemda Kel.Potoro Kec.Andoolo, Kab.Konawe Selatan, Prov. Sulawesi Tenggara</t>
  </si>
  <si>
    <t>RS Umum Daerah Kab.Konawe Utara</t>
  </si>
  <si>
    <t>Konawe Utara</t>
  </si>
  <si>
    <t xml:space="preserve"> Jl. Poros Kendari-Asera, Desa Lahimbua, Kecamatan  Andowia, Kabupaten  Konawe Utara, Provinsi Sulawesi Tenggara</t>
  </si>
  <si>
    <t>RS Siloam Hospital Buton</t>
  </si>
  <si>
    <t>Kota Bau-Bau</t>
  </si>
  <si>
    <t>Jl. Sultan Hasanuddin No. 58 Kelurahan Batulo Kecamatan Wolio</t>
  </si>
  <si>
    <t>RS Umum Daerah Kota Bau Bau</t>
  </si>
  <si>
    <t>Jl. Drs. H. La Ode Manarfa, Kelurahan Baadia, Kecamatan Murhum, Kota Baubau, Propinsi Sulawesi Tenggara</t>
  </si>
  <si>
    <t>RS Faga Husada</t>
  </si>
  <si>
    <t>Jl. Betoambari No. 182 Kel. Katobengke Kec. Betoambari, Provinsi Sulawesi Tenggara</t>
  </si>
  <si>
    <t>RS Jantung dan Pembuluh Darah Oputa Yi Koo Sulawesi Tenggara</t>
  </si>
  <si>
    <t>Kota Kendari</t>
  </si>
  <si>
    <t>Jl. Dr. Sam Ratulangi No. 151</t>
  </si>
  <si>
    <t>RS Jiwa Kendari</t>
  </si>
  <si>
    <t xml:space="preserve"> Jl. DR.Sutomo No.29</t>
  </si>
  <si>
    <t>RS Umum Daerah Kota Kendari</t>
  </si>
  <si>
    <t xml:space="preserve"> Jl. Z.A. Sugianto No. 39 Kendari</t>
  </si>
  <si>
    <t>RS Bahteramas Provinsi Sultra</t>
  </si>
  <si>
    <t xml:space="preserve">Jl. Kapten Piere Tendean No 50 Kec Baruga </t>
  </si>
  <si>
    <t>RS Tk. IV Dr. R. Ismoyo Kendari</t>
  </si>
  <si>
    <t>Jl. Laute No 1 Kel. Mandonga Kec. Mandonga Kota Kendari Provinsi Sulawesi Tenggara Kode Pos : 93111</t>
  </si>
  <si>
    <t>RS Santa Anna</t>
  </si>
  <si>
    <t>Jl. DR. Moh.Hatta 65A Kendari</t>
  </si>
  <si>
    <t>RS Bhayangkara Kendari</t>
  </si>
  <si>
    <t xml:space="preserve"> Jl. Gunung Meluhu No. 7 Kota Kendari</t>
  </si>
  <si>
    <t>RS PMI Prov. Sultra</t>
  </si>
  <si>
    <t>Jl. S . Parman, No. 35, Kel. Watu - watu, Kec. Kendari Barat</t>
  </si>
  <si>
    <t>RS Umum Daerah Antero Hamra Kota Kendari</t>
  </si>
  <si>
    <t>Jl. Chairil Anwar No. 23 Kel. Puuwatu Kec. Puuwatu Kota Kendari - Sulawesi Tenggara</t>
  </si>
  <si>
    <t>RS Umum Aliyah</t>
  </si>
  <si>
    <t>Jl. Bunggasi Poros Anduonohu Kel. Rahandouna Kec. Poasia, Kota Kendari, Provinsi Sulawesi Tenggara</t>
  </si>
  <si>
    <t>RS Umum Aliyah II</t>
  </si>
  <si>
    <t>Jl. Buburanda Korumba - Mandonga Kendari Sulawesi Tenggara</t>
  </si>
  <si>
    <t>RS Umum Tiara Sentosa</t>
  </si>
  <si>
    <t>Jl. R. Suprapto No. 23 Mandonga, Kel. Mandonga , Kec. Mandonga, Kota Kendari Provinsi Sulawesi Tenggara</t>
  </si>
  <si>
    <t>RS Umum Aliyah III</t>
  </si>
  <si>
    <t>Jl. Christina Martha Tiahahu Kec. Baruga Kota Kendari Provinsi Sulawesi Tenggara</t>
  </si>
  <si>
    <t>RS Umum Dewi Sartika</t>
  </si>
  <si>
    <t>Jl. Kapten Piere Tendean No. 118 Kelurahan Watubangga Kecamatan Baruga Kota Kendari Provinsi Sulawesi Tenggara</t>
  </si>
  <si>
    <t>RS Hati Mulia</t>
  </si>
  <si>
    <t xml:space="preserve">JL D.I. PANJAITAN NO 243 </t>
  </si>
  <si>
    <t>RS Ibu dan Anak Harapan Kita</t>
  </si>
  <si>
    <t>Muna</t>
  </si>
  <si>
    <t>Jl. Gatot Subroto No. 16</t>
  </si>
  <si>
    <t>RS Umum Daerah dr. L.M Baharuddin, M. Kes Kab. Muna</t>
  </si>
  <si>
    <t>Jalan Jendral Achmad Yani Nomor 10 Raha Kelurahan Butung-butung Kecamatan Katobu Kabupaten Muna</t>
  </si>
  <si>
    <t>RS Umum Daerah Kabupaten Muna Barat</t>
  </si>
  <si>
    <t>Muna Barat</t>
  </si>
  <si>
    <t xml:space="preserve">  Bumi Praja Laworo, Desa Lombu Jaya, Kec. Sawerigadi, Kab. Muna Barat, Prov. Sulawesi Tenggara</t>
  </si>
  <si>
    <t>RS Umum Daerah Kabupaten Wakatobi</t>
  </si>
  <si>
    <t>Wakatobi</t>
  </si>
  <si>
    <t xml:space="preserve">Jl. Utudae Samad Kel. Mandati III, Kec. Wangi - Wangi Selatan Kab.Wakatobi, Provinsi Sulawesi Tenggara </t>
  </si>
  <si>
    <t>Sulawesi Utara</t>
  </si>
  <si>
    <t>RS Umum Datoe Binangkang</t>
  </si>
  <si>
    <t>Bolaang Mongondow</t>
  </si>
  <si>
    <t>Jl. Desa Lolak II Kec. Lolak Kabupaten Bolaang Mongondow</t>
  </si>
  <si>
    <t>RS Umum Daerah Bolaang Mongondow Selatan</t>
  </si>
  <si>
    <t>Bolaang Mongondow Selatan</t>
  </si>
  <si>
    <t>Jl. Trans Sulawesi desa Molibagu Kecamatan Bolaang Uki, Kabupaten Bolaang Mongondow selatan, Provinsi Sulawesi Utara Kode Pos 95770</t>
  </si>
  <si>
    <t>RS Umum Daerah Bolaang Mongondow Timur</t>
  </si>
  <si>
    <t>Bolaang Mongondow Timur</t>
  </si>
  <si>
    <t>Jl. Amurang Kotamobagu Desa Sumber Rejo Kecamatan Modayag Kabupaten Bolaang Mongondow Timur</t>
  </si>
  <si>
    <t>RS Umum Bintauna</t>
  </si>
  <si>
    <t>Bolaang Mongondow Utara</t>
  </si>
  <si>
    <t>Jl. Vongkuru Desa Pimpi Kecamatan Bintauna</t>
  </si>
  <si>
    <t xml:space="preserve">RS Umum Daerah Bolaang Mongondow Utara </t>
  </si>
  <si>
    <t>Jl. Talaga Tomoagu Bolangitang</t>
  </si>
  <si>
    <t>RS Daerah Liun Kendage</t>
  </si>
  <si>
    <t>Kepulauan Sangihe</t>
  </si>
  <si>
    <t xml:space="preserve"> Jalan Tatehe Kelurahan Apengsembeka Kecamatan Tahuna</t>
  </si>
  <si>
    <t>RS Umum Liung Paduli</t>
  </si>
  <si>
    <t>Kampung Naha Kecamatan Tabukan Utara</t>
  </si>
  <si>
    <t>RS Umum Daerah Tagulandang</t>
  </si>
  <si>
    <t>Kepulauan Siau Tagulandang Biaro</t>
  </si>
  <si>
    <t xml:space="preserve">  Kelurahan Bahoi Jln Batuline Tagulandang - Kab.Sitaro</t>
  </si>
  <si>
    <t>RS Umum Daerah Lapangan Sawang Kab. Sitaro</t>
  </si>
  <si>
    <t>Kampung Binalu, Kec : Siau Timur Selatan</t>
  </si>
  <si>
    <t>RS Umum Daerah Talaud</t>
  </si>
  <si>
    <t>Kepulauan Talaud</t>
  </si>
  <si>
    <t xml:space="preserve"> Jl. Raya Mala Kec. Melonguane</t>
  </si>
  <si>
    <t>RS Bergerak Kab.Kep.Talaud</t>
  </si>
  <si>
    <t xml:space="preserve">  Jl Raya Taturan - Gemeh Kecamatan Gemeh Kabupaten Kepulauan Talaud</t>
  </si>
  <si>
    <t>RS Umum Daerah Manembo-Nembo Bitung</t>
  </si>
  <si>
    <t>Kota Bitung</t>
  </si>
  <si>
    <t>Jl. S. H. Sarundajang Kel. Manembo-nembo Tengah Kec. Matuari</t>
  </si>
  <si>
    <t>RS Budi Mulia Bitung</t>
  </si>
  <si>
    <t>Jl. Sam Ratulangi X/9A Bitung</t>
  </si>
  <si>
    <t>RS Umum Daerah Kota Bitung</t>
  </si>
  <si>
    <t>Kel. Bitung Tengah Kec. Maesa</t>
  </si>
  <si>
    <t>Rumkital dr. Wahyu Slamet Bitung</t>
  </si>
  <si>
    <t>Jl. Yos Sudarso No. 26 ,Kel.Bitung Barat Dua, Kec. Maesa, Kota Bitung, Sulawesi Utara</t>
  </si>
  <si>
    <t>RS Ibu dan Anak Kasih Fatimah Kotamobagu</t>
  </si>
  <si>
    <t>Kota Kotamobagu</t>
  </si>
  <si>
    <t>Jl. Kolonel Soegiono No. 101 Kelurahan Kotabangon Kecamatan Kotamobagu Timur</t>
  </si>
  <si>
    <t>RS Kinapit</t>
  </si>
  <si>
    <t>Jl. S. Parman No.201</t>
  </si>
  <si>
    <t xml:space="preserve">RS Umum Daerah Kota Kotamobagu </t>
  </si>
  <si>
    <t xml:space="preserve">Kelurahan Pobundayan Kecamatan Kotamobagu Selatan </t>
  </si>
  <si>
    <t>RS Monompia</t>
  </si>
  <si>
    <t>Jl. A. Yani No.720, Kotamobagu Utara</t>
  </si>
  <si>
    <t>RS Khusus Daerah Gigi dan Mulut Kota Manado</t>
  </si>
  <si>
    <t>Kota Manado</t>
  </si>
  <si>
    <t>Jl. Lingkar Ringroad, Kelurahan Tingkulu, Kecamatan Wanea, Kota Manado, Provinsi Sulawesi Utara, Kode Pos 95117.</t>
  </si>
  <si>
    <t>RS Gigi dan Mulut Universitas Sam Ratulangi</t>
  </si>
  <si>
    <t>Jl. Dr. Soetomo No. 3</t>
  </si>
  <si>
    <t>RS Ibu dan Anak Kirana Manado</t>
  </si>
  <si>
    <t>Jl. Jend Sudirman No.78, Kelurahan Lawangirung, Kecamatan Wenang, Kota Manado, Provinsi Sulawesi Utara.</t>
  </si>
  <si>
    <t>RS Ibu dan Anak Kasih Ibu</t>
  </si>
  <si>
    <t>Jl. R. W. Mongisidi No.1 Kompleks Bahu Mall Blok C.23 Kelurahan Bahu Kecamatan Malalayang Kota Manado 95115</t>
  </si>
  <si>
    <t>RS Khusus Infeksi Kita Waya Provinsi Sulawesi Utara</t>
  </si>
  <si>
    <t>Jl. Raya Manado-Bitung Kel. Kairagi Satu Kec. Mapanget Kota Manado</t>
  </si>
  <si>
    <t>RS Mata Provinsi Sulawesi Utara</t>
  </si>
  <si>
    <t>Jl. W. Z. Johanis No.I Kota Manado</t>
  </si>
  <si>
    <t>RSUP Prof. Dr. R. D. Kandou</t>
  </si>
  <si>
    <t>Jl. Raya Tanawangko No.56, Manado</t>
  </si>
  <si>
    <t>RS Umum Daerah ODSK</t>
  </si>
  <si>
    <t>Jl. Bethesda No. 77 Manado</t>
  </si>
  <si>
    <t>RS Umum Siloam Hospital Manado</t>
  </si>
  <si>
    <t>JL.Sam Ratulangi No.22 Boulevard Center</t>
  </si>
  <si>
    <t>RS. Dr. J. H. AWALOEI - MANADO</t>
  </si>
  <si>
    <t>Jl. Pingkan Matindas, Kelurahan Dendengan Dalam</t>
  </si>
  <si>
    <t>RS Bhayangkara Manado</t>
  </si>
  <si>
    <t>Jl. Sam Ratulangi 326 Manado</t>
  </si>
  <si>
    <t>RS Hermina Manado</t>
  </si>
  <si>
    <t>Jl. Ring Road 2 Lingkungan 1 Kel. Paniki Bawah Kec. Mapanget</t>
  </si>
  <si>
    <t>RS Advent Manado</t>
  </si>
  <si>
    <t>Jl. 14 Februari No. 1 Teling Atas Kelurahan Teling Atas, Kecamatan Wanea Kota Manado Provinsi Sulawesi Utara 95119</t>
  </si>
  <si>
    <t>RS Pancaran Kasih</t>
  </si>
  <si>
    <t>Jl. Dr. Sam Ratulangi XIII Kelurahan Titiwungen Kecamatan Sario Kota Manado Provinsi Sulawesi Utara</t>
  </si>
  <si>
    <t>RS Umum Manado Medical Center</t>
  </si>
  <si>
    <t>Jln. Rajawali No. 8 - Kec. Paal 2 - Kel. Paal 2 - Kota Manado - 95129</t>
  </si>
  <si>
    <t>RS Umum Daerah Kota Manado</t>
  </si>
  <si>
    <t xml:space="preserve">Jl. Raya Ringroad I Kelurahan Tingkulu Lingkungan V, Kecamatan Wanea, Kota Manado, Prov. Sulawesi Utara </t>
  </si>
  <si>
    <t>RS TK. II R. W. Mongisidi</t>
  </si>
  <si>
    <t>Jl. 14 Februari Telling Atas Manado</t>
  </si>
  <si>
    <t>RS Islam Sitti Maryam</t>
  </si>
  <si>
    <t xml:space="preserve"> Jl. Pogidon Raya No.110 Tuminting Manado</t>
  </si>
  <si>
    <t>RS Siloam Paal Dua</t>
  </si>
  <si>
    <t>Jl. Yos Sudarso No.38-40, Kec. Paal Dua</t>
  </si>
  <si>
    <t>RSAU dr. Charles P. J. Suoth Lanud Sam Ratulangi</t>
  </si>
  <si>
    <t>Jl. A.A. Maramis, Kelurahan Lapangan, Kecamatan Mapanget, Kota Manado, Provinsi Sulawesi Utara</t>
  </si>
  <si>
    <t>Jl. Pingkan Matindas, Dendengan dalam,Manado</t>
  </si>
  <si>
    <t>RS Umum Daerah Anugerah</t>
  </si>
  <si>
    <t>Kota Tomohon</t>
  </si>
  <si>
    <t xml:space="preserve">Jl. Pinaras, Kelurahan Tumatangtang Satu Kecamatan Tomohon Selatan </t>
  </si>
  <si>
    <t>RS Gunung Maria</t>
  </si>
  <si>
    <t>Jl. Sejahtera No. 282 Tomohon</t>
  </si>
  <si>
    <t>RS Bethesda GMIM Tomohon</t>
  </si>
  <si>
    <t>Jln. Raya Tomohon, Kelurahan Talete Satu, Kecamatan Tomohon Tengah, Kota Tomohon, Provinsi Sulawesi Utara</t>
  </si>
  <si>
    <t>RS Jiwa Prof. Dr. V. L. Ratumbuysang</t>
  </si>
  <si>
    <t>Minahasa</t>
  </si>
  <si>
    <t>Desa Kalasey Dua Kec. Mandolang Kab. Minahasa</t>
  </si>
  <si>
    <t>RS Dr. J. H. Awaloei</t>
  </si>
  <si>
    <t>Jl. Raya Manado-Tateli Desa Tateli Satu Kec. Mandolang</t>
  </si>
  <si>
    <t>RS Budi Setia</t>
  </si>
  <si>
    <t>Kayowas Jaga I Langowan Barat Minahasa</t>
  </si>
  <si>
    <t>RS Umum Daerah Dr. Sam Ratulangi Tondano</t>
  </si>
  <si>
    <t>Jl. R. Suprapto, Luaan, Kec. Tondano Utara, Kabupaten Minahasa, Sulawesi Utara</t>
  </si>
  <si>
    <t>RS Umum Noongan</t>
  </si>
  <si>
    <t xml:space="preserve">  Jl.Raya Noongan Langowan Barat</t>
  </si>
  <si>
    <t>RS Siloam GMIM Sonder</t>
  </si>
  <si>
    <t>Kolongan Atas, Sonder</t>
  </si>
  <si>
    <t>RS Kalooran</t>
  </si>
  <si>
    <t>Minahasa Selatan</t>
  </si>
  <si>
    <t xml:space="preserve">Lingkungan V Kelurahan Buyungon, Kecamatan Amurang, Kabupaten Minahasa Selatan, Provinsi Sulawesi Utara, Kode Pos 95954 </t>
  </si>
  <si>
    <t>RS Umum Daerah Amurang</t>
  </si>
  <si>
    <t>Desa Teeptrans Jl. Trans Sulawesi Kecamatan Amurang Barat</t>
  </si>
  <si>
    <t>RS Cantia Tompasobaru</t>
  </si>
  <si>
    <t>Jaga II (dua) desa Pinaesaan, Kecamatan Tompasobaru, Kabupaten Minahasa Selatan</t>
  </si>
  <si>
    <t>RSU Ratatotok Buyat</t>
  </si>
  <si>
    <t>Minahasa Tenggara</t>
  </si>
  <si>
    <t xml:space="preserve">   JL. J.W. Lasut Ratatotok II Kecamatan Ratatotok, Minahasa Tenggara, Sulawesi Utara</t>
  </si>
  <si>
    <t>RS Umum Daerah Mitra Sehat</t>
  </si>
  <si>
    <t>Jl. Raya Ratahan - Liwutung Desa Towuntu Timur Kec. Pasan Kabupaten Minahasa Tenggara</t>
  </si>
  <si>
    <t>Sentra Medika Hospital Minahasa Utara</t>
  </si>
  <si>
    <t>Minahasa Utara</t>
  </si>
  <si>
    <t>Jl. Ir. Soekarno Desa Maumbi Kec. Kalawat</t>
  </si>
  <si>
    <t>RS Hermana</t>
  </si>
  <si>
    <t>Jl. A. Mononutu Desa Lembean Kec. Kauditan Kab. Minahasa Utara</t>
  </si>
  <si>
    <t>RS Umum Daerah Maria Walanda Maramis</t>
  </si>
  <si>
    <t xml:space="preserve"> Jl. Arnold Mononutu - Kel.Sarongsong II - Airmadidi</t>
  </si>
  <si>
    <t>RS Tonsea</t>
  </si>
  <si>
    <t>Jl. Arnold Mononutu No.176 Sarongsong 1, Kec. Airmadidi, Kab. Minahasa Utara, Sulawesi Utara</t>
  </si>
  <si>
    <t>Sumatera Barat</t>
  </si>
  <si>
    <t>RS Ibu dan Anak Rezki Bunda</t>
  </si>
  <si>
    <t>Agam</t>
  </si>
  <si>
    <t>Jln. Gajah Mada No. 435A Lansano. Kec. Lubuk Basung, Kabupaten Agam, Provinsi Sumatera Barat</t>
  </si>
  <si>
    <t>RS Umum Daerah Lubuk Basung</t>
  </si>
  <si>
    <t>Jl. M.Hatta Padang Baru,Lubuk Basung</t>
  </si>
  <si>
    <t>RS Umum Daerah Sungai Dareh</t>
  </si>
  <si>
    <t>Dharmasraya</t>
  </si>
  <si>
    <t>Jl. Lintas Sumatera KM 4, Kenagarian Sungai Kambut, Kec. Pulau Punjung</t>
  </si>
  <si>
    <t>RS Umum Daerah Sungai Rumbai</t>
  </si>
  <si>
    <t>Jl. Lintas Sumatera Jorong Ujung Koto Nagari Sungai Rumbai Timur Kecamatan Sungai Rumbai Kabupaten</t>
  </si>
  <si>
    <t>RS Umum Daerah Kep. Mentawai</t>
  </si>
  <si>
    <t>Kepulauan Mentawai</t>
  </si>
  <si>
    <t xml:space="preserve">Jalan Raya Tuapejat KM.9. Kecamatan Sipora Utara Kabupaten Kepulauan Mentawai Propinsi Sumatera Barat </t>
  </si>
  <si>
    <t>RS Otak DR. Drs. M. Hatta Bukittinggi</t>
  </si>
  <si>
    <t>Rumah Sakit Khusus Stroke</t>
  </si>
  <si>
    <t>Kota Bukittinggi</t>
  </si>
  <si>
    <t>Jl. Jend Sudirman Bukittinggi PO. BOX I Bukittinggi</t>
  </si>
  <si>
    <t>RS Umum Daerah Dr. Achmad Mochtar</t>
  </si>
  <si>
    <t>Jl. Dr. A. Rivai Kec. Guguak Panjang Bukittingi</t>
  </si>
  <si>
    <t>RS Umum Daerah Kota Bukittinggi</t>
  </si>
  <si>
    <t>Jl. By Pass Kubu Gulai Bancah RT.006  RW.002, Kelurahan Kubu Gulai Bancah, Kecamatan Mandiangin Koto Selayan, Kota Bukittinggi ,Provinsi Sumatera Barat</t>
  </si>
  <si>
    <t>RS Islam Ibnu Sina Bukittinggi</t>
  </si>
  <si>
    <t xml:space="preserve">Jl. Batang Agam, Belakang Balok </t>
  </si>
  <si>
    <t>RS Umum Madina</t>
  </si>
  <si>
    <t>Jl. Urip Sumoharjo, Kel. Tarok Dipo, Kec. Guguak Panjang, Kota Bukittinggi, Prov. Sumatera Barat</t>
  </si>
  <si>
    <t>RS Tk. IV Bukittinggi</t>
  </si>
  <si>
    <t>Jl. Jend. Sudirman 37 Bukittinggi</t>
  </si>
  <si>
    <t>RS Khusus Bedah Kartika Docta</t>
  </si>
  <si>
    <t>Kota Padang</t>
  </si>
  <si>
    <t>Jl. Gajah Mada No.14 Kelurahan Gunung Pangilun, Kecamatan Padang Utara, Kota Padang</t>
  </si>
  <si>
    <t>RS Khusus Bedah Ropanasuri</t>
  </si>
  <si>
    <t>Jl. Aur No.8, Ujung Gurun, Padang Barat</t>
  </si>
  <si>
    <t>RS Khusus Gigi dan Mulut Baiturrahmah</t>
  </si>
  <si>
    <t>Jl. Raya by Pass KM.14 Sei Sapih Padang</t>
  </si>
  <si>
    <t>RS Gigi dan Mulut Universitas Andalas</t>
  </si>
  <si>
    <t>Jl. Perintis Kemerdekan No.77 Jati Baru</t>
  </si>
  <si>
    <t>RS Ibu dan Anak Siti Hawa</t>
  </si>
  <si>
    <t>Jl Parak Gadang Raya No 35 A Padang</t>
  </si>
  <si>
    <t>Jl. S. Parman No. 142 Padang</t>
  </si>
  <si>
    <t>RS Ibu dan Anak Cicik</t>
  </si>
  <si>
    <t>Jl. Dr.Sutomo No 94 Padang</t>
  </si>
  <si>
    <t>RS Ibu dan Anak Lenggogeni</t>
  </si>
  <si>
    <t>Jl. Purus II No.1, Rw 03 Kota Padang Sumatra Barat 25115 Indonesia</t>
  </si>
  <si>
    <t>Jl. Terandam No. 5-7 Kel. Sawahan, Kec. Padang Timur, Kota Padang, Prov. Sumatera Barat</t>
  </si>
  <si>
    <t>RS Jiwa Prof. Dr. Hasan Basri Saanin Datuk Tan Par</t>
  </si>
  <si>
    <t>Jl. Raya Ulu Gadut, Padang</t>
  </si>
  <si>
    <t>RS Jiwa dr. Yaunin</t>
  </si>
  <si>
    <t>Jl. Sawahan No.36, Sawahan, Kec. Padang Tim., Kota Padang, Sumatera Barat 25171</t>
  </si>
  <si>
    <t>RS Khusus Mata Regina Eye Center</t>
  </si>
  <si>
    <t>Jl. H. Agus Salim No. 11A Padang</t>
  </si>
  <si>
    <t>RS Khusus Mata Padang Eye Center</t>
  </si>
  <si>
    <t>Jl.Pemuda No 53, Padang</t>
  </si>
  <si>
    <t>RSUP Dr. M. Djamil</t>
  </si>
  <si>
    <t>Jalan Perintis Kemerdekaan, Kel. Sawahan Timur, Kec. Padang Timur, Kota Padang, Sumatera Barat, 25127</t>
  </si>
  <si>
    <t>RS. Universitas Andalas</t>
  </si>
  <si>
    <t>Kompleks kampus Unand, Limau Manis, Kec. Pauh, PADANG</t>
  </si>
  <si>
    <t>RS Islam Siti Rahmah</t>
  </si>
  <si>
    <t>JL.Raya by Pass KM 15 Air Pacah Padang</t>
  </si>
  <si>
    <t>RS Umum Yos Sudarso</t>
  </si>
  <si>
    <t>Jalan Situjuh nomor 1 Padang</t>
  </si>
  <si>
    <t>RS Tk. III Reksodiwiryo Padang</t>
  </si>
  <si>
    <t>Jl. dr. Wahidin No. 1, Kel. Ganting Parak Gadang, Kec. Padang Timur</t>
  </si>
  <si>
    <t>RS Umum Daerah dr. Rasidin Padang</t>
  </si>
  <si>
    <t>Jl. Air Paku Sungai Sapih Kecamatan Kuranji Kota Padang Sumatera Barat</t>
  </si>
  <si>
    <t>RS Umum Bunda Padang</t>
  </si>
  <si>
    <t>Jl. Proklamasi No. 37 Padang</t>
  </si>
  <si>
    <t>RS Umum Semen Padang Hospital</t>
  </si>
  <si>
    <t>Jl. By Pass KM 7 Kelurahan Pisang Kecamatan Pauh</t>
  </si>
  <si>
    <t>RS Umum Aisyiyah Padang</t>
  </si>
  <si>
    <t>Jl. H. Agus Salim No. 6 Padang , Sumatera Barat</t>
  </si>
  <si>
    <t>RS Umum Naili DBS</t>
  </si>
  <si>
    <t xml:space="preserve">JL.Ratulangi N0.24 RT.001 RW.008 Kelurahan Kampung Jao </t>
  </si>
  <si>
    <t>RS Umum Islam Ibnu Sina</t>
  </si>
  <si>
    <t>Jl. Gajah Mada Gunung Pangilun Padang</t>
  </si>
  <si>
    <t>RS Umum Hermina Padang</t>
  </si>
  <si>
    <t>Jl. Khatib Sulaiman RT 006 RW 007, Kel. Lolong Belanti, Kec. Padang Utara</t>
  </si>
  <si>
    <t>RS Bhayangkara Padang</t>
  </si>
  <si>
    <t>Jl. Jati No.I Padang</t>
  </si>
  <si>
    <t>RS Umum Daerah Padang Panjang</t>
  </si>
  <si>
    <t>Kota Padang Panjang</t>
  </si>
  <si>
    <t>Jl. Tabek Gadang Kel. Ganting Kec. Padang Panjang Timur</t>
  </si>
  <si>
    <t>RS Umum Ibnu Sina Padang Panjang</t>
  </si>
  <si>
    <t>Jl. Soekarno-Hatta No. 17, Kel. Bukit Surungan, Kec. Padang Panjang Barat</t>
  </si>
  <si>
    <t>RS Ibu dan Anak Citra Aguswar Medical Center</t>
  </si>
  <si>
    <t>Kota Pariaman</t>
  </si>
  <si>
    <t>Jl. M. Rasyid No.30 Desa Rambai, Kec. Pariaman Selatan, Kota Pariaman, Sumatera Barat</t>
  </si>
  <si>
    <t>RS Umum Daerah Pariaman</t>
  </si>
  <si>
    <t xml:space="preserve"> Jl. Prof. M.Yamin SH, No.5, Desa/Kelurahan Kampung Baru, Kec. Pariaman Tengah, Kota Pariaman, Provinsi Sumatera Barat, Kode Pos: 25514</t>
  </si>
  <si>
    <t>RS Umum Daerah Dr Sadikin Kota Pariaman</t>
  </si>
  <si>
    <t>Jl. Nostalgia No. 55, Desa Kampung Gadang Padusunan, Kecamatan Pariaman Timur, Kota Pariaman, Propinsi Sumatera Barat</t>
  </si>
  <si>
    <t>RS Umum Tamar Medical Centre</t>
  </si>
  <si>
    <t>Jalan Basuki Rahmat No. 1 Kelurahan Karan Aur Kecamatan Pariaman Tengah</t>
  </si>
  <si>
    <t>RS Umum Aisyiyah Pariaman</t>
  </si>
  <si>
    <t>Jl. Abdul Muis No. 26, Kelurahan Taratak Kec.Pariaman Tengah, Kota Pariaman, Provinsi Sumatera Barat</t>
  </si>
  <si>
    <t>RS Ibu dan Anak Annisa Payakumbuh</t>
  </si>
  <si>
    <t>Kota Payakumbuh</t>
  </si>
  <si>
    <t>Jl. Sultan Hasanudin, Kel. Padangtongah Balainanduo, Kec. Payakumbuh Barat, Kota Payakumbuh</t>
  </si>
  <si>
    <t>RS Ibu dan Anak Sukma Bunda</t>
  </si>
  <si>
    <t>Jl. Soekarno-Hatta Kelurahan Bulakan Balai Kandi Kecamatan Payakumbuh Barat Kota Payakumbuh Provinsi Sumatera Barat</t>
  </si>
  <si>
    <t>RS Umum Ibnu Sina Kota Payakumbuh</t>
  </si>
  <si>
    <t>Jl. Veteran No 14 Payakumbuh</t>
  </si>
  <si>
    <t>RS Umum Daerah Dr. Adnaan WD</t>
  </si>
  <si>
    <t>Jl. AIS Nasution 25,Balai Kaliki Payakumbuh</t>
  </si>
  <si>
    <t>RS Umum Daerah Sawah Lunto</t>
  </si>
  <si>
    <t>Kota Sawah Lunto</t>
  </si>
  <si>
    <t>Jl. RA. Kartini No.18, Sawah Lunto Desa/Kelurahan Aur Mulio,  Kec.  Lembah Segar,  Kota Sawahlunto,  Provinsi Sumatera Barat,  Kode Pos 27418</t>
  </si>
  <si>
    <t>RS Ibu Dan Anak Ananda</t>
  </si>
  <si>
    <t>Kota Solok</t>
  </si>
  <si>
    <t>Jl. Prof. M. Yamin Pandan Ujung No. 76, Kelurahan PPA, Kecamatan Tanjung Harapan, Kota Solok, Sumatera Barat</t>
  </si>
  <si>
    <t>RS Ibu dan Anak Permata Bunda Solok</t>
  </si>
  <si>
    <t>Jl. Nasir Sutan Pamuncak, By Pass Kelurahan KTK, Kecamatan Lubuk Sikarah Kota Solok</t>
  </si>
  <si>
    <t>RS Umum Daerah Mohammad Natsir</t>
  </si>
  <si>
    <t>Jl. Simpang Rumbio, kec. lubuk sikarah Solok</t>
  </si>
  <si>
    <t>RS Umum Daerah Serambi Madinah Kota Solok</t>
  </si>
  <si>
    <t>Jl. Tuanku Imam Bonjol No. 366 Kel. Tanah Garam Kec. Lubuk Sikarah</t>
  </si>
  <si>
    <t>RS Tk. IV 01.07.06 Solok</t>
  </si>
  <si>
    <t>JL. Proklamasi No. 03 kota Solok</t>
  </si>
  <si>
    <t>RS Umum Daerah dr. Achmad Darwis</t>
  </si>
  <si>
    <t>Lima Puluh Kota</t>
  </si>
  <si>
    <t>Jl. Tan Malaka No.1, Kec.Suliki</t>
  </si>
  <si>
    <t>RS Paru Sumatera Barat</t>
  </si>
  <si>
    <t>Padang Pariaman</t>
  </si>
  <si>
    <t xml:space="preserve"> Jl. M. Djamil No 110 Lubuk Alung</t>
  </si>
  <si>
    <t>RS Umum Daerah Padang Pariaman</t>
  </si>
  <si>
    <t>Jl.raya Padang bukittingi Km.42 Parit malintang</t>
  </si>
  <si>
    <t>RS Umum Daerah Tuanku Imam Bonjol</t>
  </si>
  <si>
    <t>Pasaman</t>
  </si>
  <si>
    <t>Jl. Jendral Sudirman No.33, Kelurahan Pauah, Kecamatan Lubuk Sikaping, Kabupaten Pasaman, Provinsi Sumatera Barat</t>
  </si>
  <si>
    <t>RS Umum Daerah Tuanku Rao</t>
  </si>
  <si>
    <t>Jl. Lintas Sumatera KM. 8 Jorong Selamat Utara, Nagari Sitombol, Kecamatan Padang Gelugur Kabupaten Pasaman Provinsi Sumatera Barat</t>
  </si>
  <si>
    <t xml:space="preserve">RS Islam Ibnu Sina Panti Yarsi </t>
  </si>
  <si>
    <t>Jl. Lintas Medan Bukittinggi Kampung Cengkeh No. 86 Panti</t>
  </si>
  <si>
    <t>RS Ibu dan Anak AL-Ihsan</t>
  </si>
  <si>
    <t>Pasaman Barat</t>
  </si>
  <si>
    <t>Jl. Bakti Depan SPBU Pertamina Simpang Empat, Jorong Simpang Ampek, Nagari Lingkuang Aua, Kecamatan Pasaman, Kabupaten Pasaman Barat, Provinsi Sumatera Barat</t>
  </si>
  <si>
    <t>RS Umum Daerah Pasaman Barat</t>
  </si>
  <si>
    <t>Jl. Jenderal Sudirman, Kec.Luhak Nan Duo,Kab.Pasaman Barat,Provinsi Sumatra Barat</t>
  </si>
  <si>
    <t xml:space="preserve">Jl M Natsir pasaman baru </t>
  </si>
  <si>
    <t>RS Umum Daerah Ujung Gading</t>
  </si>
  <si>
    <t>Jl. Flores Jorong Kuamang Nagari Ujung Gading Kecamatan Lembah Melintang Kabupaten Pasaman Barat Provinsi Sumatera Barat, Kode Pos (26572)</t>
  </si>
  <si>
    <t>RS Khusus Ibu dan Anak Permata Hati</t>
  </si>
  <si>
    <t>Pesisir Selatan</t>
  </si>
  <si>
    <t>Jl. Rawang Painan Utara, Nagari Painan Kec. IV Jurai, Kab Pesisir Selatan, Provinsi Sumatra Barat</t>
  </si>
  <si>
    <t>RS Umum BKM</t>
  </si>
  <si>
    <t>Jl Jend Sudirman Sago IV Jurai Painan</t>
  </si>
  <si>
    <t>RS Umum Daerah Dr. Muhammad Zein Painan</t>
  </si>
  <si>
    <t>Jl. A. Rivai No 1 Painan Kabupaten Pesisir Selatan</t>
  </si>
  <si>
    <t>RS Umum Daerah Tapan</t>
  </si>
  <si>
    <t>Jalan Tapan - Padang , Kenagarian Bukit Buai Tapan, Kecamatan Basa Ampek Balai Tapan, Kabupaten Pesisir Selatan, Provinsi Sumatera Barat</t>
  </si>
  <si>
    <t>RS Khusus Ibu dan Anak Haryanda</t>
  </si>
  <si>
    <t>Sijunjung</t>
  </si>
  <si>
    <t>Jl. Lintas Sumatera, Pondok Mahligai Indah, Tanah Badantung, Kecamatan Sijunjung, Kabupaten Sijunjung, Provinsi Sumatera Barat</t>
  </si>
  <si>
    <t>RS Umum Daerah Ahmad Syafi'I Ma'arif</t>
  </si>
  <si>
    <t xml:space="preserve">Jl. Lintas Sumatera Km. 110 Tanah Badantuang </t>
  </si>
  <si>
    <t>RS Umum Daerah Kamang Baru</t>
  </si>
  <si>
    <t>Jl. Lintas Sumatera Jorong Batang Kariang Kec. Kamang Baru</t>
  </si>
  <si>
    <t>RS Umum Daerah Arosuka Solok</t>
  </si>
  <si>
    <t>Solok</t>
  </si>
  <si>
    <t>Jl. Raya Solok Padang KM, 20 Arosuka Kode Pos 27364 Provinsi Sumatera Barat Telp/Fax (0755) 31160</t>
  </si>
  <si>
    <t>RS Umum Daerah Muara Labuh</t>
  </si>
  <si>
    <t>Solok Selatan</t>
  </si>
  <si>
    <t>Jl. Raya Km.1 Muara Labuh Padang Aro</t>
  </si>
  <si>
    <t>RS Umum Daerah Batang Sangir</t>
  </si>
  <si>
    <t>Jl. Lubuk Malako Nagari Lubuk Malako Kec. Sangir Jujuan</t>
  </si>
  <si>
    <t>RS Ibu dan Anak Fadhila Batusangkar</t>
  </si>
  <si>
    <t>Tanah Datar</t>
  </si>
  <si>
    <t>Jl. Baringin No. 5 Jorong Baringin Nagari Baringin Kec. Lima Kaum Batusangkar</t>
  </si>
  <si>
    <t>Jl. Hamka no. 273  Batusangkar Jorong Simpuruik Nagari Simpuruik Kecamatan Sungai Tarab Kabupaten Tanah Datar Provinsi Sumatera Barat</t>
  </si>
  <si>
    <t>RS Umum Daerah Prof. Dr. M.A. Hanafiah</t>
  </si>
  <si>
    <t>Jl. Bundo Kanduang no 1 Batusangkar</t>
  </si>
  <si>
    <t>RS Umum Harapan Ibunda</t>
  </si>
  <si>
    <t>Jl. Imam Bonjol No.3B, Dobok</t>
  </si>
  <si>
    <t>Sumatera Selatan</t>
  </si>
  <si>
    <t>RS Bunda Medika Jakabaring</t>
  </si>
  <si>
    <t>Banyuasin</t>
  </si>
  <si>
    <t>Jl. Gubernur H.A. Bastari Jakabaring Desa Sungai Kedukan Kecamatan Rambutan</t>
  </si>
  <si>
    <t>RS Hermina OPI Jakabaring</t>
  </si>
  <si>
    <t xml:space="preserve">Jl. Gub H A Bastari RT 010 RW 005 Kel. Jakabaring Selatan Kec. Rambutan </t>
  </si>
  <si>
    <t>RS Umum Daerah Banyuasin</t>
  </si>
  <si>
    <t>Jl. Raya Palembang - Betung Km.48,Pangkalan Balai Kabupaten Banyuasin Provinsi Sumatera Selatan</t>
  </si>
  <si>
    <t>RS Umum Pusat Dr. Rivai Abdullah</t>
  </si>
  <si>
    <t xml:space="preserve">Jl. Sungai Kundur Kelurahan Mariana Kec. Banyuasin I </t>
  </si>
  <si>
    <t>RS Umum Daerah Sukajadi</t>
  </si>
  <si>
    <t>Jl. Palembang Betung Km. 14.5 Kelurahan Tanah Mas Kecamatan  Talang kelapa Kabupaten Banyuasin Provinsi Sumatera Selatan kodepos 30961</t>
  </si>
  <si>
    <t>RS Umum Daerah Pratama Makarti Jaya</t>
  </si>
  <si>
    <t>Jl. Sultan Agung No. 56 Lingkungan II Kelurahan Makarti Jaya Kecamatan Makarti Jaya Kabupaten Banyuasin Sumatera Selatan</t>
  </si>
  <si>
    <t>RS Umum Daerah Kabupaten Empat Lawang</t>
  </si>
  <si>
    <t>Empat Lawang</t>
  </si>
  <si>
    <t xml:space="preserve"> Jl. Noerdin Pandji Km 5, Kelurahan Tanjung Kupang, Kecamatan Tebing Tinggi, Kabupaten Empat Lawang, Provinsi Sumatera Selatan</t>
  </si>
  <si>
    <t>RS Pratama Pendopo</t>
  </si>
  <si>
    <t xml:space="preserve">Jl. Jati Kel. Pendopo Kec. Pendopo </t>
  </si>
  <si>
    <t>RS Ibu dan Anak Ananda Lubuk Linggau</t>
  </si>
  <si>
    <t>Kota Lubuk Linggau</t>
  </si>
  <si>
    <t>Jl. Yos Sudarso Rt. 006,  Kelurahan Batu Urip, Kecamatan Lubuklinggau Timur 1, Kota Lubuklinggau, Provinsi Sumatera Selatan. Kodepos 31624.</t>
  </si>
  <si>
    <t>RS Ibu dan Anak Dwi Sari</t>
  </si>
  <si>
    <t>Jl. Yos Sudarso No. 2 RT. 03, Watervang, Kec. Lubuklinggau Timur I, Kota Lubuklinggau, Provinsi Sumatera Selatan</t>
  </si>
  <si>
    <t>RS AR Bunda Kota Lubuk Linggau</t>
  </si>
  <si>
    <t>Jl. Garuda No. 245 RT. 03 Kel. Bandung Kiri Kec. Lubuklinggau Barat I Kota Lubuklinggau, Sumsel</t>
  </si>
  <si>
    <t>RS Umum Daerah Siti Aisyah Kota Lubuk Linggau</t>
  </si>
  <si>
    <t>Jl. Letkol Sukirno No.20A Kel.Air Kuti, Kec. Lubuklinggau Timur I Kota Lubuklinggau Provinsi Sumatera Selatan</t>
  </si>
  <si>
    <t>RS Siloam Silampari</t>
  </si>
  <si>
    <t xml:space="preserve">Jl Yos Sudarso Rt 11 Kelurahan Taba Jemekeh Kecamatan Lubuklinggau Timur 1 </t>
  </si>
  <si>
    <t>RS Umum Daerah Petanang</t>
  </si>
  <si>
    <t>Jl. Soekarno Hatta KM 12.5 Kelurahan. Petanang Ilir Kecamatan. Lubuklinggau Utara 1. Kota Lubuk Linggau. Provinsi Sumatera Selatan</t>
  </si>
  <si>
    <t>RS Umum Daerah Basemah Kota Pagar Alam</t>
  </si>
  <si>
    <t>Kota Pagar Alam</t>
  </si>
  <si>
    <t>Jl. AIS Nasution No.3 Kel. Alun Dua Kec. Pagar Alam Utara Kota Pagar Alam Provinsi Sumatera Selatan</t>
  </si>
  <si>
    <t>RS Khusus Gigi dan Mulut Palembang Provinsi Sumate</t>
  </si>
  <si>
    <t>Kota Palembang</t>
  </si>
  <si>
    <t>Jl. Kolonel. H. Burlian KM. 6 Palembang</t>
  </si>
  <si>
    <t>RS Ibu dan Anak Marissa Palembang</t>
  </si>
  <si>
    <t>JL.KAPTEN ABDULLAH NO.1212 RT.18 RW. 07 KELURAHAN TALANG BUBUK, KECAMATAN PLAJU</t>
  </si>
  <si>
    <t>RS Ibu dan Anak Rika Amelia</t>
  </si>
  <si>
    <t>Jl. Sultan Machmud Badaruddin II No. 18 Rt. 17 Rw. 04 Kel. Alang-Alang Lebar KM 11</t>
  </si>
  <si>
    <t>RS Ibu dan Anak Trinanda Palembang</t>
  </si>
  <si>
    <t>Jl. RE. Martadinata No. 6-8 Palembang</t>
  </si>
  <si>
    <t>RS Ibu dan Anak Mama</t>
  </si>
  <si>
    <t>Jalan Lembing Blok F No. 15 Kampus POM IX, RT 031, RW 009, Kelurahan Lorok Pakjo, Kecamatan Ilir Barat Satu, Kota Palembang, Provinsi Sumatera Selatan</t>
  </si>
  <si>
    <t>RS Ibu dan Anak Bunda Noni</t>
  </si>
  <si>
    <t xml:space="preserve">Jl. Srijaya Negara No.1 Rt.72 Rw.11 Kel. Bukit Lama  </t>
  </si>
  <si>
    <t>RS Ibu dan Anak Az-Zahra Palembang</t>
  </si>
  <si>
    <t>Jl.Brigjend Hasan Kasim No. 1-2 Kel. Bukit Sangkal Kec. Kalidoni Palembang</t>
  </si>
  <si>
    <t>RS Jiwa Ernaldi Bahar Provinsi Sumatera Selatan</t>
  </si>
  <si>
    <t>Jl. Tembus Terminal No. 02, KM. 12 Kecamatan Alang Alang Lebar Kota Palembang</t>
  </si>
  <si>
    <t>RS Khusus Mata Masyarakat Provinsi Sumatera Selatan</t>
  </si>
  <si>
    <t>Jl. Kol. H. Burlian KM.6 , Desa/Kelurahan Sukajaya, Kec.Sukarami, Kota Palembang, Prov.Sumatera Selatan , Kode Pos : 30151</t>
  </si>
  <si>
    <t>RS Umum Pusat Dr. Mohammad Hoesin Palembang</t>
  </si>
  <si>
    <t>Jl. Jendral Sudirman KM 3,5 Palembang</t>
  </si>
  <si>
    <t>RS Islam Siti Khadijah</t>
  </si>
  <si>
    <t>Jl. Demang Lebar Daun No.26</t>
  </si>
  <si>
    <t>RS Umum Daerah Palembang Bari</t>
  </si>
  <si>
    <t>Jl. Panca Usaha No.1 Kel. 5 ulu Seb. Ulu I, PALEMBANG</t>
  </si>
  <si>
    <t>RS Umum Daerah Siti Fatimah Provinsi Sumatera Sela</t>
  </si>
  <si>
    <t xml:space="preserve">Jl. Kol. H. Burlian Km 6 </t>
  </si>
  <si>
    <t>RS Umum Charitas Hospital Palembang</t>
  </si>
  <si>
    <t>Jl. Sudirman 1054 Palembang</t>
  </si>
  <si>
    <t>RS Hermina Palembang</t>
  </si>
  <si>
    <t>JL. BASUKI RAHMAT NO 897 RT 897 RT 11 RW 003 PALEMBANG</t>
  </si>
  <si>
    <t>RS Siloam Sriwijaya Palembang</t>
  </si>
  <si>
    <t>JL.POM IX (KOMPLEK PS MALL) KELURAHAN LOROK PAKJO</t>
  </si>
  <si>
    <t>RS Bhayangkara M. Hasan Palembang</t>
  </si>
  <si>
    <t>Jl. Jenderal Sudirman KM. 4.5</t>
  </si>
  <si>
    <t>RS Umum Ar-Rasyid Palembang</t>
  </si>
  <si>
    <t>JL. H. M. Saleh No. 02 KM. 7 Kel. Sukarami Kec. Sukarami Palembang</t>
  </si>
  <si>
    <t>RS Musi Medika Cendikia</t>
  </si>
  <si>
    <t>Jl. Demang Lebar Daun No.62 RT.035 RW.010 Kel. Demang Lebar Daun Kec. Ilir Barat I. Palembang Sumatera Selatan</t>
  </si>
  <si>
    <t xml:space="preserve">RS Pelabuhan Palembang </t>
  </si>
  <si>
    <t>Jl. Mayor Memet Sastra Wirya No.1 Boom Baru</t>
  </si>
  <si>
    <t>RS Umum Myria Palembang</t>
  </si>
  <si>
    <t>Jl. Kol. H. Barlian Km. 7 No. 228 Kota. Palembang</t>
  </si>
  <si>
    <t xml:space="preserve">RS Umum YK Madira Palembang </t>
  </si>
  <si>
    <t>Jl. Jendral Sudirman No. 1051 C-D-E KM 3.5 Kecamatan Ilir Timur 1 , Kelurahan 20 Ilir D-I, Palembang, 30126, Provinsi Sumatera Selatan.</t>
  </si>
  <si>
    <t>RS Umum Bunda Palembang</t>
  </si>
  <si>
    <t>Jl. Demang Lebar Daun No 70 Palembang</t>
  </si>
  <si>
    <t>RS Muhammadiyah Palembang</t>
  </si>
  <si>
    <t>Jl. A. Yani 13 Ulu, kota Palembang,Sumatera selatan</t>
  </si>
  <si>
    <t>RS Umum Pertamina Palembang</t>
  </si>
  <si>
    <t>JL. Pengantingan NO I Komplek Pertamina Plaju, Palembang</t>
  </si>
  <si>
    <t>RS Umum Sriwijaya</t>
  </si>
  <si>
    <t>Jl. Jenderal Sudirman No. 502 Km.4,5, Palembang</t>
  </si>
  <si>
    <t>RS Permata Palembang</t>
  </si>
  <si>
    <t>Jl. Soekarno Hatta, Ilir Barat 1, Palembang</t>
  </si>
  <si>
    <t>RS Umum Pusri Palembang</t>
  </si>
  <si>
    <t>Jl May Zen Kompl Pusri, 2 Ilir Palembang</t>
  </si>
  <si>
    <t>RS Umum dr. AK. Gani Kota Palembang</t>
  </si>
  <si>
    <t>Jl. dr AK Gani no I Palembang</t>
  </si>
  <si>
    <t>RS Umum Daerah Gandus Palembang</t>
  </si>
  <si>
    <t>Jl. Sofyan Kenawas Gandus Palembang</t>
  </si>
  <si>
    <t>Charitas Hospital Kenten</t>
  </si>
  <si>
    <t>JL.BETAWI RAYA NO 1340 RT 22 RW 06 KELURAHAN LEBONG GAJAH KECAMATAN SEMATANG BORANG PALEMBANG</t>
  </si>
  <si>
    <t xml:space="preserve">RS Umum Graha Mandiri </t>
  </si>
  <si>
    <t>Jl.ANWAR ARSYAD NO.12 RT.02 RW.07 KEL SIRING AGUNG</t>
  </si>
  <si>
    <t>RS AR Bunda Kota Prabumulih</t>
  </si>
  <si>
    <t>Kota Prabumulih</t>
  </si>
  <si>
    <t>Jl. Angkatan 45 Kel. Gunung Ibul Barat Kec. Prabumulih Timur Prabumulih, Sumatera Selatan 31121</t>
  </si>
  <si>
    <t>RS Pertamina Kota Prabumulih</t>
  </si>
  <si>
    <t>Jl. Kesehatan No. 100 Komperta Prabumulih</t>
  </si>
  <si>
    <t>RS Umum Daerah Kota Prabumulih</t>
  </si>
  <si>
    <t>Jl. Lingkar Barat RT. 11 RW. 03, Kelurahan Gunung Ibul, Kecamatan Prabumulih Timur. Kota Prabumulih. Provinsi Sumatera Selatan</t>
  </si>
  <si>
    <t>RS Umum Fadhilah Kota Prabumulih</t>
  </si>
  <si>
    <t>Jl. Jenderal Sudirman No.01 Kel. Patih Galung Kec. Prabumulih Barat</t>
  </si>
  <si>
    <t xml:space="preserve">RS Ibu dan Anak Adellia Graha Medika </t>
  </si>
  <si>
    <t>Lahat</t>
  </si>
  <si>
    <t>Jl. Letnan Marzuki Ruko 59-59 Simpang Kodim Lama Kel. Pasar Lama Kec. Lahat</t>
  </si>
  <si>
    <t>RS Umum Daerah Lahat</t>
  </si>
  <si>
    <t>Jl. Letjend Harun Sohar  I  No.28 Kelurahan Pasar Baru Kabupaten Lahat Sumatera Selatan</t>
  </si>
  <si>
    <t>RS Tk. IV Lahat</t>
  </si>
  <si>
    <t>Jl. Letjen harun sohar No.26,Lahat</t>
  </si>
  <si>
    <t>RS Ibu dan Anak Karunia Indah Medika</t>
  </si>
  <si>
    <t>Muara Enim</t>
  </si>
  <si>
    <t>Jl. Mayor Tjik Agus Kiemas Lintas Kepur Muara Enim (Kawasan Perkantoran Islamic Center)</t>
  </si>
  <si>
    <t>RS Umum Daerah dr. H. M. Rabain Muara Enim</t>
  </si>
  <si>
    <t>Jl. Sultan Mahmud Badarudin II No. 49</t>
  </si>
  <si>
    <t>RS Umum Bukit Asam Medika</t>
  </si>
  <si>
    <t>Jl. Raya Bukit Asam no 118 Tanjung Enim</t>
  </si>
  <si>
    <t>RS Umum Daerah Semende Darat Laut</t>
  </si>
  <si>
    <t>Jl. Lingkar Desa Muara Dua Desa Muara Dua Kecamatan Semende Darat Laut Kabupaten Muara Enim Provinsi Sumatera Selatan Kode Pos 31356</t>
  </si>
  <si>
    <t xml:space="preserve">RS Umum Daerah Lubai Ulu </t>
  </si>
  <si>
    <t>Jl. Raya Prabumulih- Batu Raja ,Desa Karang Agung, Kecamatan Lubai Ulu, Kabupaten Muara Enim, Provinsi Sumatera Selatan</t>
  </si>
  <si>
    <t>RS Umum Daerah Gelumbang</t>
  </si>
  <si>
    <t>JL. Lingkar Gelumbang Kelurahan Gelumbang Kecamatan Gelumbang, Kabupaten Muara Enim, Provinsi Sumatera Selatan</t>
  </si>
  <si>
    <t>RS Umum Trijaya Medical Center</t>
  </si>
  <si>
    <t>Jl. Lintas Baturaja No. 541 Tanjung Buhuk, Kelurahan Tanjung Enim, Kecamatan Lawang Kidul, Kabupaten Muara Enim, Provinsi Sumatera Selatan</t>
  </si>
  <si>
    <t>RS Umum Daerah Sekayu</t>
  </si>
  <si>
    <t>Musi Banyuasin</t>
  </si>
  <si>
    <t>Jl. Bupati Oesman Bakar Lingkungan I Kel. Kayuara Kec. Sekayu Kab.Musi Banyuasin</t>
  </si>
  <si>
    <t>RS Umum Daerah Bayung Lincir</t>
  </si>
  <si>
    <t>Jl Raya Palembang-Jambi KM 200 Kec, Bayung Lencir</t>
  </si>
  <si>
    <t>RS Umum Daerah Sungai Lilin</t>
  </si>
  <si>
    <t>Jl. Palembang-Jambi KM.117 RSUD Sungai Lilin Kecamatan Sungai Lilin</t>
  </si>
  <si>
    <t>RS Umum Daerah Dr. Sobirin Kabupaten Musi Rawas</t>
  </si>
  <si>
    <t>Musi Rawas</t>
  </si>
  <si>
    <t>Jalan Pangeran Moehamad Amin, Muara Beliti Baru, Kecamatan Muara Beliti, Kabupaten Musi Rawas Kode Pos 31661</t>
  </si>
  <si>
    <t>RS Umum Daerah Muara Beliti</t>
  </si>
  <si>
    <t xml:space="preserve"> Jl. Pangeran Moehammad Amin, Komplek Perkantoran Pemerintah Kabupaten Musi Rawas, Ds. Muara Beliti Baru, Kec. Muara Beliti, Kab. Musi Rawas, Prov. Sumatera Selatan</t>
  </si>
  <si>
    <t>RS Umum Daerah Rupit Kabupaten Musi Rawas Utara</t>
  </si>
  <si>
    <t>Musi Rawas Utara</t>
  </si>
  <si>
    <t xml:space="preserve">Jl. Kesehatan No. 1 Desa Lawang Agung Kec. Rupit Kab. Musi Rawas Utara Provinsi Sumatera Selatan </t>
  </si>
  <si>
    <t>RS Umum Daerah Kabupaten Ogan Ilir</t>
  </si>
  <si>
    <t>Ogan Ilir</t>
  </si>
  <si>
    <t>Komplek Perkantoran Terpadu (KPT) Pemerintah Daerah Kabupaten Ogan Ilir Desa Sejaro Sakti Kecamatan Indralaya Kabupaten Ogan Ilir Provinsi Sumatera Selatan</t>
  </si>
  <si>
    <t>RS Ar-Royyan</t>
  </si>
  <si>
    <t>Jl Lintas Timur KM 33  LK I RT 02 Kel. Timbangan Kec. Indralaya Utara Kab. Ogan Ilir, Sumatera Selatan</t>
  </si>
  <si>
    <t>RS Umum Mahyuzahra</t>
  </si>
  <si>
    <t>JL.RAYA LINTAS TIMUR KM.35,5 KELURAHAN INDRALAYA RAYA KECAMATAN INDRALAYA KABUPATEN OGAN ILIR PROVINSI SUMATERA SELATAN</t>
  </si>
  <si>
    <t>RS Umum Daerah Kayuagung</t>
  </si>
  <si>
    <t>Ogan Komering Ilir</t>
  </si>
  <si>
    <t>Jl. Letjen Yusuf Sungadekane No. 01, Kel.Jua Jua, Kec.Kayuagung, Sumatera Selatan</t>
  </si>
  <si>
    <t>RS Umum Daerah Tugu Jaya</t>
  </si>
  <si>
    <t>Jln. Lintas Timur Palembang - Lampung KM. 125 Desa Tugu Jaya, Kecamatan Lempuing, Kabupaten Ogan Komering Ilir Sumatera Selatan 30657</t>
  </si>
  <si>
    <t>RS Khusus Bedah Dokter Maulana AK</t>
  </si>
  <si>
    <t>Ogan Komering Ulu</t>
  </si>
  <si>
    <t>JALAN DOKTOR MUHAMMAD HATTA KELURAHAN KEMALARAJA KECAMATAN BATURAJA TIMUR KABUPATEN OGAN KOMERING ULU PROVINSI SUMATERA SELATAN</t>
  </si>
  <si>
    <t>RS Ibu dan Anak Prima Qonita</t>
  </si>
  <si>
    <t xml:space="preserve">Jl. Pahlawan Kemarung No. 27 Kec. Baturaja Timur, Kab. Ogan Komering Ulu, Prov. Sumatera Selatan </t>
  </si>
  <si>
    <t>RS Ibu dan Anak Graha Kurnia</t>
  </si>
  <si>
    <t>Jl.Syekh Kaliyudin (Kemiling) Rt. 11 Rw. 04 Desa Tanjung Baru Kec. Baturaja Timur Kab. Ogan Komering Ulu Provinsi Sumatera Selatan</t>
  </si>
  <si>
    <t>RS Ibu dan Anak Amanna</t>
  </si>
  <si>
    <t>Jl. DR. M. Hatta No. 877 Kelurahan Kemalaraja Kecamatan Baturaja Timur Kabupaten Ogan Komering Ulu Provinsi Sumatera Selatan</t>
  </si>
  <si>
    <t>RS Ibu dan Anak AGDA</t>
  </si>
  <si>
    <t>Jl. Cut Nyak Dien No. 631 Kel. Kemalaraja</t>
  </si>
  <si>
    <t>RS Umum Daerah Dr. Ibnu Sutowo Baturaja</t>
  </si>
  <si>
    <t>Jl. Dr. Moh.Hatta No.1,Baturaja</t>
  </si>
  <si>
    <t>RS Umum Dr. Noesmir Baturaja</t>
  </si>
  <si>
    <t xml:space="preserve">Jln. Dr. Moh Hatta No 64 </t>
  </si>
  <si>
    <t>RS Umum Santo Antonio</t>
  </si>
  <si>
    <t>Jl. Garuda No.3 KM.3 Desa Tanjung Baru, Kec. Baturaja Timur</t>
  </si>
  <si>
    <t>RS Umum Daerah Muara Dua</t>
  </si>
  <si>
    <t>Ogan Komering Ulu Selatan</t>
  </si>
  <si>
    <t xml:space="preserve">Jl. Raya Ranau Bumi Agung Jaya, Kecamatan Buay Rawan, Kabupaten Ogan Komering Ulu Selatan, Provinsi Sumatera Selatan </t>
  </si>
  <si>
    <t>RS Umum Daerah Ogan Komering Ulu Timur</t>
  </si>
  <si>
    <t>Ogan Komering Ulu Timur</t>
  </si>
  <si>
    <t>Jl. Raya Belitang Rasuan No.1 Tulus Ayu Kecamatan Belitang Madang Raya</t>
  </si>
  <si>
    <t>RS Islam At-Taqwa Gumawang</t>
  </si>
  <si>
    <t>Jl. Inspeksi Irigasi Komering, Desa Tanah Merah, Kecamatan Belitang Madang Raya, Kabupaten Ogan Komering Ulu Timur, Provinsi Sumatera Selatan</t>
  </si>
  <si>
    <t>RS Umum Daerah Martapura</t>
  </si>
  <si>
    <t>Jl. Adiwiyata Simpang Lengot Kota Baru Kecamatan Martapura</t>
  </si>
  <si>
    <t>Charitas Hospital Belitang</t>
  </si>
  <si>
    <t>Jl. H. Muhammad Shaleh Mualim BK 10 Tegal Rejo Belitang</t>
  </si>
  <si>
    <t>RS Umum Daerah Talang Ubi</t>
  </si>
  <si>
    <t xml:space="preserve">Penukal Abab Lematang Ilir </t>
  </si>
  <si>
    <t>Jl. Taman Siswa RT. 014 RW. 05 Kel. Pasar Bhayangkara Kec. Talang Ubi</t>
  </si>
  <si>
    <t>RS Pratama Tanah Abang</t>
  </si>
  <si>
    <t>Jl. RS Tanah Abang Dusun 1 Tanah Abang Jaya, Kecamatan Tanah Abang</t>
  </si>
  <si>
    <t>Sumatera Utara</t>
  </si>
  <si>
    <t>RS Umum Setio Husodo</t>
  </si>
  <si>
    <t>Asahan</t>
  </si>
  <si>
    <t>Jl SM. Raja No.67 Kisaran</t>
  </si>
  <si>
    <t>RS Umum Daerah H. Abdul Manan Simatupang</t>
  </si>
  <si>
    <t>Jl. Sisingamangaraja No. 315 Kisaran Kota, Kec. Kota Kisaran Barat, Kabupaten Asahan Sumatera Utara 21211</t>
  </si>
  <si>
    <t>RS Umum Utama</t>
  </si>
  <si>
    <t>Jl. HOS. Cokroaminoto No. 93 Kel. Kisaran Kota Kec. Kisaran Barat</t>
  </si>
  <si>
    <t>RS Umum Wira Husada</t>
  </si>
  <si>
    <t>Jl Kartini Nomor 209 Kisaran</t>
  </si>
  <si>
    <t>RS Sri Pamela Sei Dadap</t>
  </si>
  <si>
    <t>Jl. Protokol Sei Dadap-Sumut</t>
  </si>
  <si>
    <t>Jl. Ir. H. Juanda No. 21 Kisaran</t>
  </si>
  <si>
    <t>RS Umum Lina</t>
  </si>
  <si>
    <t>Jl. Lintas Sumatera Lingkungan II Kelurahan Aek Loba Pekan Kecamatan Aek Kuasan Kabupaten Asahan</t>
  </si>
  <si>
    <t xml:space="preserve">Jl. Abdi Setia Bakti, Kel. Sei Renggas, Kec. Kota Kisaran Barat, Kab. Asahan, Provinsi Sumatra Utara </t>
  </si>
  <si>
    <t>RS Umum Ibu Kartini</t>
  </si>
  <si>
    <t>Jl sech silau lk v, Kel. sei renggas kec, kota kisaran barat</t>
  </si>
  <si>
    <t>RS Umum Bidadari Batubara</t>
  </si>
  <si>
    <t>Batu Bara</t>
  </si>
  <si>
    <t>Jl. Lintas Sumatera Medan - Kisaran KM 108, Dusun Kelembis, Desa Sukaraja</t>
  </si>
  <si>
    <t>RS Umum Daerah Batu Bara</t>
  </si>
  <si>
    <t>Jl Datuk Kubah Batu Bara, Kwala  Gunung Kec. Datuk Lima Puluh Kab. Batu Bara</t>
  </si>
  <si>
    <t>RS Umum Lasmi Kartika</t>
  </si>
  <si>
    <t>Jl Pancasila Dusun X Desa Tanah Tinggi</t>
  </si>
  <si>
    <t>RS Umum Kasih Permata Dara</t>
  </si>
  <si>
    <t>Jl. Lintas Sumatera No. 215 Sipare-pare Kec. Air Putih Kab. Batubara</t>
  </si>
  <si>
    <t xml:space="preserve">RS Sapta Medika </t>
  </si>
  <si>
    <t xml:space="preserve">Jl. Datuk Umar Palangki Tanah Merah Kec, Air Putih </t>
  </si>
  <si>
    <t>RS Umum Daerah Sidikalang</t>
  </si>
  <si>
    <t>Dairi</t>
  </si>
  <si>
    <t>Jl. Rumah Sakit No 19, Sidikalang</t>
  </si>
  <si>
    <t>RS Umum Serenapita</t>
  </si>
  <si>
    <t>Jl. Sisingamangaraja No. 91 Sidikalang</t>
  </si>
  <si>
    <t>RS Ibu dan Anak Pramaliesa</t>
  </si>
  <si>
    <t>Deli Serdang</t>
  </si>
  <si>
    <t>Jl. Rumbia Sena No. 65 Desa Baru</t>
  </si>
  <si>
    <t>RS Ibu dan Anak Maharani</t>
  </si>
  <si>
    <t>Jl. Sultan Serdang No. 100, Desa Buntu Bedimbar, Kecamatan Tanjung  Morawa, Kabupaten Deli Serdang, Provinsi Sumatera Utara 20362</t>
  </si>
  <si>
    <t>RS Jiwa Bina Karsa Tuntungan</t>
  </si>
  <si>
    <t>Jl. Besar Tuntungan No. 142G Desa Tuntungan I Kec. Pancur Batu</t>
  </si>
  <si>
    <t xml:space="preserve">RS Grandmed </t>
  </si>
  <si>
    <t>Jl Medan km. 25 no. 66 Lubuk Pakam</t>
  </si>
  <si>
    <t>RS Umum Haji Medan</t>
  </si>
  <si>
    <t>Jl RS Haji Medan Estate No 47</t>
  </si>
  <si>
    <t>RS Umum Daerah Drs. H. Amri Tambunan</t>
  </si>
  <si>
    <t>Jl. Thamrin Lubuk Pakam, Desa/Kel. Lubuk Pakam Pekan, Kec. Lubuk Pakam</t>
  </si>
  <si>
    <t>RS Umum Sembiring Deli Tua</t>
  </si>
  <si>
    <t>Jl. Besar No.77, Deli Tua</t>
  </si>
  <si>
    <t>RS Umum Pancur Batu</t>
  </si>
  <si>
    <t>Jl. Jamin Ginting KM. 17,5 Desa Tengah Kec. Pancur Batu</t>
  </si>
  <si>
    <t>RS Umum Mahawira Prima Indonesia</t>
  </si>
  <si>
    <t>Jl. Cemara No. 16</t>
  </si>
  <si>
    <t>RS Umum Patar Asih</t>
  </si>
  <si>
    <t>JL BAKARAN BATU NO. 188 DESA TUMPATAN KECAMATAN BERINGIN</t>
  </si>
  <si>
    <t>RS Umum Kasih Insani</t>
  </si>
  <si>
    <t>Jl. Besar Namorambe No. 10 -15</t>
  </si>
  <si>
    <t>RS Umum Sari Mutiara Lubuk Pakam</t>
  </si>
  <si>
    <t>Jl. Medan No.17,Lubuk Pakam</t>
  </si>
  <si>
    <t>RS Umum Full Bethesda</t>
  </si>
  <si>
    <t xml:space="preserve">Jl Binjai Km.10,8/Jl. Sama No.71 kec. sunggal </t>
  </si>
  <si>
    <t>RS Umum Yoshua</t>
  </si>
  <si>
    <t>Jl. Medan - Lubuk Pakam N0. 70</t>
  </si>
  <si>
    <t>RS Umum Mitra Medika</t>
  </si>
  <si>
    <t>Jl. Medan - Batang Kuis Dusun XI Emplasmen, Desa Bandar Klippa, Kecamatan Percut Sei Tuan</t>
  </si>
  <si>
    <t>RS Umum Rahmad Hidayah</t>
  </si>
  <si>
    <t>Jl Limau Manis Pasar XIII No.61, Desa Limau Manis, Kecamatan Tanjung Morawa, Kabupaten Deli Serdang, Provinsi Sumatera Utara</t>
  </si>
  <si>
    <t>RS Umum Sinar Husni</t>
  </si>
  <si>
    <t>Jl. Veteran Gg. Utama Psr. V Helvetia</t>
  </si>
  <si>
    <t>Jl Medan-Bt Kuis No 377 Pasar X Desa Bandar Klippa</t>
  </si>
  <si>
    <t>RS Umum Dr. Gerhard L. Tobing</t>
  </si>
  <si>
    <t>Jl. Medan-Tanjung Morawa Km. 15,5, Kec. Tanjung Morawa, Kab. Deli Serdang, Prov. Sumatera Utara</t>
  </si>
  <si>
    <t>RS Umum Daerah Bangun Purba</t>
  </si>
  <si>
    <t>Jl. Perintis Kemerdekaan No. 60 Desa Bangun Purba Kec.Bangun Purba</t>
  </si>
  <si>
    <t>RS Umum Mitra Guray Petumbukan</t>
  </si>
  <si>
    <t>Jl. Besar Petumbukan No. 29, Kec. Galang</t>
  </si>
  <si>
    <t>RS Umum Hidayah</t>
  </si>
  <si>
    <t>Jl. Medan - Deli Tua KM. 8.5 No. 55, Suka Makmur, Kec. Deli Tua, Kabupaten. Deli Serdang, Sumatera Utara</t>
  </si>
  <si>
    <t>RS Umum Keliat</t>
  </si>
  <si>
    <t xml:space="preserve">Jl Sutan Arab No. 35 Dusun 2 Klumpang Kampung </t>
  </si>
  <si>
    <t>RS Umum Mitra Sehat</t>
  </si>
  <si>
    <t>Jl. Sei Merah No. 300/21  Desa Dagang Kerawan - Tanjung Morawa, Deli Serdang</t>
  </si>
  <si>
    <t>RS Dhillon</t>
  </si>
  <si>
    <t>Jl. Dahlan Tanjung Komplek Graha Abadi Permai Tanjung Morawa, Deli Serdang</t>
  </si>
  <si>
    <t>RS Umum Daerah Dolok Sanggul</t>
  </si>
  <si>
    <t>Humbang Hasundutan</t>
  </si>
  <si>
    <t>Jl. dr. Ferdinand Lumban Tobing No. 1 Dolok Sanggul</t>
  </si>
  <si>
    <t>RS Ibu dan Anak Mina Husada</t>
  </si>
  <si>
    <t>Karo</t>
  </si>
  <si>
    <t>Jl. Kapten Pala Bangun No. 8 Padang Mas - Sentrum Kabanjahe 22115 JL. Nabung Surbakti  No.07 Padang Mas - Sentrum Kabanjahe 22111 Kab.KARO Provinsi Sumatera Utara</t>
  </si>
  <si>
    <t>Jl Jamin Ginting Simpang Korpri No. 1 Berastagi</t>
  </si>
  <si>
    <t>RS Umum Efarina Etaham</t>
  </si>
  <si>
    <t>Jl Jamin Ginting No 1, Berastagi - Desa Raya, Kab. Karo</t>
  </si>
  <si>
    <t>RS Umum Daerah Kabupaten Karo</t>
  </si>
  <si>
    <t>Jl. Kapten Selamat Ketaren  Kabanjahe</t>
  </si>
  <si>
    <t>RS Umum Kusta Lau Simomo</t>
  </si>
  <si>
    <t>Desa Lau Simomo Kec. Kabanjahe Kab. Karo</t>
  </si>
  <si>
    <t>RS Ibu dan Anak Grand Fatimah</t>
  </si>
  <si>
    <t>Kota Binjai</t>
  </si>
  <si>
    <t>Jl. Sultan Hasanuddin No. 67, Kel. Kartini, Kec. Binjai Kota, Kota Binjai</t>
  </si>
  <si>
    <t>RS Umum Daerah Dr. R. M. Djoelham Binjai</t>
  </si>
  <si>
    <t>Jl Sultan Hasanuddin No. 9 Binjai</t>
  </si>
  <si>
    <t>RS Umum Bidadari</t>
  </si>
  <si>
    <t>Jl Perintis Kemerdekaan No. 174 KEL. KEBUN LADA KEC. BINJAI UTARA</t>
  </si>
  <si>
    <t>RS Umum Artha Medica</t>
  </si>
  <si>
    <t>Binjai Sumatera Utara</t>
  </si>
  <si>
    <t>RS Umum Latersia</t>
  </si>
  <si>
    <t>Jl Soekarno Hatta Km 18 No 451</t>
  </si>
  <si>
    <t>RS Umum AL Fuadi</t>
  </si>
  <si>
    <t>Jl Ahmad Yani No 23 Kel. Kartini Kec. Binjai Kota</t>
  </si>
  <si>
    <t>RS Tk. IV 01.07.02 Binjai</t>
  </si>
  <si>
    <t>Jl. Bandung No.4 Binjai</t>
  </si>
  <si>
    <t>RS Umum Sylvani</t>
  </si>
  <si>
    <t>Jl Perintis Kemerdekaan No. 21</t>
  </si>
  <si>
    <t>RS Umum Raskita</t>
  </si>
  <si>
    <t>Jl. Let. Jend. Jamin Ginting No. 362 Binjai, Kec. Binjai Selatan</t>
  </si>
  <si>
    <t>OG Hospital</t>
  </si>
  <si>
    <t>Jl. Olahraga No. 1 Kel. Timbang Langkat Kec. Binjai Timur</t>
  </si>
  <si>
    <t>RS Umum Ratu Mas</t>
  </si>
  <si>
    <t>Jl Tengku Amir Hamzah No. 281a, Binjai Utara - Kota Binjai - Sumatera Utara</t>
  </si>
  <si>
    <t>RS Umum Bethesda Gunungsitoli</t>
  </si>
  <si>
    <t>Kota Gunungsitoli</t>
  </si>
  <si>
    <t>Jl Diponegoro No.375 C Desa sifalaete Tabaoloho Kecamatan Gunungsitoli Kota Gunungsitoli</t>
  </si>
  <si>
    <t>RS Khusus Bedah Accuplast</t>
  </si>
  <si>
    <t>Kota Medan</t>
  </si>
  <si>
    <t>Jl Sei Bahbolon No.40, Kec.Medan Baru, Kota Medan, Sumatera Utara 2015</t>
  </si>
  <si>
    <t>RS Khusus Bedah Setia Budi</t>
  </si>
  <si>
    <t>Jl. Mesjid No. 3 Kelurahan Tanjung Rejo, Kecamatan Medan Sunggal, Kota Medan, Sumatera Utara Kode Pos 20122</t>
  </si>
  <si>
    <t>RS Khusus Gigi dan Mulut Univ. Sumatera Utara</t>
  </si>
  <si>
    <t>Jl Alumni No.2 Kampus USU Medan</t>
  </si>
  <si>
    <t>RS Gigi dan Mulut Prima</t>
  </si>
  <si>
    <t>Jl. Pabrik Tenun No. 103</t>
  </si>
  <si>
    <t>RS Khusus Ginjal Rasyida</t>
  </si>
  <si>
    <t>Jl D.I Panjaitan No. 144 Medan Kel. Sei Sikambing D Kec. Medan Petisah</t>
  </si>
  <si>
    <t>RS Ibu dan Anak Badrul Aini</t>
  </si>
  <si>
    <t xml:space="preserve">Jln. Bromo Gg.Sukri No.18 Kel.Tegal Sari III  Kec.Medan Area Kota Medan Sumatera Utara </t>
  </si>
  <si>
    <t>RS Ibu dan Anak Murni Teguh Rosiva</t>
  </si>
  <si>
    <t>Jl. Bangka No. 15 Medan</t>
  </si>
  <si>
    <t>RS Ibu Dan Anak Artha Mahinrus</t>
  </si>
  <si>
    <t>Jl. Pasar III No. 151  Kel. Tegal Rejo Kec. Medan Perjuangan</t>
  </si>
  <si>
    <t>RS Ibu dan Anak Stella Maris</t>
  </si>
  <si>
    <t>Jl Samanhudi No.20-22, Kel. Jati, Kec. Medan Maimun, Kota Medan</t>
  </si>
  <si>
    <t>RS Jiwa Prof. Dr. Muhammad Ildrem</t>
  </si>
  <si>
    <t>Jl Let. Jend. Jamin Ginting S Km. 10/ Jl. Tali Air No. 21 Kel. Mangga Kec. Medan Tuntungan</t>
  </si>
  <si>
    <t>RS Jiwa Bina Karsa Medan</t>
  </si>
  <si>
    <t>Jl Pales III Simpang Perumnas Simalingkar/Jl. Let. Jend. Djamin Ginting Km.9</t>
  </si>
  <si>
    <t>RS Khusus Mata Provinsi Sumatera Utara</t>
  </si>
  <si>
    <t>Jl. Kapten Sumarsono No 01 Kelurahan Helvetia Timur Kecamatan Medan Helvetia</t>
  </si>
  <si>
    <t>RS Khusus Mata Medan Baru Medical Centre</t>
  </si>
  <si>
    <t>Jl Abdullah Lubis No.67, Medan</t>
  </si>
  <si>
    <t>RS Khusus Mata Mencirim Tujuh-Tujuh</t>
  </si>
  <si>
    <t xml:space="preserve">Jl Sei Mencirim No. 77 Medan </t>
  </si>
  <si>
    <t>RS Khusus Mata SMEC</t>
  </si>
  <si>
    <t xml:space="preserve">Jl Iskandar Muda No.278 </t>
  </si>
  <si>
    <t>RS Khusus Mata Prima Vision</t>
  </si>
  <si>
    <t>Jl. Pabrik Tenun No.51, RW.53,Kel. Sei Putih Tengah, Kec. Medan Petisah, Kota Medan, Sumatera Utara, 20114</t>
  </si>
  <si>
    <t>RS Khusus Paru Sumatera Utara</t>
  </si>
  <si>
    <t>Jl. Setia Budi Pasar II No 84, Kelurahan Tj. Sari, Kecamatan Medan Selayang,  Kota Medan  Provinsi Sumatera Utara</t>
  </si>
  <si>
    <t>RS Umum Murni Teguh Memorial Hospital</t>
  </si>
  <si>
    <t xml:space="preserve">Jl. Jawa No. 2 Medan </t>
  </si>
  <si>
    <t>RS Umum Pusat H. Adam Malik</t>
  </si>
  <si>
    <t>Jl Bunga Lau No. 17, Medan</t>
  </si>
  <si>
    <t>RS Umum Siloam Dhirga Surya</t>
  </si>
  <si>
    <t>Jl Imam Bonjol No. 6</t>
  </si>
  <si>
    <t>RS Bhayangkara Tingkat II</t>
  </si>
  <si>
    <t>Jl KH Wahid Hasyim No.1, Medan</t>
  </si>
  <si>
    <t>RS Umum Daerah Dr. Pirngadi</t>
  </si>
  <si>
    <t>Jl Prof H M Yamin SH No. 47, Medan</t>
  </si>
  <si>
    <t>RS Umum Santa Elisabeth Medan</t>
  </si>
  <si>
    <t>Jl. Haji Misbah No. 7 Medan</t>
  </si>
  <si>
    <t>RS Columbia Asia Medan</t>
  </si>
  <si>
    <t>Jl Listrik No.2A Medan</t>
  </si>
  <si>
    <t>RS Umum Mitra Sejati</t>
  </si>
  <si>
    <t>Jl Jend. AH Nasution No.7 Pangkalan Masyhur Medan</t>
  </si>
  <si>
    <t xml:space="preserve">Jl Jend. TB.Simatupang No.148 Sunggal </t>
  </si>
  <si>
    <t>RS Tk. II Putri Hijau Medan</t>
  </si>
  <si>
    <t>Jl Putri Hijau No. 17, Medan</t>
  </si>
  <si>
    <t>RS Umum Imelda Pekerja Indonesia</t>
  </si>
  <si>
    <t>Jl. Bilal No. 24, kel.Pulo Brayan Darat I, Kec.Medan Timur, Kode Pos 20239</t>
  </si>
  <si>
    <t>Jl. K.L. Yos Sudarso Km 7,5 Tanjung Mulia,Medan</t>
  </si>
  <si>
    <t>RS Umum Bandung</t>
  </si>
  <si>
    <t>Jl Mistar No. 39-43</t>
  </si>
  <si>
    <t>RS Umum Hermina Medan</t>
  </si>
  <si>
    <t>JL. ASRAMA KEL. SEI SIKAMBING C II, KEC. MEDAN HELVETIA</t>
  </si>
  <si>
    <t>RS Umum Estomihi</t>
  </si>
  <si>
    <t>Jl. Sisinga Mangaraja 235,Medan</t>
  </si>
  <si>
    <t>RS Umum Eshmun</t>
  </si>
  <si>
    <t>Jalan Marelan Raya No. 173A Kelurahan Tanah Enam Ratus Kecamatan Medan Marelan Kota Medan Provinsi Sumatera Utara</t>
  </si>
  <si>
    <t>RS Umum Martha Friska Multatuli</t>
  </si>
  <si>
    <t>Jl Multatuli Komplek Taman Multatuli Indah No.1 Medan</t>
  </si>
  <si>
    <t>RS Umum Bunda Thamrin</t>
  </si>
  <si>
    <t>Jl Sei Batang Hari  No. 28 - 30 - 32 - 34 Medan</t>
  </si>
  <si>
    <t>RS Umum Prof. Dr. Boloni</t>
  </si>
  <si>
    <t>Jl Robert Wolter Monginsidi No.11 Medan</t>
  </si>
  <si>
    <t>RS Umum Tere Margareth</t>
  </si>
  <si>
    <t>Jl Ring Road Setia Budi Kel. Tj. Sari</t>
  </si>
  <si>
    <t>RS Umum Daerah H. Bachtiar Djafar</t>
  </si>
  <si>
    <t>JL. K.L. YOS SUDARSO KM. 18,5 KEL. PEKAN LABUHAN KEC. MEDAN LABUHAN KOTA MEDAN PROV. SUMATERA UTARA - 20253</t>
  </si>
  <si>
    <t>RS Umum Islam Malahayati</t>
  </si>
  <si>
    <t>Jl Pangeran Diponegoro No.2-4 Medan</t>
  </si>
  <si>
    <t>RS AL Dr. Komang Makes Belawan</t>
  </si>
  <si>
    <t>Jl. Bengkalis  No.1  Kel Belawan 1 Kec. Medan Belawan</t>
  </si>
  <si>
    <t>RS SUFINA AZIZ</t>
  </si>
  <si>
    <t>Jl Karya Baru No.1,Medan</t>
  </si>
  <si>
    <t>RS Umum Advent Medan</t>
  </si>
  <si>
    <t>Jl Jend Gatot Subroto Km.4, Kel Sei Sikambing D, Kec Medan Petisah, Kota Medan, Provinsi Sumatera Utara</t>
  </si>
  <si>
    <t>RS Umum Prima Husada Cipta Medan</t>
  </si>
  <si>
    <t>Jalan Stasiun No.92, Belawan II, Medan Kota Belawan, Belawan Bahagia, Medan Kota Belawan, Kota Medan, Sumatera Utara 20411</t>
  </si>
  <si>
    <t>RS Umum Martha Friska</t>
  </si>
  <si>
    <t>Jl KL. Yos Sudarso Km.6 No. 91,Medan</t>
  </si>
  <si>
    <t>RS Umum Royal Prima Marelan</t>
  </si>
  <si>
    <t>Jl. Marelan Pasar 3 No. 187 Kel. Rengas Pulau Kec. Medan Marelan 20255 Sumut</t>
  </si>
  <si>
    <t>RS Umum Sundari</t>
  </si>
  <si>
    <t>Jl Jend. T.B.Simatupang No.31,Kampung Lalang, Kec. Medan Sunggal, Medan, Sumatera Utara</t>
  </si>
  <si>
    <t>RS Umum Wulan Windy</t>
  </si>
  <si>
    <t>Jl. Marelan Raya No. 17 Rengas Pulau - Medan</t>
  </si>
  <si>
    <t>RS Umum Mitra Medika Premiere</t>
  </si>
  <si>
    <t>Jl. Letjen S. Parman No. 236 Kel. Petisah Tengah  Kec. Medan Petisah</t>
  </si>
  <si>
    <t>RS Umum Madani</t>
  </si>
  <si>
    <t>Jl. Arief Rahman Hakim No.168, Sukaramai I, Kec. Medan Area, Kota Medan, Sumatera Utara 20227, Indonesia</t>
  </si>
  <si>
    <t>RS Umum Delima Medan</t>
  </si>
  <si>
    <t>JL. KL. YOS SUDARSO  KM 13,6 NO. 19 A  MARTUBUNG, KEC. MEDAN LABUHAN, KEL. BESAR, PROV. SUMATERA UTARA 20251</t>
  </si>
  <si>
    <t>RS Umum Mitra Medika Amplas</t>
  </si>
  <si>
    <t>Jl. Sisingamangaraja No. 11 Kelurahan Harjosari 1 Kecamatan Medan Amplas</t>
  </si>
  <si>
    <t>RS Umum Universitas Sumatera Utara</t>
  </si>
  <si>
    <t>Jl. Dr. T. Mansur No. 66 Kampus USU Medan 20154</t>
  </si>
  <si>
    <t>RS Umum Vina Estetica</t>
  </si>
  <si>
    <t xml:space="preserve">Jl Sultan Iskandar Muda No.119, Kec. Medan Petisah, </t>
  </si>
  <si>
    <t>RS Umum Murni Teguh Methodist Susanna Wesley</t>
  </si>
  <si>
    <t>Jl. Harmonika Baru Pasar I Padang Bulan Selayang II</t>
  </si>
  <si>
    <t>RS Umum Methodist</t>
  </si>
  <si>
    <t>Jl M. H. Thamrin No. 105, Medan</t>
  </si>
  <si>
    <t>RS Umum Bahagia Medan</t>
  </si>
  <si>
    <t>Jl Bahagia No.85, Kelurahan Teladan Timur, Kecamatan Medan Kota, Provinsi Sumatera Utara</t>
  </si>
  <si>
    <t>RS Umum Sarah</t>
  </si>
  <si>
    <t>Jl. Baja Raya No. 10 Kelurahan  Petisah Tengah Kecamatan   Medan Petisah  Kota Medan Propinsi  Sumatera Utara</t>
  </si>
  <si>
    <t>RS Umum Sri Ratu</t>
  </si>
  <si>
    <t>Jln. Nibung Raya No.204-212 Kel. Petisah Tengah, Kec.Medan Petisah, Kota Medan, Prov.Sumatera Utara</t>
  </si>
  <si>
    <t>RS Umum Muhammadiyah Sumatera Utara</t>
  </si>
  <si>
    <t>Jl Mandala By Pass No.27, Desa/Kelurahan Tegal S Mandala I, Kec. Medan Denai, Kota Medan, Provinsi Sumatera Utara, Kode Pos : 20226</t>
  </si>
  <si>
    <t>RS Umum Wahyu</t>
  </si>
  <si>
    <t>Jl. Padang No. 25 Medan</t>
  </si>
  <si>
    <t>RSAU Dr. Abdul Malik</t>
  </si>
  <si>
    <t>Jl. Imam Bonjol No.50,Medan</t>
  </si>
  <si>
    <t>RS Umum Materna</t>
  </si>
  <si>
    <t>Jl Teuku Umar 9-11 Medan</t>
  </si>
  <si>
    <t>RS Umum Deli</t>
  </si>
  <si>
    <t>Jl Merbabu No.18-20 A Medan</t>
  </si>
  <si>
    <t>RS Umum Daerah Padang Sidempuan</t>
  </si>
  <si>
    <t>Kota Padang Sidempuan</t>
  </si>
  <si>
    <t>Jl Dr. F.L. Tobing No. 10, Kel. Wek. V Kec. Padangsidimpuan Utara Kota Padangsidimpuan</t>
  </si>
  <si>
    <t>RS Umum Inanta</t>
  </si>
  <si>
    <t>Jl. Sisingamangaraja No.85/87, Kota Padangsidimpuan Provinsi Sumatera Utara</t>
  </si>
  <si>
    <t>RS Metta Medika</t>
  </si>
  <si>
    <t>Jl. Sisingamangaraja No. 113 Padang Sidempuan</t>
  </si>
  <si>
    <t>RS TNI Tk. IV 01.07.03</t>
  </si>
  <si>
    <t>Jl. Sudirman No.1 Kelurahan : Losung Batu, Kecamatan : Padang Sidempuan.</t>
  </si>
  <si>
    <t>RS Mata Siantar</t>
  </si>
  <si>
    <t>Kota Pematang Siantar</t>
  </si>
  <si>
    <t>Jl. Kartini Nomor 18 Kelurahan Bantan Kecamatan Siantar Barat</t>
  </si>
  <si>
    <t>RS Umum Daerah Dr. Djasamen Saragih</t>
  </si>
  <si>
    <t>Jl. Sutomo No. 230, Pematangsiantar</t>
  </si>
  <si>
    <t>RS Umum Vita Insani</t>
  </si>
  <si>
    <t>Jl. Merdeka No.329 Kel. Pahlawan Kec. Siantar Timur Kota Pematang Siantar</t>
  </si>
  <si>
    <t>Jl Farel Pasaribu No. 21</t>
  </si>
  <si>
    <t>RS Umum Tiara Kasih Sejati</t>
  </si>
  <si>
    <t>Jl Menambin No.4, Timbang Galung, Pematangsiantar</t>
  </si>
  <si>
    <t>RS Efarina Etaham Pematang Siantar</t>
  </si>
  <si>
    <t>Jl. Pendeta J. Wismar Saragih No.1  Bane Kec.Siantar Utara</t>
  </si>
  <si>
    <t>RS Murni Teguh Horas Insani</t>
  </si>
  <si>
    <t>Jl. Medan KM 2.5, Kel. Nagapitu, Kec. Siantar Martoba, Kota Pematang Siantar, Sumatra Utara</t>
  </si>
  <si>
    <t>RS Tk. IV 01.07.01</t>
  </si>
  <si>
    <t>Jl. Gn Simanuk Manuk No.6. Pematangsiantar</t>
  </si>
  <si>
    <t>RS Murni Teguh Pematang Siantar</t>
  </si>
  <si>
    <t>Jl. Siantar - Medan KM 4.5 Kel. Nagapita</t>
  </si>
  <si>
    <t>RS Rasyida Siantar</t>
  </si>
  <si>
    <t>Jl. Seram Atas No. 5B, Kel. Bantan Kec. Siantar Barat Kota Pematang Siantar, Prov. Sumatera Utara - INDONESIA</t>
  </si>
  <si>
    <t>RS Umum Daerah Dr. FL Tobing Sibolga</t>
  </si>
  <si>
    <t>Kota Sibolga</t>
  </si>
  <si>
    <t>Jl Dr. F.L. Tobing No. 35 Sibolga</t>
  </si>
  <si>
    <t>RS Umum Metta Medika</t>
  </si>
  <si>
    <t>Jl Sutoyo Siswomiharjo No 34 Sibolga</t>
  </si>
  <si>
    <t>RS Metta Medika II</t>
  </si>
  <si>
    <t>Jl. Diponegoro No. 6-8 Kota Sibolga</t>
  </si>
  <si>
    <t>RS Umum Daerah Dr. Tengku Mansyur</t>
  </si>
  <si>
    <t>Kota Tanjung Balai</t>
  </si>
  <si>
    <t>Jl. Mayjen Sutoyo No. 39, Kel. Perwira, Kec. Tanjungbalai Selatan</t>
  </si>
  <si>
    <t>RS Umum Hadi Husada</t>
  </si>
  <si>
    <t>Jl Jend. Sudirman No. 26 Tanjungbalai Kel. Karya Kec. Tanjungbalai Selatan Kota Tanjungbalai  Provinsi sumatra Utara</t>
  </si>
  <si>
    <t>RS Umum Daerah Dr. H. Kumpulan Pane</t>
  </si>
  <si>
    <t>Kota Tebing Tinggi</t>
  </si>
  <si>
    <t>Jl Dr. Kumpulan Pane No.226 Kec Kota Tebing Tinggi Kel. Bandar Utama</t>
  </si>
  <si>
    <t>RS Chevani</t>
  </si>
  <si>
    <t>Jl. Prof. H. M. Yamin No. 17 Tanjung Marulak Hilir</t>
  </si>
  <si>
    <t>RS Umum Sri Pamela</t>
  </si>
  <si>
    <t>Jl. Jend. Sudirman No. 299</t>
  </si>
  <si>
    <t>RS Bhayangkara Tk.III Kota Tebing Tinggi</t>
  </si>
  <si>
    <t>Jl Pahlawan No 17</t>
  </si>
  <si>
    <t>RS Umum Universitas Prima Indonesia</t>
  </si>
  <si>
    <t>Jl. Simalungun No. 7A</t>
  </si>
  <si>
    <t>RS Umum Natama</t>
  </si>
  <si>
    <t>Jl. Kartini No. 30A Tebing Tinggi</t>
  </si>
  <si>
    <t>RS Umum Daerah Rantau Prapat</t>
  </si>
  <si>
    <t>Labuhan Batu</t>
  </si>
  <si>
    <t>Jl. KH. Dewantara 129, Rantau Prapat</t>
  </si>
  <si>
    <t>RS Umum Karya Bakti Ujung Bandar</t>
  </si>
  <si>
    <t>Jalan Karya Bakti No. 20 Kelurahan Ujung Bandar Kecamatan Rantau Selatan Kabupaten Labuhanbatu Sumatera Utara</t>
  </si>
  <si>
    <t>RS Umum Hartati Medical Centre</t>
  </si>
  <si>
    <t>Jl. Siringo-ringo No. 150 Rantauprapat, Kel. Binaraga, Kec. Rantau Utara, Kab. Labuhan Batu, Provinsi Sumatera Utara</t>
  </si>
  <si>
    <t>Jl. Ahmad Yani No. 221 CDEF Rantau Parapat Kel. Kartini, Kec. Rantau Utara</t>
  </si>
  <si>
    <t>RS Dokter Takdir</t>
  </si>
  <si>
    <t>Jl. Siringo-ringo No. 11-13 ,Kelurahan Siringo-ringo,Kecamatan Rantau Utara,Kabupaten Labuhan Batu,Provinsi Sumatera Utara.</t>
  </si>
  <si>
    <t>RS Umum Daerah Kota Pinang</t>
  </si>
  <si>
    <t>Labuhan Batu Selatan</t>
  </si>
  <si>
    <t>Jl Istana No. 26.  Kelurahan  Kotapinang Kabupaten LabuhanBatu Selatan Provinsi Sumatera Utara</t>
  </si>
  <si>
    <t>RS Sri Pamela Torgamba</t>
  </si>
  <si>
    <t>Jl. Lintas Sumatera - Riau KM. 380</t>
  </si>
  <si>
    <t>RS Umum Nuraini</t>
  </si>
  <si>
    <t>Jl Lintas Sumatera Bloksongo Desa Sisumut Kecamatan Kotapinang Kabupaten Labuhanbatu Selatan Provinsi Sumatera Utara Kode Pos. 21464</t>
  </si>
  <si>
    <t>RS Umum Daerah  Aek Kanopan</t>
  </si>
  <si>
    <t>Labuhan Batu Utara</t>
  </si>
  <si>
    <t>Jl. Lintas Sumatera Desa Sidua-dua Kec. Kualuh Selatan Kab. Labuhan Batu Utara Provinsi Sumatera Utara</t>
  </si>
  <si>
    <t>RS Sri Pamela Membang Muda</t>
  </si>
  <si>
    <t>Jl. Lintas Sumatera Km. 224 Desa Perkebunan Membang Muda, Kec. Kualuh Hulu, Kab. Labuhanbatu Utara, Prov. Sumatera Utara.</t>
  </si>
  <si>
    <t>RS Tiga Bersaudara</t>
  </si>
  <si>
    <t>Jl. Lintas Sumatera Utara Kampung Pajak Kec NA IX X</t>
  </si>
  <si>
    <t>RS Umum Flora</t>
  </si>
  <si>
    <t>Jl. Jenderal Sudirman No. 29 Aek Kanopan  Kec.kualuh Hulu kab.Labuhanbatu utara/Kota. Aek kanopan provinsi Sumatera Utara kode pos 21457.</t>
  </si>
  <si>
    <t>RS Umum Putri Bidadari</t>
  </si>
  <si>
    <t>Langkat</t>
  </si>
  <si>
    <t>JL. STABAT-TANJUNG PURA RT.002/RW.007 DUSUN DONDONG SEJATI DESA JENTERA STABAT KEC. WAMPU KAB. LANGKAT</t>
  </si>
  <si>
    <t>RS Umum Pertamina Pangkalan Brandan</t>
  </si>
  <si>
    <t>Jl. Wahidin No. 1 Pangkalan Brandan</t>
  </si>
  <si>
    <t>RS Umum Daerah Tanjung Pura</t>
  </si>
  <si>
    <t>Jl. Khairil Anwar No. 9-11 Tanjung Pura</t>
  </si>
  <si>
    <t>RS Umum Mahkota Bidadari</t>
  </si>
  <si>
    <t>Jl. Sisingamangaraja No. 146, Desa Paluh Manis, Kecamatan Gebang, Kabupaten Langkat, Provinsi Sumatera Utara</t>
  </si>
  <si>
    <t>RS Umum Delia</t>
  </si>
  <si>
    <t>Jln. KI Hajar Dewantara, No 09 Dusun V Desa Sei Limbat Kecamatan Selesai Kabupaten Langkat, Provinsi Sumatera Utara</t>
  </si>
  <si>
    <t>RS Umum PTP II Tg Selamat</t>
  </si>
  <si>
    <t>Jl. Besar Batang Serangan Desa/Kelurahan Tanjung Selamat Kecamatan Padang Tualang Kabupaten Langkat Provinsi Sumatera Utara</t>
  </si>
  <si>
    <t>RS Umum Wampu Norita</t>
  </si>
  <si>
    <t>Jl. Medan - Tj. Pura KM.46 No.86 Kec. Wampu Kab. Langkat 20851</t>
  </si>
  <si>
    <t>RS Umum Daerah Panyabungan</t>
  </si>
  <si>
    <t>Mandailing Natal</t>
  </si>
  <si>
    <t>Jl Merdeka No.40, Kayu Jati Panyabungan</t>
  </si>
  <si>
    <t>RS Umum Armina Madina Panyabungan</t>
  </si>
  <si>
    <t>Jl Merdeka No. 23 Kayu Jati - Panyabungan</t>
  </si>
  <si>
    <t>RS Umum Permata Madina Panyabungan</t>
  </si>
  <si>
    <t>Jl Merdeka No. 155 Kelurahan Kayu Jati Kecamatan Panyabungan</t>
  </si>
  <si>
    <t>RS Umum Daerah dr. Husni Thamrin</t>
  </si>
  <si>
    <t>Jl. Multatuli No. 72 Kec. Natal Kab. Mandailing Natal</t>
  </si>
  <si>
    <t>RS Umum Daerah dr. M. Thomsen Nias</t>
  </si>
  <si>
    <t>Nias</t>
  </si>
  <si>
    <t>Jl dr. Ciptomangunkusumo No. 15 Gunungsitoli</t>
  </si>
  <si>
    <t>RS Pratama Kab. Nias Barat</t>
  </si>
  <si>
    <t>Nias Barat</t>
  </si>
  <si>
    <t xml:space="preserve">JL. Budi Utomo Desa Onolimbu Kec. Lahomi </t>
  </si>
  <si>
    <t>RS Pratama Lologolu Soguna Ba Zato</t>
  </si>
  <si>
    <t>Jl. Desa Lologolu, Kec. Mandrehe</t>
  </si>
  <si>
    <t>RS Umum Daerah Lukas Hilisimaetano</t>
  </si>
  <si>
    <t>Nias Selatan</t>
  </si>
  <si>
    <t>Jl. RSUD Lukas No. 1 Hilisimaetano</t>
  </si>
  <si>
    <t>RS Umum Daerah Nias Selatan</t>
  </si>
  <si>
    <t>Hiliana'a, Desa Hiliana'a Kec. Teluk Dalam Kab. Nias Selatan Prov. Sumatera Utara</t>
  </si>
  <si>
    <t>RS Umum Stella Maris</t>
  </si>
  <si>
    <t>Jl. Mgr. Albertus Soegijapranata Bintang Laut Telukdalam</t>
  </si>
  <si>
    <t>RS Umum Daerah Tafaeri</t>
  </si>
  <si>
    <t>Nias Utara</t>
  </si>
  <si>
    <t>Jl. Lotu - Sawo Km.3, Desa Lolofaoso, Kecamatan Lotu</t>
  </si>
  <si>
    <t>RS Umum Daerah Sibuhuan</t>
  </si>
  <si>
    <t>Padang Lawas</t>
  </si>
  <si>
    <t xml:space="preserve">Jl. KH. Dewantara Sibuhuan Kec. Barumun </t>
  </si>
  <si>
    <t>RS Umum Permata Madina Sibuhuan</t>
  </si>
  <si>
    <t>Jl Ki Hajar Dewantara Sibuhuan</t>
  </si>
  <si>
    <t>RS Umum Daerah Gunung Tua</t>
  </si>
  <si>
    <t>Padang Lawas Utara</t>
  </si>
  <si>
    <t>Jl Raya gunung Tua - Binangan KM 6 Aek Haruaya</t>
  </si>
  <si>
    <t>RS Umum Daerah Salak</t>
  </si>
  <si>
    <t>Pakpak Bharat</t>
  </si>
  <si>
    <t>Jl. Raja David Desa Boangmanalu Kec. Salak Kabupaten Pakpak Bharat</t>
  </si>
  <si>
    <t>RS Umum Daerah Dr. Hadrianus Sinaga</t>
  </si>
  <si>
    <t>Samosir</t>
  </si>
  <si>
    <t>Jl .Dr. Hadrianus Sinaga No. 86 Pangururan</t>
  </si>
  <si>
    <t>RS Umum Daerah Sultan Sulaiman Syariful Alamsyah</t>
  </si>
  <si>
    <t>Serdang Bedagai</t>
  </si>
  <si>
    <t>Jl. Negara Km. 58 No. 315, Kecamatan Sei Rampah Kabupaten Serdang Bedagai, Provinsi Sumatera Utara</t>
  </si>
  <si>
    <t>RS Umum Pabatu</t>
  </si>
  <si>
    <t>DESA KEDAI DAMAR, KEC.TEBING TINGGI,KAB.SERDANG BEDAGAI,SUMATERA UTARA</t>
  </si>
  <si>
    <t xml:space="preserve">RS Umum Melati </t>
  </si>
  <si>
    <t>Jl Deli No. 105-115 Perbaungan, Serdang Bedagai</t>
  </si>
  <si>
    <t>RS Umum Sawit Indah Perbaungan</t>
  </si>
  <si>
    <t>Jl May.Jend (Purn) H.T. Rizal Nurdin No.10 Perbaungan</t>
  </si>
  <si>
    <t>RS Umum Melati Desa Pon</t>
  </si>
  <si>
    <t>Jalan Besar No 218 A Desa Pon - Sei Rampah</t>
  </si>
  <si>
    <t>RS Umum Trianda</t>
  </si>
  <si>
    <t>Jl Medan - Tebing Tinggi Km.42,5 No.752B, Dusun I Desa Pasar Bengkel, Kecamatan Perbaungan, Kabupaten Serdang Bedagai, Provinsi Sumatera Utara</t>
  </si>
  <si>
    <t>RS Umum Balimbingan PTP 4</t>
  </si>
  <si>
    <t>Simalungun</t>
  </si>
  <si>
    <t>Desa Balimbingan, Kecamatan Tanah Jawa, Kabupaten Simalungun, Sumatera Utara</t>
  </si>
  <si>
    <t>RS Umum Daerah Tuan Rondahaim</t>
  </si>
  <si>
    <t>Komplek Perkantoran SKPD Pemkab Simalungun, Desa/Kelurahan Sondi Raya, Kecamatan Raya</t>
  </si>
  <si>
    <t>RS Umum Daerah Perdagangan</t>
  </si>
  <si>
    <t>Jl. Radjadmin Purba, SH. Perdagangan</t>
  </si>
  <si>
    <t>RS Umum Laras Kabupaten Simalungun</t>
  </si>
  <si>
    <t>Jl. Desa Naga Jaya I Kec. Bandar Huluan Kab.Simalungun</t>
  </si>
  <si>
    <t>RS Umum Daerah Parapat</t>
  </si>
  <si>
    <t>Jl. Kolonel TPR Sinaga Parapat</t>
  </si>
  <si>
    <t>Jl. Merdeka Nomor 12-18 Kelurahan Perdagangan III Kecamatan Bandar Kabupaten Simalungun</t>
  </si>
  <si>
    <t>RS Umum Daerah Tapanuli Selatan</t>
  </si>
  <si>
    <t>Tapanuli Selatan</t>
  </si>
  <si>
    <t>Jl. Rumah Sakit No.1 Banjar Toba, Kel. Bagas Nagodang, Kec. Sipirok</t>
  </si>
  <si>
    <t>RS Bhayangkara Tk. IV  Batangtoru</t>
  </si>
  <si>
    <t>Jl. Merdeka No. 17 Desa Hapesong Baru Kec. Batang Toru</t>
  </si>
  <si>
    <t>RS Umum Daerah Pintu Padang</t>
  </si>
  <si>
    <t>Jl. Mandailing No.KM.18, Kel. Pintu Padang I, Kec. Batang Angkola, Kabupaten Tapanuli Selatan, Sumatera Utara, Indonesia</t>
  </si>
  <si>
    <t>RS Umum Daerah Pandan</t>
  </si>
  <si>
    <t>Tapanuli Tengah</t>
  </si>
  <si>
    <t>Jl. Dr. FL. Tobing No. 05 Pandan</t>
  </si>
  <si>
    <t>RS Umum Daerah Tarutung</t>
  </si>
  <si>
    <t>Tapanuli Utara</t>
  </si>
  <si>
    <t>Jl. Agus Salim No. 1 Tarutung</t>
  </si>
  <si>
    <t>RS Umum Sint Lucia</t>
  </si>
  <si>
    <t>Jl. Sisingamangaraja No. 171/173 Siborongborong. Tapanuli Utara</t>
  </si>
  <si>
    <t>RS Umum Daerah Porsea</t>
  </si>
  <si>
    <t>Toba Samosir</t>
  </si>
  <si>
    <t>Jl. Raja Sipakko Napitulu, Ds. Parparean, Kec. Porsea, Kab. Toba Samosir</t>
  </si>
  <si>
    <t>RS Umum HKBP Balige</t>
  </si>
  <si>
    <t>Jl. Gereja No.17, Balige</t>
  </si>
  <si>
    <t>Yogyakarta</t>
  </si>
  <si>
    <t>RS Bedah Adelia</t>
  </si>
  <si>
    <t>Bantul</t>
  </si>
  <si>
    <t>JL Monumen TNI AU No 1 Tamanan Banguntapan Bantul</t>
  </si>
  <si>
    <t>RS Khusus Bedah Ring Road Selatan</t>
  </si>
  <si>
    <t>Glugo Panggungharjo Sewon Bantul Yogyakarta</t>
  </si>
  <si>
    <t>RS Khusus Ibu dan Anak Kahyangan</t>
  </si>
  <si>
    <t>Jl Tinosidin No 390 Cebongan Ngestiharjo Kasihan Bantul</t>
  </si>
  <si>
    <t>RS Ibu Anak Ummi Khasanah</t>
  </si>
  <si>
    <t>Jl Pemuda Ds Gandekan Bantul</t>
  </si>
  <si>
    <t>RS Paru Respira</t>
  </si>
  <si>
    <t>Jl Panembahan Senopati No 4, Palbapang, Bantul, Yogyakarta</t>
  </si>
  <si>
    <t>RSPAU Dr.  Suhardi Harjolukito</t>
  </si>
  <si>
    <t>Jl. Raya Janti Blok O Banguntapan Bantul Yogyakarta</t>
  </si>
  <si>
    <t>RS Umum Daerah Panembahan Senopati</t>
  </si>
  <si>
    <t>Jl Dr. Wahidin Sudiro Husodo Bantul</t>
  </si>
  <si>
    <t xml:space="preserve">RS Umum Rachma Husada </t>
  </si>
  <si>
    <t xml:space="preserve"> Jl Parangtritis Km.16 Gerselo Patalan Jetis Bantul </t>
  </si>
  <si>
    <t>RSU PKU Muhammadiyah Bantul</t>
  </si>
  <si>
    <t>Jl Jenderal Sudirman 124 Bantul</t>
  </si>
  <si>
    <t>RS Universitas Islam Indonesia</t>
  </si>
  <si>
    <t>Jl. Srandakan KM 5,5 Wijirejo Pandak Bantul</t>
  </si>
  <si>
    <t>RS Umum Santa Elisabeth</t>
  </si>
  <si>
    <t>Ganjuran Sumbermulyo Bambanglipuro</t>
  </si>
  <si>
    <t xml:space="preserve">RS Rajawali Citra </t>
  </si>
  <si>
    <t xml:space="preserve">Jl Pleret Km.2,5, Banjardadap Potorono Banguntapan Bantul </t>
  </si>
  <si>
    <t>RS Umum Nur Hidayah</t>
  </si>
  <si>
    <t>Jl Imogiri Timur Km. 11,5 Trimulyo Jetis Bantul</t>
  </si>
  <si>
    <t>RS Umum Permata Husada</t>
  </si>
  <si>
    <t>Jl Raya Pleret KM 4, Kauman, Pleret, Bantul, Daerah Istimewa Yogyakarta</t>
  </si>
  <si>
    <t>RS Umum Griya Mahardika Yogyakarta</t>
  </si>
  <si>
    <t>jl. Parangtritis KM 4.5 gang Wijayakusuma No 212 Yogyakarta</t>
  </si>
  <si>
    <t>RS Umum Daerah Saras Adyatma</t>
  </si>
  <si>
    <t xml:space="preserve">Jl. Paker-Dawetan Selo Sidomulyo Bambanglipuro Bantul </t>
  </si>
  <si>
    <t>RS Ibu dan anak Allaudya</t>
  </si>
  <si>
    <t>Gunung Kidul</t>
  </si>
  <si>
    <t>Jl. Karangmojo - Wonosari km 2, Selang III, Selang, Kec. Wonosari, Kabupaten Gunungkidul, Daerah Istimewa Yogyakarta 55891</t>
  </si>
  <si>
    <t>RS Umum Daerah Wonosari</t>
  </si>
  <si>
    <t>Jl Taman Bhakti No. 06 Wonosari</t>
  </si>
  <si>
    <t>Jl Wonosari-Ponjong Km 7 Kelor Karangmojo Gunungkidul</t>
  </si>
  <si>
    <t>RS Umum Daerah Saptosari</t>
  </si>
  <si>
    <t>Karang Jetis Saptosari Gunungkidul</t>
  </si>
  <si>
    <t>RS Umum PKU Muhammadiyah Wonosari</t>
  </si>
  <si>
    <t>Jalan Lingkar Utara Kemorosari II, Piyaman Wonosari Gunungkidul DIY</t>
  </si>
  <si>
    <t>RS Umum Nur Rohmah</t>
  </si>
  <si>
    <t>Jl Wonosari - Yogya Km. 7, Bandung, Playen, Gunungkidul</t>
  </si>
  <si>
    <t xml:space="preserve">RS Umum Pelita Husada </t>
  </si>
  <si>
    <t xml:space="preserve">Jl Raya Semanu Km.3 Sambirejo Semanu Gunungkidul DIY 55893 </t>
  </si>
  <si>
    <t>RS Bethesda Wonosari</t>
  </si>
  <si>
    <t>Jl. Karangmojo-Wonosari Km.2,3 Selang III Selang Wonosari Gunung Kidul</t>
  </si>
  <si>
    <t>RS Islam Gunungkidul</t>
  </si>
  <si>
    <t>Jl. Pramuka RT 004/RW 001 Ngipak Karangmojo Gunungkidul</t>
  </si>
  <si>
    <t>RS Khusus Jiwa Puri Nirmala</t>
  </si>
  <si>
    <t xml:space="preserve"> </t>
  </si>
  <si>
    <t>Kota Yogyakarta</t>
  </si>
  <si>
    <t>Jl Jayaningprangan No. 13 Gunungketur Pakualaman Yogyakarta</t>
  </si>
  <si>
    <t>RS Gigi dan Mulut Universitas Muhammadiyah Yogyakarta</t>
  </si>
  <si>
    <t>Jl. HOS Cokroaminoto 17, Wirobrajan, Kota Yogyakarta</t>
  </si>
  <si>
    <t>RS Khusus Ibu dan Anak Permata Bunda</t>
  </si>
  <si>
    <t>Jl. Ngeksigondo No. 56 Yogyakarta</t>
  </si>
  <si>
    <t xml:space="preserve">RS Khusus Ibu dan Anak  PKU Muhammadiyah Kotagede </t>
  </si>
  <si>
    <t>Jl Kemasan No. 43 Purbayan Kotagede Yogyakarta</t>
  </si>
  <si>
    <t>RS Khusus Ibu dan Anak Rachmi</t>
  </si>
  <si>
    <t>Jl. KH. Wachid Hasyim No. 47 Notoprajan Ngampilan Yogyakarta 55262</t>
  </si>
  <si>
    <t>RS  Mata Dr. Yap</t>
  </si>
  <si>
    <t>Jl Cik Di Tiro No. 5 Yogyakarta</t>
  </si>
  <si>
    <t>RS PKU Muhammadiyah Yogyakarta</t>
  </si>
  <si>
    <t>Jl K.H. Ahmad Dahlan No. 20 Ngupasan Gondomanan Yogyakarta</t>
  </si>
  <si>
    <t>RS Bethesda Yogyakarta</t>
  </si>
  <si>
    <t>Jl Jend. Sudirman No. 70 Kotabaru Yogyakarta</t>
  </si>
  <si>
    <t>RS Umum Daerah Kota Yogyakarta</t>
  </si>
  <si>
    <t>Jl Wirosaban No. 1 Yogyakarta</t>
  </si>
  <si>
    <t>RS Umum Panti Rapih</t>
  </si>
  <si>
    <t>Jl. Cik Di Tiro 30 Yogyakarta</t>
  </si>
  <si>
    <t>RS Siloam Yogyakarta</t>
  </si>
  <si>
    <t>Jl. Laksda Adisucipto Nomor 32 34 Yogyakarta 55221</t>
  </si>
  <si>
    <t>RS Tk. III 04.06.03 Dr. Soetarto</t>
  </si>
  <si>
    <t>Jl. Juadi No.19, Kotabaru, Kec. Gondokusuman, Kota Yogyakarta, Daerah Istimewa Yogyakarta 55224</t>
  </si>
  <si>
    <t>RS Happy Land Medical Centre</t>
  </si>
  <si>
    <t>Jl Ipda Tut Harsono No.53 Timoho Yogyakarta</t>
  </si>
  <si>
    <t>RS Islam Hidayatullah Yogyakarta</t>
  </si>
  <si>
    <t>Jl Veteran No.184 Pandeyan Umbulharjo Yogyakarta</t>
  </si>
  <si>
    <t>RS Pratama Kota Yogyakarta</t>
  </si>
  <si>
    <t>Jl Kol. Sugiyono No.98 RT 069 RW 019 Brontokusuman, Mergangsan, Yogyakarta</t>
  </si>
  <si>
    <t>RS Bethesda Lempuyangwangi</t>
  </si>
  <si>
    <t>Jl Hayam Wuruk No.6 Yogyakarta</t>
  </si>
  <si>
    <t>RS AMC Muhammadiyah</t>
  </si>
  <si>
    <t>Jl. H.O.S Cokroaminoto No. 17 B Pakuncen, Wirobrajan, Kota Yogyakarta, Daerah Istimewa Yogyakarta</t>
  </si>
  <si>
    <t>RS Ludira Husada Tama</t>
  </si>
  <si>
    <t>Jl Wiratama 4 Tegalrejo, Yogyakarta</t>
  </si>
  <si>
    <t>RS Umum Daerah Wates</t>
  </si>
  <si>
    <t>Kulon Progo</t>
  </si>
  <si>
    <t>Jl Tentara Pelajar Km.1 No.5 Wates Kulon Progo</t>
  </si>
  <si>
    <t>RS Umum Daerah Nyi Ageng Serang</t>
  </si>
  <si>
    <t>Jl Sentolo - Muntilan KM 0,3 Banguncipto, Sentolo, Kab. Kulon Progo, Prop. DIY</t>
  </si>
  <si>
    <t>RS Umum Pura Raharja Medika</t>
  </si>
  <si>
    <t>Jl. Raya Brosot Bangeran Bumirejo Lendah Kulon Progo Daerah Istimewa Yogyakarta</t>
  </si>
  <si>
    <t>RS Umum Kharisma Paramedika</t>
  </si>
  <si>
    <t xml:space="preserve">Jl. Khudori No.34, Wates, Kulon Progo </t>
  </si>
  <si>
    <t>RS Umum Queen Latifa</t>
  </si>
  <si>
    <t>Jl Raya Yogya Wates KM. 21 Sukoreno, Sentolo, Kabupaten Kulon Progo , Provinsi D. I Yogyakarta 55664</t>
  </si>
  <si>
    <t>RS Umum Rizki Amalia Medika</t>
  </si>
  <si>
    <t>Jl raya Brosot - Wates Km.5 Jogahan Bumirejo Lendah Kulon Progo</t>
  </si>
  <si>
    <t>RSU Santo Yusup Boro</t>
  </si>
  <si>
    <t>Boro RT. 01 / RW.01, Banjarasri, Kalibawang, Kulon Progo</t>
  </si>
  <si>
    <t>RS Umum Rizki Amalia</t>
  </si>
  <si>
    <t>Jl Wates-Purworejo Km.10, Kalidengen, Temon, KP</t>
  </si>
  <si>
    <t>RS Umum PKU Muhammadiyah Nanggulan</t>
  </si>
  <si>
    <t>Ngemplak, Kembang, Nanggulan, Kulon Progo, Yogyakarta</t>
  </si>
  <si>
    <t>RS Khusus Bedah An-Nur</t>
  </si>
  <si>
    <t>Sleman</t>
  </si>
  <si>
    <t>Jl. Colombo No. 14-16 Sleman Yogyakarta</t>
  </si>
  <si>
    <t>RS Gigi dan Mulut UGM Prof. Soedomo</t>
  </si>
  <si>
    <t>Jl. Sekip Utara Yogyakarta</t>
  </si>
  <si>
    <t>RS Khusus Ibu Anak Sadewa</t>
  </si>
  <si>
    <t>Babarsari TB 16/13-B Caturtunggal Depok Sleman</t>
  </si>
  <si>
    <t>RS Ibu Anak Arvita Bunda</t>
  </si>
  <si>
    <t>Jl. Raya Tajem - Pasar Stan RT 04 RW 44 Maguwoharjo, Depok, Sleman, DI. Yogyakarta</t>
  </si>
  <si>
    <t>RS Jiwa Grhasia</t>
  </si>
  <si>
    <t>Jl. Kaliurang Km. 17 Pakem Sleman DIY</t>
  </si>
  <si>
    <t>RSUP Dr. Sardjito</t>
  </si>
  <si>
    <t xml:space="preserve">Jl Kesehatan No.1 Sekip Yogyakarta </t>
  </si>
  <si>
    <t>RS Akademik Universitas Gadjah Mada</t>
  </si>
  <si>
    <t>Jl. Kabupaten (Lingkar Utara), Kronggahan, Trihanggo, Gamping, Sleman, D.I. Yogyakarta</t>
  </si>
  <si>
    <t>RS Umum Daerah Sleman</t>
  </si>
  <si>
    <t>JL Bhayangkara No 48 Triharjo Sleman</t>
  </si>
  <si>
    <t>RS Jih</t>
  </si>
  <si>
    <t>Jl Ring Road Utara no. 160 Condongcatur Depok</t>
  </si>
  <si>
    <t>RS Umum PKU Muhammadiyah Gamping</t>
  </si>
  <si>
    <t>Jl. Wates KM 5,5 Gamping Sleman</t>
  </si>
  <si>
    <t>RS Umum Daerah Prambanan</t>
  </si>
  <si>
    <t xml:space="preserve">Jl Prambanan Piyungan Km.7, Delegan, Sumberharjo, Prambanan, Sleman </t>
  </si>
  <si>
    <t>RS PKU Muhammadiyah Sleman</t>
  </si>
  <si>
    <t>Jl. Magelang KM 10,5 Pandowoharjo, Kec. Sleman</t>
  </si>
  <si>
    <t>RS Umum Hermina Yogya</t>
  </si>
  <si>
    <t>Jl Mataram RT 05 RW 50, Gondangan, Ringinsari, Maguwoharjo, Depok, Kab. Sleman, Yogyakarta</t>
  </si>
  <si>
    <t>RS Umum Panti Rini</t>
  </si>
  <si>
    <t xml:space="preserve">Jl Solo Km 12,5 Krajan Tirtomartani Kalasan Sleman Yogyakarta </t>
  </si>
  <si>
    <t>RS Umum Sakina Idaman</t>
  </si>
  <si>
    <t>Jl Nyi Tjondroloekito No. 60, Sinduadi, Mlati, Sleman</t>
  </si>
  <si>
    <t>RS Islam Yayasan PDHI</t>
  </si>
  <si>
    <t>Jl Solo Km 12,5 Kalasan Sleman Yogyakarta</t>
  </si>
  <si>
    <t>RS Umum Gramedika 10</t>
  </si>
  <si>
    <t>Jl Raya Besi Jangkang No. 10, Sardonoharjo, Ngaglik</t>
  </si>
  <si>
    <t>RS Queen Latifa</t>
  </si>
  <si>
    <t>Jl Siliwangi (RingRoad Barat) No 118, Mlangi, Nogotirto, Gamping, Sleman, Yogyakarta</t>
  </si>
  <si>
    <t>RS At-Turots Al-Islamy</t>
  </si>
  <si>
    <t>Klaci 1 Margoluwih Seyegan Sleman</t>
  </si>
  <si>
    <t>RS Umum Panti Nugroho</t>
  </si>
  <si>
    <t>Jl. Kaliurang  Km.17 Pakem,Sleman</t>
  </si>
  <si>
    <t>RS Universitas Ahmad Dahlan</t>
  </si>
  <si>
    <t>Jl Cindelaras Raya - Karangsari, Wedomartani, Ngemplak</t>
  </si>
  <si>
    <t xml:space="preserve">RS Umum Puri Husada Yogyakarta </t>
  </si>
  <si>
    <t xml:space="preserve">Jl. Palagan Tentara Pelajar No.67 Km.11 Rejodani Ngaglik Sleman </t>
  </si>
  <si>
    <t>RS Umum Bhayangkara POLDA DIY</t>
  </si>
  <si>
    <t>Jl Jogya - Solo KM. 14 Glondong Tirtomartani Kalasan Sleman Yogyakarta</t>
  </si>
  <si>
    <t>Jl. Wates KM 9 Balecatur, Gamping</t>
  </si>
  <si>
    <t>RS Umum Bunga Bangsa Medika</t>
  </si>
  <si>
    <t>Jl. Lili Kembang Nomor 17 Maguwoharjo Depok</t>
  </si>
  <si>
    <t>Charitas Hospital Klepu</t>
  </si>
  <si>
    <t>Klepu Sendangmulyo Minggir</t>
  </si>
  <si>
    <t xml:space="preserve">RS Umum Condong Catur </t>
  </si>
  <si>
    <t xml:space="preserve">Jl Manggis No.6, Gempol, Condong Catur, Depok, Sleman </t>
  </si>
  <si>
    <t>RS Umum Mitra Paramedika</t>
  </si>
  <si>
    <t>Jl Raya Ngemplak Kemasan Widodomartani</t>
  </si>
  <si>
    <t>population_thousand</t>
  </si>
  <si>
    <t>population</t>
  </si>
  <si>
    <t>total_hospitals</t>
  </si>
  <si>
    <t>class_a</t>
  </si>
  <si>
    <t>class_b</t>
  </si>
  <si>
    <t>class_ab</t>
  </si>
  <si>
    <t>hospitals_100k</t>
  </si>
  <si>
    <t>beds_1k</t>
  </si>
  <si>
    <t>labors_1k</t>
  </si>
  <si>
    <t>labors_beds</t>
  </si>
  <si>
    <t>beds_hospitals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</si>
</sst>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7DF05C-0FF4-40C6-B655-283D02959A11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province" tableColumnId="2"/>
      <queryTableField id="3" name="population" tableColumnId="3"/>
      <queryTableField id="4" name="population_density" tableColumnId="4"/>
      <queryTableField id="5" name="hospital_name" tableColumnId="5"/>
      <queryTableField id="6" name="type" tableColumnId="6"/>
      <queryTableField id="7" name="class" tableColumnId="7"/>
      <queryTableField id="8" name="total_beds" tableColumnId="8"/>
      <queryTableField id="9" name="total_services" tableColumnId="9"/>
      <queryTableField id="10" name="total_labors" tableColumnId="10"/>
      <queryTableField id="11" name="ownership" tableColumnId="11"/>
      <queryTableField id="12" name="blu_status" tableColumnId="12"/>
      <queryTableField id="13" name="city" tableColumnId="13"/>
      <queryTableField id="14" name="addres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2F1C39-B2AE-4483-B43C-6C5A40D12FE8}" name="hospital_population_cleaned_table" displayName="hospital_population_cleaned_table" ref="A1:N3156" tableType="queryTable" totalsRowShown="0">
  <autoFilter ref="A1:N3156" xr:uid="{972F1C39-B2AE-4483-B43C-6C5A40D12FE8}"/>
  <tableColumns count="14">
    <tableColumn id="1" xr3:uid="{C4D44665-CAE7-4CF9-AA96-775FBF22E6BE}" uniqueName="1" name="id" queryTableFieldId="1"/>
    <tableColumn id="2" xr3:uid="{2EF9EEA0-97BD-450D-B6E2-BFCD71902A07}" uniqueName="2" name="province" queryTableFieldId="2" dataDxfId="7"/>
    <tableColumn id="3" xr3:uid="{D433D9AD-CB4B-4301-B480-F3AFC9CF12BE}" uniqueName="3" name="population_thousand" queryTableFieldId="3"/>
    <tableColumn id="4" xr3:uid="{8473C6C1-2910-4461-AA43-138B86BA2037}" uniqueName="4" name="population_density" queryTableFieldId="4"/>
    <tableColumn id="5" xr3:uid="{A926ED11-8CDF-417F-8B21-852685531E8D}" uniqueName="5" name="hospital_name" queryTableFieldId="5" dataDxfId="6"/>
    <tableColumn id="6" xr3:uid="{2E79F34E-2370-4E6E-92A9-0D35CB14734B}" uniqueName="6" name="type" queryTableFieldId="6" dataDxfId="5"/>
    <tableColumn id="7" xr3:uid="{2F1B6A9B-E2F7-47AB-9815-FB84DA73E8F4}" uniqueName="7" name="class" queryTableFieldId="7" dataDxfId="4"/>
    <tableColumn id="8" xr3:uid="{38E4EA0E-E0AC-460E-B4CC-857B972FC16D}" uniqueName="8" name="total_beds" queryTableFieldId="8"/>
    <tableColumn id="9" xr3:uid="{3D63489B-9AB2-4A23-BBE7-1D5C352DF5B0}" uniqueName="9" name="total_services" queryTableFieldId="9"/>
    <tableColumn id="10" xr3:uid="{EA9B544A-BA19-47CB-B928-D4FD4B295974}" uniqueName="10" name="total_labors" queryTableFieldId="10"/>
    <tableColumn id="11" xr3:uid="{28EAE84E-C907-4AC2-AB3E-BE977BF2200F}" uniqueName="11" name="ownership" queryTableFieldId="11" dataDxfId="3"/>
    <tableColumn id="12" xr3:uid="{031BC466-D515-49AF-B875-E6C3DFEDB16D}" uniqueName="12" name="blu_status" queryTableFieldId="12" dataDxfId="2"/>
    <tableColumn id="13" xr3:uid="{86F693DD-A101-418A-9DD1-5E5548167473}" uniqueName="13" name="city" queryTableFieldId="13" dataDxfId="1"/>
    <tableColumn id="14" xr3:uid="{FE57A165-A5AC-4F31-B077-FD358806E152}" uniqueName="14" name="address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2CF7-27F2-4424-BCD9-B32E4D0671E6}">
  <dimension ref="A1:N3156"/>
  <sheetViews>
    <sheetView tabSelected="1" workbookViewId="0"/>
  </sheetViews>
  <sheetFormatPr defaultRowHeight="14.5" x14ac:dyDescent="0.35"/>
  <cols>
    <col min="1" max="1" width="7.81640625" bestFit="1" customWidth="1"/>
    <col min="2" max="2" width="23.54296875" bestFit="1" customWidth="1"/>
    <col min="3" max="3" width="21.453125" bestFit="1" customWidth="1"/>
    <col min="4" max="4" width="19.54296875" bestFit="1" customWidth="1"/>
    <col min="5" max="5" width="62" bestFit="1" customWidth="1"/>
    <col min="6" max="6" width="30.54296875" bestFit="1" customWidth="1"/>
    <col min="7" max="7" width="21.7265625" bestFit="1" customWidth="1"/>
    <col min="8" max="8" width="12.08984375" bestFit="1" customWidth="1"/>
    <col min="9" max="9" width="14.6328125" bestFit="1" customWidth="1"/>
    <col min="10" max="10" width="13.26953125" bestFit="1" customWidth="1"/>
    <col min="11" max="11" width="18.08984375" bestFit="1" customWidth="1"/>
    <col min="12" max="12" width="13.26953125" bestFit="1" customWidth="1"/>
    <col min="13" max="13" width="29.90625" bestFit="1" customWidth="1"/>
    <col min="14" max="14" width="80.7265625" bestFit="1" customWidth="1"/>
  </cols>
  <sheetData>
    <row r="1" spans="1:14" x14ac:dyDescent="0.35">
      <c r="A1" t="s">
        <v>0</v>
      </c>
      <c r="B1" t="s">
        <v>1</v>
      </c>
      <c r="C1" t="s">
        <v>6856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1107014</v>
      </c>
      <c r="B2" s="1" t="s">
        <v>13</v>
      </c>
      <c r="C2">
        <v>5695.9</v>
      </c>
      <c r="D2">
        <v>100</v>
      </c>
      <c r="E2" s="1" t="s">
        <v>14</v>
      </c>
      <c r="F2" s="1" t="s">
        <v>15</v>
      </c>
      <c r="G2" s="1" t="s">
        <v>16</v>
      </c>
      <c r="H2">
        <v>267</v>
      </c>
      <c r="I2">
        <v>16</v>
      </c>
      <c r="J2">
        <v>812</v>
      </c>
      <c r="K2" s="1" t="s">
        <v>17</v>
      </c>
      <c r="L2" s="1" t="s">
        <v>18</v>
      </c>
      <c r="M2" s="1" t="s">
        <v>19</v>
      </c>
      <c r="N2" s="1" t="s">
        <v>20</v>
      </c>
    </row>
    <row r="3" spans="1:14" x14ac:dyDescent="0.35">
      <c r="A3">
        <v>1107016</v>
      </c>
      <c r="B3" s="1" t="s">
        <v>13</v>
      </c>
      <c r="C3">
        <v>5695.9</v>
      </c>
      <c r="D3">
        <v>100</v>
      </c>
      <c r="E3" s="1" t="s">
        <v>21</v>
      </c>
      <c r="F3" s="1" t="s">
        <v>15</v>
      </c>
      <c r="G3" s="1" t="s">
        <v>22</v>
      </c>
      <c r="H3">
        <v>51</v>
      </c>
      <c r="I3">
        <v>25</v>
      </c>
      <c r="J3">
        <v>53</v>
      </c>
      <c r="K3" s="1" t="s">
        <v>23</v>
      </c>
      <c r="L3" s="1" t="s">
        <v>24</v>
      </c>
      <c r="M3" s="1" t="s">
        <v>19</v>
      </c>
      <c r="N3" s="1" t="s">
        <v>25</v>
      </c>
    </row>
    <row r="4" spans="1:14" x14ac:dyDescent="0.35">
      <c r="A4">
        <v>1107017</v>
      </c>
      <c r="B4" s="1" t="s">
        <v>13</v>
      </c>
      <c r="C4">
        <v>5695.9</v>
      </c>
      <c r="D4">
        <v>100</v>
      </c>
      <c r="E4" s="1" t="s">
        <v>26</v>
      </c>
      <c r="F4" s="1" t="s">
        <v>15</v>
      </c>
      <c r="G4" s="1" t="s">
        <v>22</v>
      </c>
      <c r="H4">
        <v>56</v>
      </c>
      <c r="I4">
        <v>23</v>
      </c>
      <c r="J4">
        <v>20</v>
      </c>
      <c r="K4" s="1" t="s">
        <v>27</v>
      </c>
      <c r="L4" s="1" t="s">
        <v>24</v>
      </c>
      <c r="M4" s="1" t="s">
        <v>19</v>
      </c>
      <c r="N4" s="1" t="s">
        <v>28</v>
      </c>
    </row>
    <row r="5" spans="1:14" x14ac:dyDescent="0.35">
      <c r="A5">
        <v>1107015</v>
      </c>
      <c r="B5" s="1" t="s">
        <v>13</v>
      </c>
      <c r="C5">
        <v>5695.9</v>
      </c>
      <c r="D5">
        <v>100</v>
      </c>
      <c r="E5" s="1" t="s">
        <v>29</v>
      </c>
      <c r="F5" s="1" t="s">
        <v>15</v>
      </c>
      <c r="G5" s="1" t="s">
        <v>22</v>
      </c>
      <c r="H5">
        <v>51</v>
      </c>
      <c r="I5">
        <v>16</v>
      </c>
      <c r="J5">
        <v>55</v>
      </c>
      <c r="K5" s="1" t="s">
        <v>23</v>
      </c>
      <c r="L5" s="1" t="s">
        <v>24</v>
      </c>
      <c r="M5" s="1" t="s">
        <v>19</v>
      </c>
      <c r="N5" s="1" t="s">
        <v>30</v>
      </c>
    </row>
    <row r="6" spans="1:14" x14ac:dyDescent="0.35">
      <c r="A6">
        <v>1112011</v>
      </c>
      <c r="B6" s="1" t="s">
        <v>13</v>
      </c>
      <c r="C6">
        <v>5695.9</v>
      </c>
      <c r="D6">
        <v>100</v>
      </c>
      <c r="E6" s="1" t="s">
        <v>31</v>
      </c>
      <c r="F6" s="1" t="s">
        <v>15</v>
      </c>
      <c r="G6" s="1" t="s">
        <v>32</v>
      </c>
      <c r="H6">
        <v>256</v>
      </c>
      <c r="I6">
        <v>96</v>
      </c>
      <c r="J6">
        <v>1100</v>
      </c>
      <c r="K6" s="1" t="s">
        <v>17</v>
      </c>
      <c r="L6" s="1" t="s">
        <v>18</v>
      </c>
      <c r="M6" s="1" t="s">
        <v>33</v>
      </c>
      <c r="N6" s="1" t="s">
        <v>34</v>
      </c>
    </row>
    <row r="7" spans="1:14" x14ac:dyDescent="0.35">
      <c r="A7">
        <v>1108015</v>
      </c>
      <c r="B7" s="1" t="s">
        <v>13</v>
      </c>
      <c r="C7">
        <v>5695.9</v>
      </c>
      <c r="D7">
        <v>100</v>
      </c>
      <c r="E7" s="1" t="s">
        <v>35</v>
      </c>
      <c r="F7" s="1" t="s">
        <v>15</v>
      </c>
      <c r="G7" s="1" t="s">
        <v>32</v>
      </c>
      <c r="H7">
        <v>101</v>
      </c>
      <c r="I7">
        <v>23</v>
      </c>
      <c r="J7">
        <v>262</v>
      </c>
      <c r="K7" s="1" t="s">
        <v>17</v>
      </c>
      <c r="L7" s="1" t="s">
        <v>24</v>
      </c>
      <c r="M7" s="1" t="s">
        <v>36</v>
      </c>
      <c r="N7" s="1" t="s">
        <v>37</v>
      </c>
    </row>
    <row r="8" spans="1:14" x14ac:dyDescent="0.35">
      <c r="A8">
        <v>1108028</v>
      </c>
      <c r="B8" s="1" t="s">
        <v>13</v>
      </c>
      <c r="C8">
        <v>5695.9</v>
      </c>
      <c r="D8">
        <v>100</v>
      </c>
      <c r="E8" s="1" t="s">
        <v>38</v>
      </c>
      <c r="F8" s="1" t="s">
        <v>15</v>
      </c>
      <c r="G8" s="1" t="s">
        <v>22</v>
      </c>
      <c r="H8">
        <v>63</v>
      </c>
      <c r="I8">
        <v>22</v>
      </c>
      <c r="K8" s="1" t="s">
        <v>23</v>
      </c>
      <c r="L8" s="1" t="s">
        <v>24</v>
      </c>
      <c r="M8" s="1" t="s">
        <v>36</v>
      </c>
      <c r="N8" s="1" t="s">
        <v>39</v>
      </c>
    </row>
    <row r="9" spans="1:14" x14ac:dyDescent="0.35">
      <c r="A9">
        <v>1108017</v>
      </c>
      <c r="B9" s="1" t="s">
        <v>13</v>
      </c>
      <c r="C9">
        <v>5695.9</v>
      </c>
      <c r="D9">
        <v>100</v>
      </c>
      <c r="E9" s="1" t="s">
        <v>40</v>
      </c>
      <c r="F9" s="1" t="s">
        <v>15</v>
      </c>
      <c r="G9" s="1" t="s">
        <v>22</v>
      </c>
      <c r="H9">
        <v>63</v>
      </c>
      <c r="I9">
        <v>33</v>
      </c>
      <c r="J9">
        <v>67</v>
      </c>
      <c r="K9" s="1" t="s">
        <v>23</v>
      </c>
      <c r="L9" s="1" t="s">
        <v>24</v>
      </c>
      <c r="M9" s="1" t="s">
        <v>36</v>
      </c>
      <c r="N9" s="1" t="s">
        <v>41</v>
      </c>
    </row>
    <row r="10" spans="1:14" x14ac:dyDescent="0.35">
      <c r="A10">
        <v>1116011</v>
      </c>
      <c r="B10" s="1" t="s">
        <v>13</v>
      </c>
      <c r="C10">
        <v>5695.9</v>
      </c>
      <c r="D10">
        <v>100</v>
      </c>
      <c r="E10" s="1" t="s">
        <v>42</v>
      </c>
      <c r="F10" s="1" t="s">
        <v>15</v>
      </c>
      <c r="G10" s="1" t="s">
        <v>32</v>
      </c>
      <c r="H10">
        <v>107</v>
      </c>
      <c r="I10">
        <v>23</v>
      </c>
      <c r="J10">
        <v>406</v>
      </c>
      <c r="K10" s="1" t="s">
        <v>17</v>
      </c>
      <c r="L10" s="1" t="s">
        <v>18</v>
      </c>
      <c r="M10" s="1" t="s">
        <v>43</v>
      </c>
      <c r="N10" s="1" t="s">
        <v>44</v>
      </c>
    </row>
    <row r="11" spans="1:14" x14ac:dyDescent="0.35">
      <c r="A11">
        <v>1103010</v>
      </c>
      <c r="B11" s="1" t="s">
        <v>13</v>
      </c>
      <c r="C11">
        <v>5695.9</v>
      </c>
      <c r="D11">
        <v>100</v>
      </c>
      <c r="E11" s="1" t="s">
        <v>45</v>
      </c>
      <c r="F11" s="1" t="s">
        <v>15</v>
      </c>
      <c r="G11" s="1" t="s">
        <v>16</v>
      </c>
      <c r="H11">
        <v>359</v>
      </c>
      <c r="I11">
        <v>68</v>
      </c>
      <c r="J11">
        <v>515</v>
      </c>
      <c r="K11" s="1" t="s">
        <v>17</v>
      </c>
      <c r="L11" s="1" t="s">
        <v>18</v>
      </c>
      <c r="M11" s="1" t="s">
        <v>46</v>
      </c>
      <c r="N11" s="1" t="s">
        <v>47</v>
      </c>
    </row>
    <row r="12" spans="1:14" x14ac:dyDescent="0.35">
      <c r="A12">
        <v>1103021</v>
      </c>
      <c r="B12" s="1" t="s">
        <v>13</v>
      </c>
      <c r="C12">
        <v>5695.9</v>
      </c>
      <c r="D12">
        <v>100</v>
      </c>
      <c r="E12" s="1" t="s">
        <v>48</v>
      </c>
      <c r="F12" s="1" t="s">
        <v>15</v>
      </c>
      <c r="G12" s="1" t="s">
        <v>22</v>
      </c>
      <c r="H12">
        <v>71</v>
      </c>
      <c r="I12">
        <v>20</v>
      </c>
      <c r="K12" s="1" t="s">
        <v>49</v>
      </c>
      <c r="L12" s="1" t="s">
        <v>24</v>
      </c>
      <c r="M12" s="1" t="s">
        <v>46</v>
      </c>
      <c r="N12" s="1" t="s">
        <v>50</v>
      </c>
    </row>
    <row r="13" spans="1:14" x14ac:dyDescent="0.35">
      <c r="A13">
        <v>1103022</v>
      </c>
      <c r="B13" s="1" t="s">
        <v>13</v>
      </c>
      <c r="C13">
        <v>5695.9</v>
      </c>
      <c r="D13">
        <v>100</v>
      </c>
      <c r="E13" s="1" t="s">
        <v>51</v>
      </c>
      <c r="F13" s="1" t="s">
        <v>15</v>
      </c>
      <c r="G13" s="1" t="s">
        <v>52</v>
      </c>
      <c r="I13">
        <v>3</v>
      </c>
      <c r="K13" s="1" t="s">
        <v>17</v>
      </c>
      <c r="L13" s="1" t="s">
        <v>24</v>
      </c>
      <c r="M13" s="1" t="s">
        <v>46</v>
      </c>
      <c r="N13" s="1" t="s">
        <v>53</v>
      </c>
    </row>
    <row r="14" spans="1:14" x14ac:dyDescent="0.35">
      <c r="A14">
        <v>1102016</v>
      </c>
      <c r="B14" s="1" t="s">
        <v>13</v>
      </c>
      <c r="C14">
        <v>5695.9</v>
      </c>
      <c r="D14">
        <v>100</v>
      </c>
      <c r="E14" s="1" t="s">
        <v>54</v>
      </c>
      <c r="F14" s="1" t="s">
        <v>15</v>
      </c>
      <c r="G14" s="1" t="s">
        <v>32</v>
      </c>
      <c r="H14">
        <v>101</v>
      </c>
      <c r="I14">
        <v>32</v>
      </c>
      <c r="J14">
        <v>566</v>
      </c>
      <c r="K14" s="1" t="s">
        <v>17</v>
      </c>
      <c r="L14" s="1" t="s">
        <v>18</v>
      </c>
      <c r="M14" s="1" t="s">
        <v>55</v>
      </c>
      <c r="N14" s="1" t="s">
        <v>56</v>
      </c>
    </row>
    <row r="15" spans="1:14" x14ac:dyDescent="0.35">
      <c r="A15">
        <v>1114011</v>
      </c>
      <c r="B15" s="1" t="s">
        <v>13</v>
      </c>
      <c r="C15">
        <v>5695.9</v>
      </c>
      <c r="D15">
        <v>100</v>
      </c>
      <c r="E15" s="1" t="s">
        <v>57</v>
      </c>
      <c r="F15" s="1" t="s">
        <v>15</v>
      </c>
      <c r="G15" s="1" t="s">
        <v>32</v>
      </c>
      <c r="H15">
        <v>287</v>
      </c>
      <c r="I15">
        <v>31</v>
      </c>
      <c r="J15">
        <v>398</v>
      </c>
      <c r="K15" s="1" t="s">
        <v>17</v>
      </c>
      <c r="L15" s="1" t="s">
        <v>18</v>
      </c>
      <c r="M15" s="1" t="s">
        <v>58</v>
      </c>
      <c r="N15" s="1" t="s">
        <v>59</v>
      </c>
    </row>
    <row r="16" spans="1:14" x14ac:dyDescent="0.35">
      <c r="A16">
        <v>1105034</v>
      </c>
      <c r="B16" s="1" t="s">
        <v>13</v>
      </c>
      <c r="C16">
        <v>5695.9</v>
      </c>
      <c r="D16">
        <v>100</v>
      </c>
      <c r="E16" s="1" t="s">
        <v>60</v>
      </c>
      <c r="F16" s="1" t="s">
        <v>15</v>
      </c>
      <c r="G16" s="1" t="s">
        <v>22</v>
      </c>
      <c r="H16">
        <v>50</v>
      </c>
      <c r="I16">
        <v>21</v>
      </c>
      <c r="J16">
        <v>49</v>
      </c>
      <c r="K16" s="1" t="s">
        <v>61</v>
      </c>
      <c r="L16" s="1" t="s">
        <v>24</v>
      </c>
      <c r="M16" s="1" t="s">
        <v>58</v>
      </c>
      <c r="N16" s="1" t="s">
        <v>62</v>
      </c>
    </row>
    <row r="17" spans="1:14" x14ac:dyDescent="0.35">
      <c r="A17">
        <v>1106013</v>
      </c>
      <c r="B17" s="1" t="s">
        <v>13</v>
      </c>
      <c r="C17">
        <v>5695.9</v>
      </c>
      <c r="D17">
        <v>100</v>
      </c>
      <c r="E17" s="1" t="s">
        <v>63</v>
      </c>
      <c r="F17" s="1" t="s">
        <v>15</v>
      </c>
      <c r="G17" s="1" t="s">
        <v>16</v>
      </c>
      <c r="H17">
        <v>376</v>
      </c>
      <c r="I17">
        <v>80</v>
      </c>
      <c r="J17">
        <v>470</v>
      </c>
      <c r="K17" s="1" t="s">
        <v>17</v>
      </c>
      <c r="L17" s="1" t="s">
        <v>18</v>
      </c>
      <c r="M17" s="1" t="s">
        <v>64</v>
      </c>
      <c r="N17" s="1" t="s">
        <v>65</v>
      </c>
    </row>
    <row r="18" spans="1:14" x14ac:dyDescent="0.35">
      <c r="A18">
        <v>1106014</v>
      </c>
      <c r="B18" s="1" t="s">
        <v>13</v>
      </c>
      <c r="C18">
        <v>5695.9</v>
      </c>
      <c r="D18">
        <v>100</v>
      </c>
      <c r="E18" s="1" t="s">
        <v>66</v>
      </c>
      <c r="F18" s="1" t="s">
        <v>15</v>
      </c>
      <c r="G18" s="1" t="s">
        <v>22</v>
      </c>
      <c r="H18">
        <v>45</v>
      </c>
      <c r="I18">
        <v>15</v>
      </c>
      <c r="J18">
        <v>45</v>
      </c>
      <c r="K18" s="1" t="s">
        <v>23</v>
      </c>
      <c r="L18" s="1" t="s">
        <v>24</v>
      </c>
      <c r="M18" s="1" t="s">
        <v>64</v>
      </c>
      <c r="N18" s="1" t="s">
        <v>67</v>
      </c>
    </row>
    <row r="19" spans="1:14" x14ac:dyDescent="0.35">
      <c r="A19">
        <v>1106025</v>
      </c>
      <c r="B19" s="1" t="s">
        <v>13</v>
      </c>
      <c r="C19">
        <v>5695.9</v>
      </c>
      <c r="D19">
        <v>100</v>
      </c>
      <c r="E19" s="1" t="s">
        <v>68</v>
      </c>
      <c r="F19" s="1" t="s">
        <v>15</v>
      </c>
      <c r="G19" s="1" t="s">
        <v>22</v>
      </c>
      <c r="H19">
        <v>60</v>
      </c>
      <c r="I19">
        <v>56</v>
      </c>
      <c r="K19" s="1" t="s">
        <v>23</v>
      </c>
      <c r="L19" s="1" t="s">
        <v>24</v>
      </c>
      <c r="M19" s="1" t="s">
        <v>64</v>
      </c>
      <c r="N19" s="1" t="s">
        <v>69</v>
      </c>
    </row>
    <row r="20" spans="1:14" x14ac:dyDescent="0.35">
      <c r="A20">
        <v>1104013</v>
      </c>
      <c r="B20" s="1" t="s">
        <v>13</v>
      </c>
      <c r="C20">
        <v>5695.9</v>
      </c>
      <c r="D20">
        <v>100</v>
      </c>
      <c r="E20" s="1" t="s">
        <v>70</v>
      </c>
      <c r="F20" s="1" t="s">
        <v>71</v>
      </c>
      <c r="G20" s="1" t="s">
        <v>32</v>
      </c>
      <c r="H20">
        <v>80</v>
      </c>
      <c r="I20">
        <v>28</v>
      </c>
      <c r="J20">
        <v>3</v>
      </c>
      <c r="K20" s="1" t="s">
        <v>23</v>
      </c>
      <c r="L20" s="1" t="s">
        <v>24</v>
      </c>
      <c r="M20" s="1" t="s">
        <v>72</v>
      </c>
      <c r="N20" s="1" t="s">
        <v>73</v>
      </c>
    </row>
    <row r="21" spans="1:14" x14ac:dyDescent="0.35">
      <c r="A21">
        <v>1104011</v>
      </c>
      <c r="B21" s="1" t="s">
        <v>13</v>
      </c>
      <c r="C21">
        <v>5695.9</v>
      </c>
      <c r="D21">
        <v>100</v>
      </c>
      <c r="E21" s="1" t="s">
        <v>74</v>
      </c>
      <c r="F21" s="1" t="s">
        <v>15</v>
      </c>
      <c r="G21" s="1" t="s">
        <v>32</v>
      </c>
      <c r="H21">
        <v>180</v>
      </c>
      <c r="I21">
        <v>32</v>
      </c>
      <c r="J21">
        <v>493</v>
      </c>
      <c r="K21" s="1" t="s">
        <v>17</v>
      </c>
      <c r="L21" s="1" t="s">
        <v>18</v>
      </c>
      <c r="M21" s="1" t="s">
        <v>72</v>
      </c>
      <c r="N21" s="1" t="s">
        <v>75</v>
      </c>
    </row>
    <row r="22" spans="1:14" x14ac:dyDescent="0.35">
      <c r="A22">
        <v>1104012</v>
      </c>
      <c r="B22" s="1" t="s">
        <v>13</v>
      </c>
      <c r="C22">
        <v>5695.9</v>
      </c>
      <c r="D22">
        <v>100</v>
      </c>
      <c r="E22" s="1" t="s">
        <v>76</v>
      </c>
      <c r="F22" s="1" t="s">
        <v>15</v>
      </c>
      <c r="G22" s="1" t="s">
        <v>32</v>
      </c>
      <c r="H22">
        <v>123</v>
      </c>
      <c r="I22">
        <v>26</v>
      </c>
      <c r="J22">
        <v>167</v>
      </c>
      <c r="K22" s="1" t="s">
        <v>23</v>
      </c>
      <c r="L22" s="1" t="s">
        <v>24</v>
      </c>
      <c r="M22" s="1" t="s">
        <v>72</v>
      </c>
      <c r="N22" s="1" t="s">
        <v>77</v>
      </c>
    </row>
    <row r="23" spans="1:14" x14ac:dyDescent="0.35">
      <c r="A23">
        <v>1105056</v>
      </c>
      <c r="B23" s="1" t="s">
        <v>13</v>
      </c>
      <c r="C23">
        <v>5695.9</v>
      </c>
      <c r="D23">
        <v>100</v>
      </c>
      <c r="E23" s="1" t="s">
        <v>78</v>
      </c>
      <c r="F23" s="1" t="s">
        <v>15</v>
      </c>
      <c r="G23" s="1" t="s">
        <v>16</v>
      </c>
      <c r="H23">
        <v>246</v>
      </c>
      <c r="I23">
        <v>47</v>
      </c>
      <c r="J23">
        <v>636</v>
      </c>
      <c r="K23" s="1" t="s">
        <v>17</v>
      </c>
      <c r="L23" s="1" t="s">
        <v>18</v>
      </c>
      <c r="M23" s="1" t="s">
        <v>79</v>
      </c>
      <c r="N23" s="1" t="s">
        <v>80</v>
      </c>
    </row>
    <row r="24" spans="1:14" x14ac:dyDescent="0.35">
      <c r="A24">
        <v>1105067</v>
      </c>
      <c r="B24" s="1" t="s">
        <v>13</v>
      </c>
      <c r="C24">
        <v>5695.9</v>
      </c>
      <c r="D24">
        <v>100</v>
      </c>
      <c r="E24" s="1" t="s">
        <v>81</v>
      </c>
      <c r="F24" s="1" t="s">
        <v>15</v>
      </c>
      <c r="G24" s="1" t="s">
        <v>32</v>
      </c>
      <c r="H24">
        <v>170</v>
      </c>
      <c r="I24">
        <v>34</v>
      </c>
      <c r="J24">
        <v>480</v>
      </c>
      <c r="K24" s="1" t="s">
        <v>17</v>
      </c>
      <c r="L24" s="1" t="s">
        <v>18</v>
      </c>
      <c r="M24" s="1" t="s">
        <v>79</v>
      </c>
      <c r="N24" s="1" t="s">
        <v>82</v>
      </c>
    </row>
    <row r="25" spans="1:14" x14ac:dyDescent="0.35">
      <c r="A25">
        <v>1105078</v>
      </c>
      <c r="B25" s="1" t="s">
        <v>13</v>
      </c>
      <c r="C25">
        <v>5695.9</v>
      </c>
      <c r="D25">
        <v>100</v>
      </c>
      <c r="E25" s="1" t="s">
        <v>83</v>
      </c>
      <c r="F25" s="1" t="s">
        <v>15</v>
      </c>
      <c r="G25" s="1" t="s">
        <v>32</v>
      </c>
      <c r="H25">
        <v>163</v>
      </c>
      <c r="I25">
        <v>26</v>
      </c>
      <c r="J25">
        <v>315</v>
      </c>
      <c r="K25" s="1" t="s">
        <v>84</v>
      </c>
      <c r="L25" s="1" t="s">
        <v>24</v>
      </c>
      <c r="M25" s="1" t="s">
        <v>79</v>
      </c>
      <c r="N25" s="1" t="s">
        <v>85</v>
      </c>
    </row>
    <row r="26" spans="1:14" x14ac:dyDescent="0.35">
      <c r="A26">
        <v>1111029</v>
      </c>
      <c r="B26" s="1" t="s">
        <v>13</v>
      </c>
      <c r="C26">
        <v>5695.9</v>
      </c>
      <c r="D26">
        <v>100</v>
      </c>
      <c r="E26" s="1" t="s">
        <v>86</v>
      </c>
      <c r="F26" s="1" t="s">
        <v>15</v>
      </c>
      <c r="G26" s="1" t="s">
        <v>22</v>
      </c>
      <c r="H26">
        <v>56</v>
      </c>
      <c r="I26">
        <v>11</v>
      </c>
      <c r="K26" s="1" t="s">
        <v>23</v>
      </c>
      <c r="L26" s="1" t="s">
        <v>24</v>
      </c>
      <c r="M26" s="1" t="s">
        <v>87</v>
      </c>
      <c r="N26" s="1" t="s">
        <v>88</v>
      </c>
    </row>
    <row r="27" spans="1:14" x14ac:dyDescent="0.35">
      <c r="A27">
        <v>1111005</v>
      </c>
      <c r="B27" s="1" t="s">
        <v>13</v>
      </c>
      <c r="C27">
        <v>5695.9</v>
      </c>
      <c r="D27">
        <v>100</v>
      </c>
      <c r="E27" s="1" t="s">
        <v>89</v>
      </c>
      <c r="F27" s="1" t="s">
        <v>15</v>
      </c>
      <c r="G27" s="1" t="s">
        <v>22</v>
      </c>
      <c r="H27">
        <v>70</v>
      </c>
      <c r="I27">
        <v>29</v>
      </c>
      <c r="J27">
        <v>44</v>
      </c>
      <c r="K27" s="1" t="s">
        <v>90</v>
      </c>
      <c r="L27" s="1" t="s">
        <v>24</v>
      </c>
      <c r="M27" s="1" t="s">
        <v>87</v>
      </c>
      <c r="N27" s="1" t="s">
        <v>91</v>
      </c>
    </row>
    <row r="28" spans="1:14" x14ac:dyDescent="0.35">
      <c r="A28">
        <v>1111006</v>
      </c>
      <c r="B28" s="1" t="s">
        <v>13</v>
      </c>
      <c r="C28">
        <v>5695.9</v>
      </c>
      <c r="D28">
        <v>100</v>
      </c>
      <c r="E28" s="1" t="s">
        <v>92</v>
      </c>
      <c r="F28" s="1" t="s">
        <v>15</v>
      </c>
      <c r="G28" s="1" t="s">
        <v>52</v>
      </c>
      <c r="H28">
        <v>28</v>
      </c>
      <c r="I28">
        <v>13</v>
      </c>
      <c r="K28" s="1" t="s">
        <v>17</v>
      </c>
      <c r="L28" s="1" t="s">
        <v>24</v>
      </c>
      <c r="M28" s="1" t="s">
        <v>87</v>
      </c>
      <c r="N28" s="1" t="s">
        <v>93</v>
      </c>
    </row>
    <row r="29" spans="1:14" x14ac:dyDescent="0.35">
      <c r="A29">
        <v>1117027</v>
      </c>
      <c r="B29" s="1" t="s">
        <v>13</v>
      </c>
      <c r="C29">
        <v>5695.9</v>
      </c>
      <c r="D29">
        <v>100</v>
      </c>
      <c r="E29" s="1" t="s">
        <v>94</v>
      </c>
      <c r="F29" s="1" t="s">
        <v>71</v>
      </c>
      <c r="G29" s="1" t="s">
        <v>32</v>
      </c>
      <c r="H29">
        <v>60</v>
      </c>
      <c r="I29">
        <v>16</v>
      </c>
      <c r="J29">
        <v>13</v>
      </c>
      <c r="K29" s="1" t="s">
        <v>95</v>
      </c>
      <c r="L29" s="1" t="s">
        <v>24</v>
      </c>
      <c r="M29" s="1" t="s">
        <v>96</v>
      </c>
      <c r="N29" s="1" t="s">
        <v>97</v>
      </c>
    </row>
    <row r="30" spans="1:14" x14ac:dyDescent="0.35">
      <c r="A30">
        <v>1117025</v>
      </c>
      <c r="B30" s="1" t="s">
        <v>13</v>
      </c>
      <c r="C30">
        <v>5695.9</v>
      </c>
      <c r="D30">
        <v>100</v>
      </c>
      <c r="E30" s="1" t="s">
        <v>98</v>
      </c>
      <c r="F30" s="1" t="s">
        <v>15</v>
      </c>
      <c r="G30" s="1" t="s">
        <v>32</v>
      </c>
      <c r="H30">
        <v>176</v>
      </c>
      <c r="I30">
        <v>35</v>
      </c>
      <c r="J30">
        <v>199</v>
      </c>
      <c r="K30" s="1" t="s">
        <v>17</v>
      </c>
      <c r="L30" s="1" t="s">
        <v>18</v>
      </c>
      <c r="M30" s="1" t="s">
        <v>96</v>
      </c>
      <c r="N30" s="1" t="s">
        <v>99</v>
      </c>
    </row>
    <row r="31" spans="1:14" x14ac:dyDescent="0.35">
      <c r="A31">
        <v>1110075</v>
      </c>
      <c r="B31" s="1" t="s">
        <v>13</v>
      </c>
      <c r="C31">
        <v>5695.9</v>
      </c>
      <c r="D31">
        <v>100</v>
      </c>
      <c r="E31" s="1" t="s">
        <v>100</v>
      </c>
      <c r="F31" s="1" t="s">
        <v>15</v>
      </c>
      <c r="G31" s="1" t="s">
        <v>16</v>
      </c>
      <c r="H31">
        <v>251</v>
      </c>
      <c r="I31">
        <v>84</v>
      </c>
      <c r="J31">
        <v>1178</v>
      </c>
      <c r="K31" s="1" t="s">
        <v>17</v>
      </c>
      <c r="L31" s="1" t="s">
        <v>18</v>
      </c>
      <c r="M31" s="1" t="s">
        <v>101</v>
      </c>
      <c r="N31" s="1" t="s">
        <v>102</v>
      </c>
    </row>
    <row r="32" spans="1:14" x14ac:dyDescent="0.35">
      <c r="A32">
        <v>1110104</v>
      </c>
      <c r="B32" s="1" t="s">
        <v>13</v>
      </c>
      <c r="C32">
        <v>5695.9</v>
      </c>
      <c r="D32">
        <v>100</v>
      </c>
      <c r="E32" s="1" t="s">
        <v>103</v>
      </c>
      <c r="F32" s="1" t="s">
        <v>15</v>
      </c>
      <c r="G32" s="1" t="s">
        <v>32</v>
      </c>
      <c r="H32">
        <v>104</v>
      </c>
      <c r="I32">
        <v>28</v>
      </c>
      <c r="J32">
        <v>151</v>
      </c>
      <c r="K32" s="1" t="s">
        <v>23</v>
      </c>
      <c r="L32" s="1" t="s">
        <v>24</v>
      </c>
      <c r="M32" s="1" t="s">
        <v>101</v>
      </c>
      <c r="N32" s="1" t="s">
        <v>104</v>
      </c>
    </row>
    <row r="33" spans="1:14" x14ac:dyDescent="0.35">
      <c r="A33">
        <v>1110101</v>
      </c>
      <c r="B33" s="1" t="s">
        <v>13</v>
      </c>
      <c r="C33">
        <v>5695.9</v>
      </c>
      <c r="D33">
        <v>100</v>
      </c>
      <c r="E33" s="1" t="s">
        <v>105</v>
      </c>
      <c r="F33" s="1" t="s">
        <v>15</v>
      </c>
      <c r="G33" s="1" t="s">
        <v>22</v>
      </c>
      <c r="H33">
        <v>75</v>
      </c>
      <c r="I33">
        <v>27</v>
      </c>
      <c r="J33">
        <v>221</v>
      </c>
      <c r="K33" s="1" t="s">
        <v>84</v>
      </c>
      <c r="L33" s="1" t="s">
        <v>24</v>
      </c>
      <c r="M33" s="1" t="s">
        <v>101</v>
      </c>
      <c r="N33" s="1" t="s">
        <v>106</v>
      </c>
    </row>
    <row r="34" spans="1:14" x14ac:dyDescent="0.35">
      <c r="A34">
        <v>1110102</v>
      </c>
      <c r="B34" s="1" t="s">
        <v>13</v>
      </c>
      <c r="C34">
        <v>5695.9</v>
      </c>
      <c r="D34">
        <v>100</v>
      </c>
      <c r="E34" s="1" t="s">
        <v>107</v>
      </c>
      <c r="F34" s="1" t="s">
        <v>15</v>
      </c>
      <c r="G34" s="1" t="s">
        <v>22</v>
      </c>
      <c r="H34">
        <v>50</v>
      </c>
      <c r="I34">
        <v>39</v>
      </c>
      <c r="J34">
        <v>186</v>
      </c>
      <c r="K34" s="1" t="s">
        <v>84</v>
      </c>
      <c r="L34" s="1" t="s">
        <v>24</v>
      </c>
      <c r="M34" s="1" t="s">
        <v>101</v>
      </c>
      <c r="N34" s="1" t="s">
        <v>108</v>
      </c>
    </row>
    <row r="35" spans="1:14" x14ac:dyDescent="0.35">
      <c r="A35">
        <v>1110027</v>
      </c>
      <c r="B35" s="1" t="s">
        <v>13</v>
      </c>
      <c r="C35">
        <v>5695.9</v>
      </c>
      <c r="D35">
        <v>100</v>
      </c>
      <c r="E35" s="1" t="s">
        <v>109</v>
      </c>
      <c r="F35" s="1" t="s">
        <v>15</v>
      </c>
      <c r="G35" s="1" t="s">
        <v>22</v>
      </c>
      <c r="H35">
        <v>74</v>
      </c>
      <c r="I35">
        <v>35</v>
      </c>
      <c r="J35">
        <v>123</v>
      </c>
      <c r="K35" s="1" t="s">
        <v>84</v>
      </c>
      <c r="L35" s="1" t="s">
        <v>24</v>
      </c>
      <c r="M35" s="1" t="s">
        <v>101</v>
      </c>
      <c r="N35" s="1" t="s">
        <v>110</v>
      </c>
    </row>
    <row r="36" spans="1:14" x14ac:dyDescent="0.35">
      <c r="A36">
        <v>1110103</v>
      </c>
      <c r="B36" s="1" t="s">
        <v>13</v>
      </c>
      <c r="C36">
        <v>5695.9</v>
      </c>
      <c r="D36">
        <v>100</v>
      </c>
      <c r="E36" s="1" t="s">
        <v>111</v>
      </c>
      <c r="F36" s="1" t="s">
        <v>15</v>
      </c>
      <c r="G36" s="1" t="s">
        <v>22</v>
      </c>
      <c r="H36">
        <v>50</v>
      </c>
      <c r="I36">
        <v>17</v>
      </c>
      <c r="J36">
        <v>101</v>
      </c>
      <c r="K36" s="1" t="s">
        <v>23</v>
      </c>
      <c r="L36" s="1" t="s">
        <v>24</v>
      </c>
      <c r="M36" s="1" t="s">
        <v>101</v>
      </c>
      <c r="N36" s="1" t="s">
        <v>112</v>
      </c>
    </row>
    <row r="37" spans="1:14" x14ac:dyDescent="0.35">
      <c r="A37">
        <v>1113012</v>
      </c>
      <c r="B37" s="1" t="s">
        <v>13</v>
      </c>
      <c r="C37">
        <v>5695.9</v>
      </c>
      <c r="D37">
        <v>100</v>
      </c>
      <c r="E37" s="1" t="s">
        <v>113</v>
      </c>
      <c r="F37" s="1" t="s">
        <v>15</v>
      </c>
      <c r="G37" s="1" t="s">
        <v>32</v>
      </c>
      <c r="H37">
        <v>159</v>
      </c>
      <c r="I37">
        <v>24</v>
      </c>
      <c r="J37">
        <v>640</v>
      </c>
      <c r="K37" s="1" t="s">
        <v>17</v>
      </c>
      <c r="L37" s="1" t="s">
        <v>18</v>
      </c>
      <c r="M37" s="1" t="s">
        <v>114</v>
      </c>
      <c r="N37" s="1" t="s">
        <v>115</v>
      </c>
    </row>
    <row r="38" spans="1:14" x14ac:dyDescent="0.35">
      <c r="A38">
        <v>1113023</v>
      </c>
      <c r="B38" s="1" t="s">
        <v>13</v>
      </c>
      <c r="C38">
        <v>5695.9</v>
      </c>
      <c r="D38">
        <v>100</v>
      </c>
      <c r="E38" s="1" t="s">
        <v>116</v>
      </c>
      <c r="F38" s="1" t="s">
        <v>15</v>
      </c>
      <c r="G38" s="1" t="s">
        <v>22</v>
      </c>
      <c r="H38">
        <v>54</v>
      </c>
      <c r="I38">
        <v>22</v>
      </c>
      <c r="K38" s="1" t="s">
        <v>49</v>
      </c>
      <c r="L38" s="1" t="s">
        <v>24</v>
      </c>
      <c r="M38" s="1" t="s">
        <v>114</v>
      </c>
      <c r="N38" s="1" t="s">
        <v>117</v>
      </c>
    </row>
    <row r="39" spans="1:14" x14ac:dyDescent="0.35">
      <c r="A39">
        <v>1171163</v>
      </c>
      <c r="B39" s="1" t="s">
        <v>13</v>
      </c>
      <c r="C39">
        <v>5695.9</v>
      </c>
      <c r="D39">
        <v>100</v>
      </c>
      <c r="E39" s="1" t="s">
        <v>118</v>
      </c>
      <c r="F39" s="1" t="s">
        <v>119</v>
      </c>
      <c r="G39" s="1" t="s">
        <v>16</v>
      </c>
      <c r="H39">
        <v>11</v>
      </c>
      <c r="I39">
        <v>24</v>
      </c>
      <c r="K39" s="1" t="s">
        <v>49</v>
      </c>
      <c r="L39" s="1" t="s">
        <v>120</v>
      </c>
      <c r="M39" s="1" t="s">
        <v>121</v>
      </c>
      <c r="N39" s="1" t="s">
        <v>122</v>
      </c>
    </row>
    <row r="40" spans="1:14" x14ac:dyDescent="0.35">
      <c r="A40">
        <v>1171121</v>
      </c>
      <c r="B40" s="1" t="s">
        <v>13</v>
      </c>
      <c r="C40">
        <v>5695.9</v>
      </c>
      <c r="D40">
        <v>100</v>
      </c>
      <c r="E40" s="1" t="s">
        <v>123</v>
      </c>
      <c r="F40" s="1" t="s">
        <v>71</v>
      </c>
      <c r="G40" s="1" t="s">
        <v>16</v>
      </c>
      <c r="H40">
        <v>108</v>
      </c>
      <c r="I40">
        <v>29</v>
      </c>
      <c r="J40">
        <v>453</v>
      </c>
      <c r="K40" s="1" t="s">
        <v>124</v>
      </c>
      <c r="L40" s="1" t="s">
        <v>18</v>
      </c>
      <c r="M40" s="1" t="s">
        <v>121</v>
      </c>
      <c r="N40" s="1" t="s">
        <v>125</v>
      </c>
    </row>
    <row r="41" spans="1:14" x14ac:dyDescent="0.35">
      <c r="A41">
        <v>1171146</v>
      </c>
      <c r="B41" s="1" t="s">
        <v>13</v>
      </c>
      <c r="C41">
        <v>5695.9</v>
      </c>
      <c r="D41">
        <v>100</v>
      </c>
      <c r="E41" s="1" t="s">
        <v>126</v>
      </c>
      <c r="F41" s="1" t="s">
        <v>71</v>
      </c>
      <c r="G41" s="1" t="s">
        <v>32</v>
      </c>
      <c r="H41">
        <v>46</v>
      </c>
      <c r="I41">
        <v>18</v>
      </c>
      <c r="J41">
        <v>66</v>
      </c>
      <c r="K41" s="1" t="s">
        <v>90</v>
      </c>
      <c r="L41" s="1" t="s">
        <v>24</v>
      </c>
      <c r="M41" s="1" t="s">
        <v>121</v>
      </c>
      <c r="N41" s="1" t="s">
        <v>127</v>
      </c>
    </row>
    <row r="42" spans="1:14" x14ac:dyDescent="0.35">
      <c r="A42">
        <v>1171041</v>
      </c>
      <c r="B42" s="1" t="s">
        <v>13</v>
      </c>
      <c r="C42">
        <v>5695.9</v>
      </c>
      <c r="D42">
        <v>100</v>
      </c>
      <c r="E42" s="1" t="s">
        <v>128</v>
      </c>
      <c r="F42" s="1" t="s">
        <v>129</v>
      </c>
      <c r="G42" s="1" t="s">
        <v>130</v>
      </c>
      <c r="H42">
        <v>354</v>
      </c>
      <c r="I42">
        <v>29</v>
      </c>
      <c r="J42">
        <v>541</v>
      </c>
      <c r="K42" s="1" t="s">
        <v>124</v>
      </c>
      <c r="L42" s="1" t="s">
        <v>18</v>
      </c>
      <c r="M42" s="1" t="s">
        <v>121</v>
      </c>
      <c r="N42" s="1" t="s">
        <v>131</v>
      </c>
    </row>
    <row r="43" spans="1:14" x14ac:dyDescent="0.35">
      <c r="A43">
        <v>1171015</v>
      </c>
      <c r="B43" s="1" t="s">
        <v>13</v>
      </c>
      <c r="C43">
        <v>5695.9</v>
      </c>
      <c r="D43">
        <v>100</v>
      </c>
      <c r="E43" s="1" t="s">
        <v>132</v>
      </c>
      <c r="F43" s="1" t="s">
        <v>15</v>
      </c>
      <c r="G43" s="1" t="s">
        <v>130</v>
      </c>
      <c r="H43">
        <v>833</v>
      </c>
      <c r="I43">
        <v>141</v>
      </c>
      <c r="J43">
        <v>2039</v>
      </c>
      <c r="K43" s="1" t="s">
        <v>124</v>
      </c>
      <c r="L43" s="1" t="s">
        <v>18</v>
      </c>
      <c r="M43" s="1" t="s">
        <v>121</v>
      </c>
      <c r="N43" s="1" t="s">
        <v>133</v>
      </c>
    </row>
    <row r="44" spans="1:14" x14ac:dyDescent="0.35">
      <c r="A44">
        <v>1171026</v>
      </c>
      <c r="B44" s="1" t="s">
        <v>13</v>
      </c>
      <c r="C44">
        <v>5695.9</v>
      </c>
      <c r="D44">
        <v>100</v>
      </c>
      <c r="E44" s="1" t="s">
        <v>134</v>
      </c>
      <c r="F44" s="1" t="s">
        <v>15</v>
      </c>
      <c r="G44" s="1" t="s">
        <v>16</v>
      </c>
      <c r="H44">
        <v>273</v>
      </c>
      <c r="I44">
        <v>82</v>
      </c>
      <c r="J44">
        <v>442</v>
      </c>
      <c r="K44" s="1" t="s">
        <v>27</v>
      </c>
      <c r="L44" s="1" t="s">
        <v>120</v>
      </c>
      <c r="M44" s="1" t="s">
        <v>121</v>
      </c>
      <c r="N44" s="1" t="s">
        <v>135</v>
      </c>
    </row>
    <row r="45" spans="1:14" x14ac:dyDescent="0.35">
      <c r="A45">
        <v>1171110</v>
      </c>
      <c r="B45" s="1" t="s">
        <v>13</v>
      </c>
      <c r="C45">
        <v>5695.9</v>
      </c>
      <c r="D45">
        <v>100</v>
      </c>
      <c r="E45" s="1" t="s">
        <v>136</v>
      </c>
      <c r="F45" s="1" t="s">
        <v>15</v>
      </c>
      <c r="G45" s="1" t="s">
        <v>16</v>
      </c>
      <c r="H45">
        <v>310</v>
      </c>
      <c r="I45">
        <v>77</v>
      </c>
      <c r="J45">
        <v>487</v>
      </c>
      <c r="K45" s="1" t="s">
        <v>137</v>
      </c>
      <c r="L45" s="1" t="s">
        <v>18</v>
      </c>
      <c r="M45" s="1" t="s">
        <v>121</v>
      </c>
      <c r="N45" s="1" t="s">
        <v>138</v>
      </c>
    </row>
    <row r="46" spans="1:14" x14ac:dyDescent="0.35">
      <c r="A46">
        <v>1171106</v>
      </c>
      <c r="B46" s="1" t="s">
        <v>13</v>
      </c>
      <c r="C46">
        <v>5695.9</v>
      </c>
      <c r="D46">
        <v>100</v>
      </c>
      <c r="E46" s="1" t="s">
        <v>139</v>
      </c>
      <c r="F46" s="1" t="s">
        <v>15</v>
      </c>
      <c r="G46" s="1" t="s">
        <v>32</v>
      </c>
      <c r="H46">
        <v>113</v>
      </c>
      <c r="I46">
        <v>39</v>
      </c>
      <c r="J46">
        <v>148</v>
      </c>
      <c r="K46" s="1" t="s">
        <v>84</v>
      </c>
      <c r="L46" s="1" t="s">
        <v>24</v>
      </c>
      <c r="M46" s="1" t="s">
        <v>121</v>
      </c>
      <c r="N46" s="1" t="s">
        <v>140</v>
      </c>
    </row>
    <row r="47" spans="1:14" x14ac:dyDescent="0.35">
      <c r="A47">
        <v>1171161</v>
      </c>
      <c r="B47" s="1" t="s">
        <v>13</v>
      </c>
      <c r="C47">
        <v>5695.9</v>
      </c>
      <c r="D47">
        <v>100</v>
      </c>
      <c r="E47" s="1" t="s">
        <v>141</v>
      </c>
      <c r="F47" s="1" t="s">
        <v>15</v>
      </c>
      <c r="G47" s="1" t="s">
        <v>32</v>
      </c>
      <c r="H47">
        <v>135</v>
      </c>
      <c r="I47">
        <v>96</v>
      </c>
      <c r="K47" s="1" t="s">
        <v>90</v>
      </c>
      <c r="L47" s="1" t="s">
        <v>24</v>
      </c>
      <c r="M47" s="1" t="s">
        <v>121</v>
      </c>
      <c r="N47" s="1" t="s">
        <v>142</v>
      </c>
    </row>
    <row r="48" spans="1:14" x14ac:dyDescent="0.35">
      <c r="A48">
        <v>1171096</v>
      </c>
      <c r="B48" s="1" t="s">
        <v>13</v>
      </c>
      <c r="C48">
        <v>5695.9</v>
      </c>
      <c r="D48">
        <v>100</v>
      </c>
      <c r="E48" s="1" t="s">
        <v>143</v>
      </c>
      <c r="F48" s="1" t="s">
        <v>15</v>
      </c>
      <c r="G48" s="1" t="s">
        <v>32</v>
      </c>
      <c r="H48">
        <v>154</v>
      </c>
      <c r="I48">
        <v>32</v>
      </c>
      <c r="J48">
        <v>379</v>
      </c>
      <c r="K48" s="1" t="s">
        <v>84</v>
      </c>
      <c r="L48" s="1" t="s">
        <v>24</v>
      </c>
      <c r="M48" s="1" t="s">
        <v>121</v>
      </c>
      <c r="N48" s="1" t="s">
        <v>144</v>
      </c>
    </row>
    <row r="49" spans="1:14" x14ac:dyDescent="0.35">
      <c r="A49">
        <v>1171143</v>
      </c>
      <c r="B49" s="1" t="s">
        <v>13</v>
      </c>
      <c r="C49">
        <v>5695.9</v>
      </c>
      <c r="D49">
        <v>100</v>
      </c>
      <c r="E49" s="1" t="s">
        <v>145</v>
      </c>
      <c r="F49" s="1" t="s">
        <v>15</v>
      </c>
      <c r="G49" s="1" t="s">
        <v>32</v>
      </c>
      <c r="H49">
        <v>182</v>
      </c>
      <c r="I49">
        <v>23</v>
      </c>
      <c r="J49">
        <v>147</v>
      </c>
      <c r="K49" s="1" t="s">
        <v>146</v>
      </c>
      <c r="L49" s="1" t="s">
        <v>120</v>
      </c>
      <c r="M49" s="1" t="s">
        <v>121</v>
      </c>
      <c r="N49" s="1" t="s">
        <v>147</v>
      </c>
    </row>
    <row r="50" spans="1:14" x14ac:dyDescent="0.35">
      <c r="A50">
        <v>1171150</v>
      </c>
      <c r="B50" s="1" t="s">
        <v>13</v>
      </c>
      <c r="C50">
        <v>5695.9</v>
      </c>
      <c r="D50">
        <v>100</v>
      </c>
      <c r="E50" s="1" t="s">
        <v>148</v>
      </c>
      <c r="F50" s="1" t="s">
        <v>15</v>
      </c>
      <c r="G50" s="1" t="s">
        <v>32</v>
      </c>
      <c r="H50">
        <v>151</v>
      </c>
      <c r="I50">
        <v>54</v>
      </c>
      <c r="J50">
        <v>243</v>
      </c>
      <c r="K50" s="1" t="s">
        <v>90</v>
      </c>
      <c r="L50" s="1" t="s">
        <v>24</v>
      </c>
      <c r="M50" s="1" t="s">
        <v>121</v>
      </c>
      <c r="N50" s="1" t="s">
        <v>149</v>
      </c>
    </row>
    <row r="51" spans="1:14" x14ac:dyDescent="0.35">
      <c r="A51">
        <v>1171145</v>
      </c>
      <c r="B51" s="1" t="s">
        <v>13</v>
      </c>
      <c r="C51">
        <v>5695.9</v>
      </c>
      <c r="D51">
        <v>100</v>
      </c>
      <c r="E51" s="1" t="s">
        <v>150</v>
      </c>
      <c r="F51" s="1" t="s">
        <v>15</v>
      </c>
      <c r="G51" s="1" t="s">
        <v>22</v>
      </c>
      <c r="H51">
        <v>51</v>
      </c>
      <c r="I51">
        <v>14</v>
      </c>
      <c r="J51">
        <v>63</v>
      </c>
      <c r="K51" s="1" t="s">
        <v>23</v>
      </c>
      <c r="L51" s="1" t="s">
        <v>24</v>
      </c>
      <c r="M51" s="1" t="s">
        <v>121</v>
      </c>
      <c r="N51" s="1" t="s">
        <v>151</v>
      </c>
    </row>
    <row r="52" spans="1:14" x14ac:dyDescent="0.35">
      <c r="A52">
        <v>1171085</v>
      </c>
      <c r="B52" s="1" t="s">
        <v>13</v>
      </c>
      <c r="C52">
        <v>5695.9</v>
      </c>
      <c r="D52">
        <v>100</v>
      </c>
      <c r="E52" s="1" t="s">
        <v>109</v>
      </c>
      <c r="F52" s="1" t="s">
        <v>15</v>
      </c>
      <c r="G52" s="1" t="s">
        <v>22</v>
      </c>
      <c r="H52">
        <v>42</v>
      </c>
      <c r="I52">
        <v>13</v>
      </c>
      <c r="J52">
        <v>18</v>
      </c>
      <c r="K52" s="1" t="s">
        <v>84</v>
      </c>
      <c r="L52" s="1" t="s">
        <v>24</v>
      </c>
      <c r="M52" s="1" t="s">
        <v>121</v>
      </c>
      <c r="N52" s="1" t="s">
        <v>152</v>
      </c>
    </row>
    <row r="53" spans="1:14" x14ac:dyDescent="0.35">
      <c r="A53">
        <v>1171147</v>
      </c>
      <c r="B53" s="1" t="s">
        <v>13</v>
      </c>
      <c r="C53">
        <v>5695.9</v>
      </c>
      <c r="D53">
        <v>100</v>
      </c>
      <c r="E53" s="1" t="s">
        <v>153</v>
      </c>
      <c r="F53" s="1" t="s">
        <v>15</v>
      </c>
      <c r="G53" s="1" t="s">
        <v>22</v>
      </c>
      <c r="H53">
        <v>50</v>
      </c>
      <c r="I53">
        <v>28</v>
      </c>
      <c r="J53">
        <v>118</v>
      </c>
      <c r="K53" s="1" t="s">
        <v>49</v>
      </c>
      <c r="L53" s="1" t="s">
        <v>24</v>
      </c>
      <c r="M53" s="1" t="s">
        <v>121</v>
      </c>
      <c r="N53" s="1" t="s">
        <v>154</v>
      </c>
    </row>
    <row r="54" spans="1:14" x14ac:dyDescent="0.35">
      <c r="A54">
        <v>1173012</v>
      </c>
      <c r="B54" s="1" t="s">
        <v>13</v>
      </c>
      <c r="C54">
        <v>5695.9</v>
      </c>
      <c r="D54">
        <v>100</v>
      </c>
      <c r="E54" s="1" t="s">
        <v>155</v>
      </c>
      <c r="F54" s="1" t="s">
        <v>15</v>
      </c>
      <c r="G54" s="1" t="s">
        <v>16</v>
      </c>
      <c r="H54">
        <v>361</v>
      </c>
      <c r="I54">
        <v>65</v>
      </c>
      <c r="J54">
        <v>1169</v>
      </c>
      <c r="K54" s="1" t="s">
        <v>137</v>
      </c>
      <c r="L54" s="1" t="s">
        <v>18</v>
      </c>
      <c r="M54" s="1" t="s">
        <v>156</v>
      </c>
      <c r="N54" s="1" t="s">
        <v>157</v>
      </c>
    </row>
    <row r="55" spans="1:14" x14ac:dyDescent="0.35">
      <c r="A55">
        <v>1173023</v>
      </c>
      <c r="B55" s="1" t="s">
        <v>13</v>
      </c>
      <c r="C55">
        <v>5695.9</v>
      </c>
      <c r="D55">
        <v>100</v>
      </c>
      <c r="E55" s="1" t="s">
        <v>158</v>
      </c>
      <c r="F55" s="1" t="s">
        <v>15</v>
      </c>
      <c r="G55" s="1" t="s">
        <v>32</v>
      </c>
      <c r="H55">
        <v>113</v>
      </c>
      <c r="I55">
        <v>18</v>
      </c>
      <c r="J55">
        <v>36</v>
      </c>
      <c r="K55" s="1" t="s">
        <v>61</v>
      </c>
      <c r="L55" s="1" t="s">
        <v>24</v>
      </c>
      <c r="M55" s="1" t="s">
        <v>156</v>
      </c>
      <c r="N55" s="1" t="s">
        <v>159</v>
      </c>
    </row>
    <row r="56" spans="1:14" x14ac:dyDescent="0.35">
      <c r="A56">
        <v>1173045</v>
      </c>
      <c r="B56" s="1" t="s">
        <v>13</v>
      </c>
      <c r="C56">
        <v>5695.9</v>
      </c>
      <c r="D56">
        <v>100</v>
      </c>
      <c r="E56" s="1" t="s">
        <v>160</v>
      </c>
      <c r="F56" s="1" t="s">
        <v>15</v>
      </c>
      <c r="G56" s="1" t="s">
        <v>22</v>
      </c>
      <c r="H56">
        <v>68</v>
      </c>
      <c r="I56">
        <v>16</v>
      </c>
      <c r="J56">
        <v>79</v>
      </c>
      <c r="K56" s="1" t="s">
        <v>84</v>
      </c>
      <c r="L56" s="1" t="s">
        <v>24</v>
      </c>
      <c r="M56" s="1" t="s">
        <v>156</v>
      </c>
      <c r="N56" s="1" t="s">
        <v>161</v>
      </c>
    </row>
    <row r="57" spans="1:14" x14ac:dyDescent="0.35">
      <c r="A57">
        <v>1173003</v>
      </c>
      <c r="B57" s="1" t="s">
        <v>13</v>
      </c>
      <c r="C57">
        <v>5695.9</v>
      </c>
      <c r="D57">
        <v>100</v>
      </c>
      <c r="E57" s="1" t="s">
        <v>162</v>
      </c>
      <c r="F57" s="1" t="s">
        <v>15</v>
      </c>
      <c r="G57" s="1" t="s">
        <v>22</v>
      </c>
      <c r="H57">
        <v>54</v>
      </c>
      <c r="I57">
        <v>20</v>
      </c>
      <c r="J57">
        <v>46</v>
      </c>
      <c r="K57" s="1" t="s">
        <v>23</v>
      </c>
      <c r="L57" s="1" t="s">
        <v>24</v>
      </c>
      <c r="M57" s="1" t="s">
        <v>156</v>
      </c>
      <c r="N57" s="1" t="s">
        <v>163</v>
      </c>
    </row>
    <row r="58" spans="1:14" x14ac:dyDescent="0.35">
      <c r="A58">
        <v>1174023</v>
      </c>
      <c r="B58" s="1" t="s">
        <v>13</v>
      </c>
      <c r="C58">
        <v>5695.9</v>
      </c>
      <c r="D58">
        <v>100</v>
      </c>
      <c r="E58" s="1" t="s">
        <v>164</v>
      </c>
      <c r="F58" s="1" t="s">
        <v>71</v>
      </c>
      <c r="G58" s="1" t="s">
        <v>32</v>
      </c>
      <c r="H58">
        <v>66</v>
      </c>
      <c r="I58">
        <v>30</v>
      </c>
      <c r="J58">
        <v>91</v>
      </c>
      <c r="K58" s="1" t="s">
        <v>23</v>
      </c>
      <c r="L58" s="1" t="s">
        <v>24</v>
      </c>
      <c r="M58" s="1" t="s">
        <v>165</v>
      </c>
      <c r="N58" s="1" t="s">
        <v>166</v>
      </c>
    </row>
    <row r="59" spans="1:14" x14ac:dyDescent="0.35">
      <c r="A59">
        <v>1174016</v>
      </c>
      <c r="B59" s="1" t="s">
        <v>13</v>
      </c>
      <c r="C59">
        <v>5695.9</v>
      </c>
      <c r="D59">
        <v>100</v>
      </c>
      <c r="E59" s="1" t="s">
        <v>167</v>
      </c>
      <c r="F59" s="1" t="s">
        <v>15</v>
      </c>
      <c r="G59" s="1" t="s">
        <v>16</v>
      </c>
      <c r="H59">
        <v>275</v>
      </c>
      <c r="I59">
        <v>106</v>
      </c>
      <c r="J59">
        <v>1352</v>
      </c>
      <c r="K59" s="1" t="s">
        <v>17</v>
      </c>
      <c r="L59" s="1" t="s">
        <v>18</v>
      </c>
      <c r="M59" s="1" t="s">
        <v>165</v>
      </c>
      <c r="N59" s="1" t="s">
        <v>168</v>
      </c>
    </row>
    <row r="60" spans="1:14" x14ac:dyDescent="0.35">
      <c r="A60">
        <v>1110053</v>
      </c>
      <c r="B60" s="1" t="s">
        <v>13</v>
      </c>
      <c r="C60">
        <v>5695.9</v>
      </c>
      <c r="D60">
        <v>100</v>
      </c>
      <c r="E60" s="1" t="s">
        <v>169</v>
      </c>
      <c r="F60" s="1" t="s">
        <v>15</v>
      </c>
      <c r="G60" s="1" t="s">
        <v>32</v>
      </c>
      <c r="H60">
        <v>218</v>
      </c>
      <c r="I60">
        <v>36</v>
      </c>
      <c r="J60">
        <v>328</v>
      </c>
      <c r="K60" s="1" t="s">
        <v>23</v>
      </c>
      <c r="L60" s="1" t="s">
        <v>24</v>
      </c>
      <c r="M60" s="1" t="s">
        <v>165</v>
      </c>
      <c r="N60" s="1" t="s">
        <v>170</v>
      </c>
    </row>
    <row r="61" spans="1:14" x14ac:dyDescent="0.35">
      <c r="A61">
        <v>1110086</v>
      </c>
      <c r="B61" s="1" t="s">
        <v>13</v>
      </c>
      <c r="C61">
        <v>5695.9</v>
      </c>
      <c r="D61">
        <v>100</v>
      </c>
      <c r="E61" s="1" t="s">
        <v>171</v>
      </c>
      <c r="F61" s="1" t="s">
        <v>15</v>
      </c>
      <c r="G61" s="1" t="s">
        <v>32</v>
      </c>
      <c r="H61">
        <v>101</v>
      </c>
      <c r="I61">
        <v>33</v>
      </c>
      <c r="J61">
        <v>261</v>
      </c>
      <c r="K61" s="1" t="s">
        <v>84</v>
      </c>
      <c r="L61" s="1" t="s">
        <v>24</v>
      </c>
      <c r="M61" s="1" t="s">
        <v>165</v>
      </c>
      <c r="N61" s="1" t="s">
        <v>172</v>
      </c>
    </row>
    <row r="62" spans="1:14" x14ac:dyDescent="0.35">
      <c r="A62">
        <v>1174100</v>
      </c>
      <c r="B62" s="1" t="s">
        <v>13</v>
      </c>
      <c r="C62">
        <v>5695.9</v>
      </c>
      <c r="D62">
        <v>100</v>
      </c>
      <c r="E62" s="1" t="s">
        <v>173</v>
      </c>
      <c r="F62" s="1" t="s">
        <v>15</v>
      </c>
      <c r="G62" s="1" t="s">
        <v>32</v>
      </c>
      <c r="H62">
        <v>171</v>
      </c>
      <c r="I62">
        <v>60</v>
      </c>
      <c r="J62">
        <v>303</v>
      </c>
      <c r="K62" s="1" t="s">
        <v>27</v>
      </c>
      <c r="L62" s="1" t="s">
        <v>24</v>
      </c>
      <c r="M62" s="1" t="s">
        <v>165</v>
      </c>
      <c r="N62" s="1" t="s">
        <v>174</v>
      </c>
    </row>
    <row r="63" spans="1:14" x14ac:dyDescent="0.35">
      <c r="A63">
        <v>1174064</v>
      </c>
      <c r="B63" s="1" t="s">
        <v>13</v>
      </c>
      <c r="C63">
        <v>5695.9</v>
      </c>
      <c r="D63">
        <v>100</v>
      </c>
      <c r="E63" s="1" t="s">
        <v>175</v>
      </c>
      <c r="F63" s="1" t="s">
        <v>15</v>
      </c>
      <c r="G63" s="1" t="s">
        <v>32</v>
      </c>
      <c r="H63">
        <v>116</v>
      </c>
      <c r="I63">
        <v>26</v>
      </c>
      <c r="J63">
        <v>80</v>
      </c>
      <c r="K63" s="1" t="s">
        <v>84</v>
      </c>
      <c r="L63" s="1" t="s">
        <v>24</v>
      </c>
      <c r="M63" s="1" t="s">
        <v>165</v>
      </c>
      <c r="N63" s="1" t="s">
        <v>176</v>
      </c>
    </row>
    <row r="64" spans="1:14" x14ac:dyDescent="0.35">
      <c r="A64">
        <v>1111018</v>
      </c>
      <c r="B64" s="1" t="s">
        <v>13</v>
      </c>
      <c r="C64">
        <v>5695.9</v>
      </c>
      <c r="D64">
        <v>100</v>
      </c>
      <c r="E64" s="1" t="s">
        <v>177</v>
      </c>
      <c r="F64" s="1" t="s">
        <v>15</v>
      </c>
      <c r="G64" s="1" t="s">
        <v>22</v>
      </c>
      <c r="H64">
        <v>73</v>
      </c>
      <c r="I64">
        <v>15</v>
      </c>
      <c r="J64">
        <v>60</v>
      </c>
      <c r="K64" s="1" t="s">
        <v>84</v>
      </c>
      <c r="L64" s="1" t="s">
        <v>24</v>
      </c>
      <c r="M64" s="1" t="s">
        <v>165</v>
      </c>
      <c r="N64" s="1" t="s">
        <v>178</v>
      </c>
    </row>
    <row r="65" spans="1:14" x14ac:dyDescent="0.35">
      <c r="A65">
        <v>1174021</v>
      </c>
      <c r="B65" s="1" t="s">
        <v>13</v>
      </c>
      <c r="C65">
        <v>5695.9</v>
      </c>
      <c r="D65">
        <v>100</v>
      </c>
      <c r="E65" s="1" t="s">
        <v>179</v>
      </c>
      <c r="F65" s="1" t="s">
        <v>15</v>
      </c>
      <c r="G65" s="1" t="s">
        <v>22</v>
      </c>
      <c r="H65">
        <v>68</v>
      </c>
      <c r="I65">
        <v>22</v>
      </c>
      <c r="J65">
        <v>119</v>
      </c>
      <c r="K65" s="1" t="s">
        <v>23</v>
      </c>
      <c r="L65" s="1" t="s">
        <v>24</v>
      </c>
      <c r="M65" s="1" t="s">
        <v>165</v>
      </c>
      <c r="N65" s="1" t="s">
        <v>180</v>
      </c>
    </row>
    <row r="66" spans="1:14" x14ac:dyDescent="0.35">
      <c r="A66">
        <v>1174024</v>
      </c>
      <c r="B66" s="1" t="s">
        <v>13</v>
      </c>
      <c r="C66">
        <v>5695.9</v>
      </c>
      <c r="D66">
        <v>100</v>
      </c>
      <c r="E66" s="1" t="s">
        <v>181</v>
      </c>
      <c r="F66" s="1" t="s">
        <v>15</v>
      </c>
      <c r="G66" s="1" t="s">
        <v>22</v>
      </c>
      <c r="H66">
        <v>51</v>
      </c>
      <c r="I66">
        <v>29</v>
      </c>
      <c r="J66">
        <v>19</v>
      </c>
      <c r="K66" s="1" t="s">
        <v>90</v>
      </c>
      <c r="L66" s="1" t="s">
        <v>24</v>
      </c>
      <c r="M66" s="1" t="s">
        <v>165</v>
      </c>
      <c r="N66" s="1" t="s">
        <v>182</v>
      </c>
    </row>
    <row r="67" spans="1:14" x14ac:dyDescent="0.35">
      <c r="A67">
        <v>1174019</v>
      </c>
      <c r="B67" s="1" t="s">
        <v>13</v>
      </c>
      <c r="C67">
        <v>5695.9</v>
      </c>
      <c r="D67">
        <v>100</v>
      </c>
      <c r="E67" s="1" t="s">
        <v>183</v>
      </c>
      <c r="F67" s="1" t="s">
        <v>15</v>
      </c>
      <c r="G67" s="1" t="s">
        <v>22</v>
      </c>
      <c r="H67">
        <v>116</v>
      </c>
      <c r="I67">
        <v>21</v>
      </c>
      <c r="J67">
        <v>156</v>
      </c>
      <c r="K67" s="1" t="s">
        <v>95</v>
      </c>
      <c r="L67" s="1" t="s">
        <v>24</v>
      </c>
      <c r="M67" s="1" t="s">
        <v>165</v>
      </c>
      <c r="N67" s="1" t="s">
        <v>184</v>
      </c>
    </row>
    <row r="68" spans="1:14" x14ac:dyDescent="0.35">
      <c r="A68">
        <v>1174022</v>
      </c>
      <c r="B68" s="1" t="s">
        <v>13</v>
      </c>
      <c r="C68">
        <v>5695.9</v>
      </c>
      <c r="D68">
        <v>100</v>
      </c>
      <c r="E68" s="1" t="s">
        <v>185</v>
      </c>
      <c r="F68" s="1" t="s">
        <v>15</v>
      </c>
      <c r="G68" s="1" t="s">
        <v>22</v>
      </c>
      <c r="H68">
        <v>88</v>
      </c>
      <c r="I68">
        <v>38</v>
      </c>
      <c r="J68">
        <v>128</v>
      </c>
      <c r="K68" s="1" t="s">
        <v>23</v>
      </c>
      <c r="L68" s="1" t="s">
        <v>24</v>
      </c>
      <c r="M68" s="1" t="s">
        <v>165</v>
      </c>
      <c r="N68" s="1" t="s">
        <v>186</v>
      </c>
    </row>
    <row r="69" spans="1:14" x14ac:dyDescent="0.35">
      <c r="A69">
        <v>1172016</v>
      </c>
      <c r="B69" s="1" t="s">
        <v>13</v>
      </c>
      <c r="C69">
        <v>5695.9</v>
      </c>
      <c r="D69">
        <v>100</v>
      </c>
      <c r="E69" s="1" t="s">
        <v>187</v>
      </c>
      <c r="F69" s="1" t="s">
        <v>15</v>
      </c>
      <c r="G69" s="1" t="s">
        <v>32</v>
      </c>
      <c r="H69">
        <v>104</v>
      </c>
      <c r="I69">
        <v>29</v>
      </c>
      <c r="J69">
        <v>289</v>
      </c>
      <c r="K69" s="1" t="s">
        <v>137</v>
      </c>
      <c r="L69" s="1" t="s">
        <v>24</v>
      </c>
      <c r="M69" s="1" t="s">
        <v>188</v>
      </c>
      <c r="N69" s="1" t="s">
        <v>189</v>
      </c>
    </row>
    <row r="70" spans="1:14" x14ac:dyDescent="0.35">
      <c r="A70">
        <v>1172031</v>
      </c>
      <c r="B70" s="1" t="s">
        <v>13</v>
      </c>
      <c r="C70">
        <v>5695.9</v>
      </c>
      <c r="D70">
        <v>100</v>
      </c>
      <c r="E70" s="1" t="s">
        <v>190</v>
      </c>
      <c r="F70" s="1" t="s">
        <v>15</v>
      </c>
      <c r="G70" s="1" t="s">
        <v>22</v>
      </c>
      <c r="H70">
        <v>52</v>
      </c>
      <c r="I70">
        <v>17</v>
      </c>
      <c r="J70">
        <v>20</v>
      </c>
      <c r="K70" s="1" t="s">
        <v>191</v>
      </c>
      <c r="L70" s="1" t="s">
        <v>24</v>
      </c>
      <c r="M70" s="1" t="s">
        <v>188</v>
      </c>
      <c r="N70" s="1" t="s">
        <v>192</v>
      </c>
    </row>
    <row r="71" spans="1:14" x14ac:dyDescent="0.35">
      <c r="A71">
        <v>1102027</v>
      </c>
      <c r="B71" s="1" t="s">
        <v>13</v>
      </c>
      <c r="C71">
        <v>5695.9</v>
      </c>
      <c r="D71">
        <v>100</v>
      </c>
      <c r="E71" s="1" t="s">
        <v>193</v>
      </c>
      <c r="F71" s="1" t="s">
        <v>15</v>
      </c>
      <c r="G71" s="1" t="s">
        <v>32</v>
      </c>
      <c r="H71">
        <v>189</v>
      </c>
      <c r="I71">
        <v>34</v>
      </c>
      <c r="J71">
        <v>537</v>
      </c>
      <c r="K71" s="1" t="s">
        <v>137</v>
      </c>
      <c r="L71" s="1" t="s">
        <v>18</v>
      </c>
      <c r="M71" s="1" t="s">
        <v>194</v>
      </c>
      <c r="N71" s="1" t="s">
        <v>195</v>
      </c>
    </row>
    <row r="72" spans="1:14" x14ac:dyDescent="0.35">
      <c r="A72">
        <v>1115012</v>
      </c>
      <c r="B72" s="1" t="s">
        <v>13</v>
      </c>
      <c r="C72">
        <v>5695.9</v>
      </c>
      <c r="D72">
        <v>100</v>
      </c>
      <c r="E72" s="1" t="s">
        <v>196</v>
      </c>
      <c r="F72" s="1" t="s">
        <v>15</v>
      </c>
      <c r="G72" s="1" t="s">
        <v>32</v>
      </c>
      <c r="H72">
        <v>215</v>
      </c>
      <c r="I72">
        <v>44</v>
      </c>
      <c r="J72">
        <v>577</v>
      </c>
      <c r="K72" s="1" t="s">
        <v>17</v>
      </c>
      <c r="L72" s="1" t="s">
        <v>18</v>
      </c>
      <c r="M72" s="1" t="s">
        <v>197</v>
      </c>
      <c r="N72" s="1" t="s">
        <v>198</v>
      </c>
    </row>
    <row r="73" spans="1:14" x14ac:dyDescent="0.35">
      <c r="A73">
        <v>1109016</v>
      </c>
      <c r="B73" s="1" t="s">
        <v>13</v>
      </c>
      <c r="C73">
        <v>5695.9</v>
      </c>
      <c r="D73">
        <v>100</v>
      </c>
      <c r="E73" s="1" t="s">
        <v>199</v>
      </c>
      <c r="F73" s="1" t="s">
        <v>15</v>
      </c>
      <c r="G73" s="1" t="s">
        <v>16</v>
      </c>
      <c r="H73">
        <v>294</v>
      </c>
      <c r="I73">
        <v>31</v>
      </c>
      <c r="J73">
        <v>1949</v>
      </c>
      <c r="K73" s="1" t="s">
        <v>17</v>
      </c>
      <c r="L73" s="1" t="s">
        <v>18</v>
      </c>
      <c r="M73" s="1" t="s">
        <v>200</v>
      </c>
      <c r="N73" s="1" t="s">
        <v>201</v>
      </c>
    </row>
    <row r="74" spans="1:14" x14ac:dyDescent="0.35">
      <c r="A74">
        <v>1109027</v>
      </c>
      <c r="B74" s="1" t="s">
        <v>13</v>
      </c>
      <c r="C74">
        <v>5695.9</v>
      </c>
      <c r="D74">
        <v>100</v>
      </c>
      <c r="E74" s="1" t="s">
        <v>202</v>
      </c>
      <c r="F74" s="1" t="s">
        <v>15</v>
      </c>
      <c r="G74" s="1" t="s">
        <v>32</v>
      </c>
      <c r="H74">
        <v>200</v>
      </c>
      <c r="I74">
        <v>25</v>
      </c>
      <c r="J74">
        <v>801</v>
      </c>
      <c r="K74" s="1" t="s">
        <v>17</v>
      </c>
      <c r="L74" s="1" t="s">
        <v>18</v>
      </c>
      <c r="M74" s="1" t="s">
        <v>200</v>
      </c>
      <c r="N74" s="1" t="s">
        <v>203</v>
      </c>
    </row>
    <row r="75" spans="1:14" x14ac:dyDescent="0.35">
      <c r="A75">
        <v>1109028</v>
      </c>
      <c r="B75" s="1" t="s">
        <v>13</v>
      </c>
      <c r="C75">
        <v>5695.9</v>
      </c>
      <c r="D75">
        <v>100</v>
      </c>
      <c r="E75" s="1" t="s">
        <v>204</v>
      </c>
      <c r="F75" s="1" t="s">
        <v>15</v>
      </c>
      <c r="G75" s="1" t="s">
        <v>22</v>
      </c>
      <c r="H75">
        <v>102</v>
      </c>
      <c r="I75">
        <v>64</v>
      </c>
      <c r="J75">
        <v>208</v>
      </c>
      <c r="K75" s="1" t="s">
        <v>90</v>
      </c>
      <c r="L75" s="1" t="s">
        <v>24</v>
      </c>
      <c r="M75" s="1" t="s">
        <v>200</v>
      </c>
      <c r="N75" s="1" t="s">
        <v>205</v>
      </c>
    </row>
    <row r="76" spans="1:14" x14ac:dyDescent="0.35">
      <c r="A76">
        <v>1109029</v>
      </c>
      <c r="B76" s="1" t="s">
        <v>13</v>
      </c>
      <c r="C76">
        <v>5695.9</v>
      </c>
      <c r="D76">
        <v>100</v>
      </c>
      <c r="E76" s="1" t="s">
        <v>206</v>
      </c>
      <c r="F76" s="1" t="s">
        <v>15</v>
      </c>
      <c r="G76" s="1" t="s">
        <v>22</v>
      </c>
      <c r="H76">
        <v>89</v>
      </c>
      <c r="I76">
        <v>75</v>
      </c>
      <c r="J76">
        <v>159</v>
      </c>
      <c r="K76" s="1" t="s">
        <v>90</v>
      </c>
      <c r="L76" s="1" t="s">
        <v>24</v>
      </c>
      <c r="M76" s="1" t="s">
        <v>200</v>
      </c>
      <c r="N76" s="1" t="s">
        <v>207</v>
      </c>
    </row>
    <row r="77" spans="1:14" x14ac:dyDescent="0.35">
      <c r="A77">
        <v>1109042</v>
      </c>
      <c r="B77" s="1" t="s">
        <v>13</v>
      </c>
      <c r="C77">
        <v>5695.9</v>
      </c>
      <c r="D77">
        <v>100</v>
      </c>
      <c r="E77" s="1" t="s">
        <v>208</v>
      </c>
      <c r="F77" s="1" t="s">
        <v>15</v>
      </c>
      <c r="G77" s="1" t="s">
        <v>22</v>
      </c>
      <c r="H77">
        <v>58</v>
      </c>
      <c r="I77">
        <v>24</v>
      </c>
      <c r="K77" s="1" t="s">
        <v>23</v>
      </c>
      <c r="L77" s="1" t="s">
        <v>24</v>
      </c>
      <c r="M77" s="1" t="s">
        <v>200</v>
      </c>
      <c r="N77" s="1" t="s">
        <v>209</v>
      </c>
    </row>
    <row r="78" spans="1:14" x14ac:dyDescent="0.35">
      <c r="A78">
        <v>1109031</v>
      </c>
      <c r="B78" s="1" t="s">
        <v>13</v>
      </c>
      <c r="C78">
        <v>5695.9</v>
      </c>
      <c r="D78">
        <v>100</v>
      </c>
      <c r="E78" s="1" t="s">
        <v>210</v>
      </c>
      <c r="F78" s="1" t="s">
        <v>15</v>
      </c>
      <c r="G78" s="1" t="s">
        <v>22</v>
      </c>
      <c r="H78">
        <v>72</v>
      </c>
      <c r="I78">
        <v>31</v>
      </c>
      <c r="J78">
        <v>196</v>
      </c>
      <c r="K78" s="1" t="s">
        <v>23</v>
      </c>
      <c r="L78" s="1" t="s">
        <v>24</v>
      </c>
      <c r="M78" s="1" t="s">
        <v>200</v>
      </c>
      <c r="N78" s="1" t="s">
        <v>211</v>
      </c>
    </row>
    <row r="79" spans="1:14" x14ac:dyDescent="0.35">
      <c r="A79">
        <v>1118012</v>
      </c>
      <c r="B79" s="1" t="s">
        <v>13</v>
      </c>
      <c r="C79">
        <v>5695.9</v>
      </c>
      <c r="D79">
        <v>100</v>
      </c>
      <c r="E79" s="1" t="s">
        <v>212</v>
      </c>
      <c r="F79" s="1" t="s">
        <v>15</v>
      </c>
      <c r="G79" s="1" t="s">
        <v>16</v>
      </c>
      <c r="H79">
        <v>250</v>
      </c>
      <c r="I79">
        <v>16</v>
      </c>
      <c r="J79">
        <v>235</v>
      </c>
      <c r="K79" s="1" t="s">
        <v>17</v>
      </c>
      <c r="L79" s="1" t="s">
        <v>18</v>
      </c>
      <c r="M79" s="1" t="s">
        <v>213</v>
      </c>
      <c r="N79" s="1" t="s">
        <v>214</v>
      </c>
    </row>
    <row r="80" spans="1:14" x14ac:dyDescent="0.35">
      <c r="A80">
        <v>1101015</v>
      </c>
      <c r="B80" s="1" t="s">
        <v>13</v>
      </c>
      <c r="C80">
        <v>5695.9</v>
      </c>
      <c r="D80">
        <v>100</v>
      </c>
      <c r="E80" s="1" t="s">
        <v>215</v>
      </c>
      <c r="F80" s="1" t="s">
        <v>15</v>
      </c>
      <c r="G80" s="1" t="s">
        <v>32</v>
      </c>
      <c r="H80">
        <v>120</v>
      </c>
      <c r="I80">
        <v>33</v>
      </c>
      <c r="J80">
        <v>533</v>
      </c>
      <c r="K80" s="1" t="s">
        <v>17</v>
      </c>
      <c r="L80" s="1" t="s">
        <v>18</v>
      </c>
      <c r="M80" s="1" t="s">
        <v>216</v>
      </c>
      <c r="N80" s="1" t="s">
        <v>217</v>
      </c>
    </row>
    <row r="81" spans="1:14" x14ac:dyDescent="0.35">
      <c r="A81">
        <v>5103034</v>
      </c>
      <c r="B81" s="1" t="s">
        <v>218</v>
      </c>
      <c r="C81">
        <v>4488.2</v>
      </c>
      <c r="D81">
        <v>804</v>
      </c>
      <c r="E81" s="1" t="s">
        <v>219</v>
      </c>
      <c r="F81" s="1" t="s">
        <v>220</v>
      </c>
      <c r="G81" s="1" t="s">
        <v>16</v>
      </c>
      <c r="H81">
        <v>68</v>
      </c>
      <c r="I81">
        <v>55</v>
      </c>
      <c r="J81">
        <v>173</v>
      </c>
      <c r="K81" s="1" t="s">
        <v>23</v>
      </c>
      <c r="L81" s="1" t="s">
        <v>24</v>
      </c>
      <c r="M81" s="1" t="s">
        <v>221</v>
      </c>
      <c r="N81" s="1" t="s">
        <v>222</v>
      </c>
    </row>
    <row r="82" spans="1:14" x14ac:dyDescent="0.35">
      <c r="A82">
        <v>5103021</v>
      </c>
      <c r="B82" s="1" t="s">
        <v>218</v>
      </c>
      <c r="C82">
        <v>4488.2</v>
      </c>
      <c r="D82">
        <v>804</v>
      </c>
      <c r="E82" s="1" t="s">
        <v>223</v>
      </c>
      <c r="F82" s="1" t="s">
        <v>220</v>
      </c>
      <c r="G82" s="1" t="s">
        <v>32</v>
      </c>
      <c r="H82">
        <v>25</v>
      </c>
      <c r="I82">
        <v>24</v>
      </c>
      <c r="J82">
        <v>178</v>
      </c>
      <c r="K82" s="1" t="s">
        <v>23</v>
      </c>
      <c r="L82" s="1" t="s">
        <v>24</v>
      </c>
      <c r="M82" s="1" t="s">
        <v>221</v>
      </c>
      <c r="N82" s="1" t="s">
        <v>224</v>
      </c>
    </row>
    <row r="83" spans="1:14" x14ac:dyDescent="0.35">
      <c r="A83">
        <v>5103040</v>
      </c>
      <c r="B83" s="1" t="s">
        <v>218</v>
      </c>
      <c r="C83">
        <v>4488.2</v>
      </c>
      <c r="D83">
        <v>804</v>
      </c>
      <c r="E83" s="1" t="s">
        <v>225</v>
      </c>
      <c r="F83" s="1" t="s">
        <v>15</v>
      </c>
      <c r="G83" s="1" t="s">
        <v>16</v>
      </c>
      <c r="H83">
        <v>122</v>
      </c>
      <c r="I83">
        <v>96</v>
      </c>
      <c r="J83">
        <v>260</v>
      </c>
      <c r="K83" s="1" t="s">
        <v>49</v>
      </c>
      <c r="L83" s="1" t="s">
        <v>24</v>
      </c>
      <c r="M83" s="1" t="s">
        <v>221</v>
      </c>
      <c r="N83" s="1" t="s">
        <v>226</v>
      </c>
    </row>
    <row r="84" spans="1:14" x14ac:dyDescent="0.35">
      <c r="A84">
        <v>5103032</v>
      </c>
      <c r="B84" s="1" t="s">
        <v>218</v>
      </c>
      <c r="C84">
        <v>4488.2</v>
      </c>
      <c r="D84">
        <v>804</v>
      </c>
      <c r="E84" s="1" t="s">
        <v>227</v>
      </c>
      <c r="F84" s="1" t="s">
        <v>15</v>
      </c>
      <c r="G84" s="1" t="s">
        <v>16</v>
      </c>
      <c r="H84">
        <v>228</v>
      </c>
      <c r="I84">
        <v>128</v>
      </c>
      <c r="J84">
        <v>1049</v>
      </c>
      <c r="K84" s="1" t="s">
        <v>17</v>
      </c>
      <c r="L84" s="1" t="s">
        <v>120</v>
      </c>
      <c r="M84" s="1" t="s">
        <v>221</v>
      </c>
      <c r="N84" s="1" t="s">
        <v>228</v>
      </c>
    </row>
    <row r="85" spans="1:14" x14ac:dyDescent="0.35">
      <c r="A85">
        <v>5103035</v>
      </c>
      <c r="B85" s="1" t="s">
        <v>218</v>
      </c>
      <c r="C85">
        <v>4488.2</v>
      </c>
      <c r="D85">
        <v>804</v>
      </c>
      <c r="E85" s="1" t="s">
        <v>229</v>
      </c>
      <c r="F85" s="1" t="s">
        <v>15</v>
      </c>
      <c r="G85" s="1" t="s">
        <v>16</v>
      </c>
      <c r="H85">
        <v>200</v>
      </c>
      <c r="I85">
        <v>120</v>
      </c>
      <c r="J85">
        <v>509</v>
      </c>
      <c r="K85" s="1" t="s">
        <v>23</v>
      </c>
      <c r="L85" s="1" t="s">
        <v>24</v>
      </c>
      <c r="M85" s="1" t="s">
        <v>221</v>
      </c>
      <c r="N85" s="1" t="s">
        <v>230</v>
      </c>
    </row>
    <row r="86" spans="1:14" x14ac:dyDescent="0.35">
      <c r="A86">
        <v>5103038</v>
      </c>
      <c r="B86" s="1" t="s">
        <v>218</v>
      </c>
      <c r="C86">
        <v>4488.2</v>
      </c>
      <c r="D86">
        <v>804</v>
      </c>
      <c r="E86" s="1" t="s">
        <v>231</v>
      </c>
      <c r="F86" s="1" t="s">
        <v>15</v>
      </c>
      <c r="G86" s="1" t="s">
        <v>32</v>
      </c>
      <c r="H86">
        <v>104</v>
      </c>
      <c r="I86">
        <v>34</v>
      </c>
      <c r="J86">
        <v>51</v>
      </c>
      <c r="K86" s="1" t="s">
        <v>90</v>
      </c>
      <c r="L86" s="1" t="s">
        <v>24</v>
      </c>
      <c r="M86" s="1" t="s">
        <v>221</v>
      </c>
      <c r="N86" s="1" t="s">
        <v>232</v>
      </c>
    </row>
    <row r="87" spans="1:14" x14ac:dyDescent="0.35">
      <c r="A87">
        <v>5103036</v>
      </c>
      <c r="B87" s="1" t="s">
        <v>218</v>
      </c>
      <c r="C87">
        <v>4488.2</v>
      </c>
      <c r="D87">
        <v>804</v>
      </c>
      <c r="E87" s="1" t="s">
        <v>233</v>
      </c>
      <c r="F87" s="1" t="s">
        <v>15</v>
      </c>
      <c r="G87" s="1" t="s">
        <v>32</v>
      </c>
      <c r="H87">
        <v>152</v>
      </c>
      <c r="I87">
        <v>35</v>
      </c>
      <c r="J87">
        <v>185</v>
      </c>
      <c r="K87" s="1" t="s">
        <v>90</v>
      </c>
      <c r="L87" s="1" t="s">
        <v>24</v>
      </c>
      <c r="M87" s="1" t="s">
        <v>221</v>
      </c>
      <c r="N87" s="1" t="s">
        <v>234</v>
      </c>
    </row>
    <row r="88" spans="1:14" x14ac:dyDescent="0.35">
      <c r="A88">
        <v>5103041</v>
      </c>
      <c r="B88" s="1" t="s">
        <v>218</v>
      </c>
      <c r="C88">
        <v>4488.2</v>
      </c>
      <c r="D88">
        <v>804</v>
      </c>
      <c r="E88" s="1" t="s">
        <v>235</v>
      </c>
      <c r="F88" s="1" t="s">
        <v>15</v>
      </c>
      <c r="G88" s="1" t="s">
        <v>32</v>
      </c>
      <c r="H88">
        <v>110</v>
      </c>
      <c r="I88">
        <v>44</v>
      </c>
      <c r="J88">
        <v>32</v>
      </c>
      <c r="K88" s="1" t="s">
        <v>90</v>
      </c>
      <c r="L88" s="1" t="s">
        <v>24</v>
      </c>
      <c r="M88" s="1" t="s">
        <v>221</v>
      </c>
      <c r="N88" s="1" t="s">
        <v>236</v>
      </c>
    </row>
    <row r="89" spans="1:14" x14ac:dyDescent="0.35">
      <c r="A89">
        <v>5103052</v>
      </c>
      <c r="B89" s="1" t="s">
        <v>218</v>
      </c>
      <c r="C89">
        <v>4488.2</v>
      </c>
      <c r="D89">
        <v>804</v>
      </c>
      <c r="E89" s="1" t="s">
        <v>237</v>
      </c>
      <c r="F89" s="1" t="s">
        <v>15</v>
      </c>
      <c r="G89" s="1" t="s">
        <v>32</v>
      </c>
      <c r="H89">
        <v>104</v>
      </c>
      <c r="I89">
        <v>33</v>
      </c>
      <c r="K89" s="1" t="s">
        <v>23</v>
      </c>
      <c r="L89" s="1" t="s">
        <v>24</v>
      </c>
      <c r="M89" s="1" t="s">
        <v>221</v>
      </c>
      <c r="N89" s="1" t="s">
        <v>238</v>
      </c>
    </row>
    <row r="90" spans="1:14" x14ac:dyDescent="0.35">
      <c r="A90">
        <v>5103033</v>
      </c>
      <c r="B90" s="1" t="s">
        <v>218</v>
      </c>
      <c r="C90">
        <v>4488.2</v>
      </c>
      <c r="D90">
        <v>804</v>
      </c>
      <c r="E90" s="1" t="s">
        <v>239</v>
      </c>
      <c r="F90" s="1" t="s">
        <v>15</v>
      </c>
      <c r="G90" s="1" t="s">
        <v>32</v>
      </c>
      <c r="H90">
        <v>102</v>
      </c>
      <c r="I90">
        <v>15</v>
      </c>
      <c r="J90">
        <v>163</v>
      </c>
      <c r="K90" s="1" t="s">
        <v>84</v>
      </c>
      <c r="L90" s="1" t="s">
        <v>24</v>
      </c>
      <c r="M90" s="1" t="s">
        <v>221</v>
      </c>
      <c r="N90" s="1" t="s">
        <v>240</v>
      </c>
    </row>
    <row r="91" spans="1:14" x14ac:dyDescent="0.35">
      <c r="A91">
        <v>5103053</v>
      </c>
      <c r="B91" s="1" t="s">
        <v>218</v>
      </c>
      <c r="C91">
        <v>4488.2</v>
      </c>
      <c r="D91">
        <v>804</v>
      </c>
      <c r="E91" s="1" t="s">
        <v>241</v>
      </c>
      <c r="F91" s="1" t="s">
        <v>15</v>
      </c>
      <c r="G91" s="1" t="s">
        <v>32</v>
      </c>
      <c r="H91">
        <v>94</v>
      </c>
      <c r="I91">
        <v>27</v>
      </c>
      <c r="K91" s="1" t="s">
        <v>23</v>
      </c>
      <c r="L91" s="1" t="s">
        <v>24</v>
      </c>
      <c r="M91" s="1" t="s">
        <v>221</v>
      </c>
      <c r="N91" s="1" t="s">
        <v>242</v>
      </c>
    </row>
    <row r="92" spans="1:14" x14ac:dyDescent="0.35">
      <c r="A92">
        <v>5106025</v>
      </c>
      <c r="B92" s="1" t="s">
        <v>218</v>
      </c>
      <c r="C92">
        <v>4488.2</v>
      </c>
      <c r="D92">
        <v>804</v>
      </c>
      <c r="E92" s="1" t="s">
        <v>243</v>
      </c>
      <c r="F92" s="1" t="s">
        <v>129</v>
      </c>
      <c r="G92" s="1" t="s">
        <v>130</v>
      </c>
      <c r="H92">
        <v>330</v>
      </c>
      <c r="I92">
        <v>39</v>
      </c>
      <c r="J92">
        <v>773</v>
      </c>
      <c r="K92" s="1" t="s">
        <v>124</v>
      </c>
      <c r="L92" s="1" t="s">
        <v>18</v>
      </c>
      <c r="M92" s="1" t="s">
        <v>244</v>
      </c>
      <c r="N92" s="1" t="s">
        <v>245</v>
      </c>
    </row>
    <row r="93" spans="1:14" x14ac:dyDescent="0.35">
      <c r="A93">
        <v>5106014</v>
      </c>
      <c r="B93" s="1" t="s">
        <v>218</v>
      </c>
      <c r="C93">
        <v>4488.2</v>
      </c>
      <c r="D93">
        <v>804</v>
      </c>
      <c r="E93" s="1" t="s">
        <v>246</v>
      </c>
      <c r="F93" s="1" t="s">
        <v>15</v>
      </c>
      <c r="G93" s="1" t="s">
        <v>16</v>
      </c>
      <c r="H93">
        <v>223</v>
      </c>
      <c r="I93">
        <v>107</v>
      </c>
      <c r="J93">
        <v>612</v>
      </c>
      <c r="K93" s="1" t="s">
        <v>17</v>
      </c>
      <c r="L93" s="1" t="s">
        <v>18</v>
      </c>
      <c r="M93" s="1" t="s">
        <v>244</v>
      </c>
      <c r="N93" s="1" t="s">
        <v>247</v>
      </c>
    </row>
    <row r="94" spans="1:14" x14ac:dyDescent="0.35">
      <c r="A94">
        <v>5106026</v>
      </c>
      <c r="B94" s="1" t="s">
        <v>218</v>
      </c>
      <c r="C94">
        <v>4488.2</v>
      </c>
      <c r="D94">
        <v>804</v>
      </c>
      <c r="E94" s="1" t="s">
        <v>248</v>
      </c>
      <c r="F94" s="1" t="s">
        <v>15</v>
      </c>
      <c r="G94" s="1" t="s">
        <v>32</v>
      </c>
      <c r="H94">
        <v>131</v>
      </c>
      <c r="I94">
        <v>174</v>
      </c>
      <c r="J94">
        <v>86</v>
      </c>
      <c r="K94" s="1" t="s">
        <v>90</v>
      </c>
      <c r="L94" s="1" t="s">
        <v>24</v>
      </c>
      <c r="M94" s="1" t="s">
        <v>244</v>
      </c>
      <c r="N94" s="1" t="s">
        <v>249</v>
      </c>
    </row>
    <row r="95" spans="1:14" x14ac:dyDescent="0.35">
      <c r="A95">
        <v>5108091</v>
      </c>
      <c r="B95" s="1" t="s">
        <v>218</v>
      </c>
      <c r="C95">
        <v>4488.2</v>
      </c>
      <c r="D95">
        <v>804</v>
      </c>
      <c r="E95" s="1" t="s">
        <v>250</v>
      </c>
      <c r="F95" s="1" t="s">
        <v>71</v>
      </c>
      <c r="G95" s="1" t="s">
        <v>32</v>
      </c>
      <c r="H95">
        <v>28</v>
      </c>
      <c r="I95">
        <v>22</v>
      </c>
      <c r="K95" s="1" t="s">
        <v>23</v>
      </c>
      <c r="L95" s="1" t="s">
        <v>24</v>
      </c>
      <c r="M95" s="1" t="s">
        <v>251</v>
      </c>
      <c r="N95" s="1" t="s">
        <v>252</v>
      </c>
    </row>
    <row r="96" spans="1:14" x14ac:dyDescent="0.35">
      <c r="A96">
        <v>5108016</v>
      </c>
      <c r="B96" s="1" t="s">
        <v>218</v>
      </c>
      <c r="C96">
        <v>4488.2</v>
      </c>
      <c r="D96">
        <v>804</v>
      </c>
      <c r="E96" s="1" t="s">
        <v>253</v>
      </c>
      <c r="F96" s="1" t="s">
        <v>15</v>
      </c>
      <c r="G96" s="1" t="s">
        <v>16</v>
      </c>
      <c r="H96">
        <v>288</v>
      </c>
      <c r="I96">
        <v>103</v>
      </c>
      <c r="J96">
        <v>1071</v>
      </c>
      <c r="K96" s="1" t="s">
        <v>17</v>
      </c>
      <c r="L96" s="1" t="s">
        <v>18</v>
      </c>
      <c r="M96" s="1" t="s">
        <v>251</v>
      </c>
      <c r="N96" s="1" t="s">
        <v>254</v>
      </c>
    </row>
    <row r="97" spans="1:14" x14ac:dyDescent="0.35">
      <c r="A97">
        <v>5108042</v>
      </c>
      <c r="B97" s="1" t="s">
        <v>218</v>
      </c>
      <c r="C97">
        <v>4488.2</v>
      </c>
      <c r="D97">
        <v>804</v>
      </c>
      <c r="E97" s="1" t="s">
        <v>255</v>
      </c>
      <c r="F97" s="1" t="s">
        <v>15</v>
      </c>
      <c r="G97" s="1" t="s">
        <v>32</v>
      </c>
      <c r="H97">
        <v>100</v>
      </c>
      <c r="I97">
        <v>20</v>
      </c>
      <c r="J97">
        <v>152</v>
      </c>
      <c r="K97" s="1" t="s">
        <v>84</v>
      </c>
      <c r="L97" s="1" t="s">
        <v>24</v>
      </c>
      <c r="M97" s="1" t="s">
        <v>251</v>
      </c>
      <c r="N97" s="1" t="s">
        <v>256</v>
      </c>
    </row>
    <row r="98" spans="1:14" x14ac:dyDescent="0.35">
      <c r="A98">
        <v>5108064</v>
      </c>
      <c r="B98" s="1" t="s">
        <v>218</v>
      </c>
      <c r="C98">
        <v>4488.2</v>
      </c>
      <c r="D98">
        <v>804</v>
      </c>
      <c r="E98" s="1" t="s">
        <v>257</v>
      </c>
      <c r="F98" s="1" t="s">
        <v>15</v>
      </c>
      <c r="G98" s="1" t="s">
        <v>32</v>
      </c>
      <c r="H98">
        <v>109</v>
      </c>
      <c r="I98">
        <v>35</v>
      </c>
      <c r="J98">
        <v>98</v>
      </c>
      <c r="K98" s="1" t="s">
        <v>23</v>
      </c>
      <c r="L98" s="1" t="s">
        <v>24</v>
      </c>
      <c r="M98" s="1" t="s">
        <v>251</v>
      </c>
      <c r="N98" s="1" t="s">
        <v>258</v>
      </c>
    </row>
    <row r="99" spans="1:14" x14ac:dyDescent="0.35">
      <c r="A99">
        <v>5108031</v>
      </c>
      <c r="B99" s="1" t="s">
        <v>218</v>
      </c>
      <c r="C99">
        <v>4488.2</v>
      </c>
      <c r="D99">
        <v>804</v>
      </c>
      <c r="E99" s="1" t="s">
        <v>259</v>
      </c>
      <c r="F99" s="1" t="s">
        <v>15</v>
      </c>
      <c r="G99" s="1" t="s">
        <v>32</v>
      </c>
      <c r="H99">
        <v>120</v>
      </c>
      <c r="I99">
        <v>65</v>
      </c>
      <c r="J99">
        <v>381</v>
      </c>
      <c r="K99" s="1" t="s">
        <v>260</v>
      </c>
      <c r="L99" s="1" t="s">
        <v>24</v>
      </c>
      <c r="M99" s="1" t="s">
        <v>251</v>
      </c>
      <c r="N99" s="1" t="s">
        <v>261</v>
      </c>
    </row>
    <row r="100" spans="1:14" x14ac:dyDescent="0.35">
      <c r="A100">
        <v>5108080</v>
      </c>
      <c r="B100" s="1" t="s">
        <v>218</v>
      </c>
      <c r="C100">
        <v>4488.2</v>
      </c>
      <c r="D100">
        <v>804</v>
      </c>
      <c r="E100" s="1" t="s">
        <v>262</v>
      </c>
      <c r="F100" s="1" t="s">
        <v>15</v>
      </c>
      <c r="G100" s="1" t="s">
        <v>32</v>
      </c>
      <c r="H100">
        <v>101</v>
      </c>
      <c r="I100">
        <v>38</v>
      </c>
      <c r="J100">
        <v>299</v>
      </c>
      <c r="K100" s="1" t="s">
        <v>90</v>
      </c>
      <c r="L100" s="1" t="s">
        <v>24</v>
      </c>
      <c r="M100" s="1" t="s">
        <v>251</v>
      </c>
      <c r="N100" s="1" t="s">
        <v>263</v>
      </c>
    </row>
    <row r="101" spans="1:14" x14ac:dyDescent="0.35">
      <c r="A101">
        <v>5108075</v>
      </c>
      <c r="B101" s="1" t="s">
        <v>218</v>
      </c>
      <c r="C101">
        <v>4488.2</v>
      </c>
      <c r="D101">
        <v>804</v>
      </c>
      <c r="E101" s="1" t="s">
        <v>264</v>
      </c>
      <c r="F101" s="1" t="s">
        <v>15</v>
      </c>
      <c r="G101" s="1" t="s">
        <v>22</v>
      </c>
      <c r="H101">
        <v>50</v>
      </c>
      <c r="I101">
        <v>20</v>
      </c>
      <c r="J101">
        <v>104</v>
      </c>
      <c r="K101" s="1" t="s">
        <v>23</v>
      </c>
      <c r="L101" s="1" t="s">
        <v>24</v>
      </c>
      <c r="M101" s="1" t="s">
        <v>251</v>
      </c>
      <c r="N101" s="1" t="s">
        <v>265</v>
      </c>
    </row>
    <row r="102" spans="1:14" x14ac:dyDescent="0.35">
      <c r="A102">
        <v>5108077</v>
      </c>
      <c r="B102" s="1" t="s">
        <v>218</v>
      </c>
      <c r="C102">
        <v>4488.2</v>
      </c>
      <c r="D102">
        <v>804</v>
      </c>
      <c r="E102" s="1" t="s">
        <v>266</v>
      </c>
      <c r="F102" s="1" t="s">
        <v>15</v>
      </c>
      <c r="G102" s="1" t="s">
        <v>22</v>
      </c>
      <c r="H102">
        <v>66</v>
      </c>
      <c r="I102">
        <v>20</v>
      </c>
      <c r="J102">
        <v>167</v>
      </c>
      <c r="K102" s="1" t="s">
        <v>17</v>
      </c>
      <c r="L102" s="1" t="s">
        <v>24</v>
      </c>
      <c r="M102" s="1" t="s">
        <v>251</v>
      </c>
      <c r="N102" s="1" t="s">
        <v>267</v>
      </c>
    </row>
    <row r="103" spans="1:14" x14ac:dyDescent="0.35">
      <c r="A103">
        <v>5108079</v>
      </c>
      <c r="B103" s="1" t="s">
        <v>218</v>
      </c>
      <c r="C103">
        <v>4488.2</v>
      </c>
      <c r="D103">
        <v>804</v>
      </c>
      <c r="E103" s="1" t="s">
        <v>268</v>
      </c>
      <c r="F103" s="1" t="s">
        <v>15</v>
      </c>
      <c r="G103" s="1" t="s">
        <v>22</v>
      </c>
      <c r="H103">
        <v>50</v>
      </c>
      <c r="I103">
        <v>14</v>
      </c>
      <c r="J103">
        <v>144</v>
      </c>
      <c r="K103" s="1" t="s">
        <v>17</v>
      </c>
      <c r="L103" s="1" t="s">
        <v>24</v>
      </c>
      <c r="M103" s="1" t="s">
        <v>251</v>
      </c>
      <c r="N103" s="1" t="s">
        <v>269</v>
      </c>
    </row>
    <row r="104" spans="1:14" x14ac:dyDescent="0.35">
      <c r="A104">
        <v>5108020</v>
      </c>
      <c r="B104" s="1" t="s">
        <v>218</v>
      </c>
      <c r="C104">
        <v>4488.2</v>
      </c>
      <c r="D104">
        <v>804</v>
      </c>
      <c r="E104" s="1" t="s">
        <v>270</v>
      </c>
      <c r="F104" s="1" t="s">
        <v>15</v>
      </c>
      <c r="G104" s="1" t="s">
        <v>22</v>
      </c>
      <c r="H104">
        <v>50</v>
      </c>
      <c r="I104">
        <v>21</v>
      </c>
      <c r="J104">
        <v>93</v>
      </c>
      <c r="K104" s="1" t="s">
        <v>27</v>
      </c>
      <c r="L104" s="1" t="s">
        <v>24</v>
      </c>
      <c r="M104" s="1" t="s">
        <v>251</v>
      </c>
      <c r="N104" s="1" t="s">
        <v>271</v>
      </c>
    </row>
    <row r="105" spans="1:14" x14ac:dyDescent="0.35">
      <c r="A105">
        <v>5104012</v>
      </c>
      <c r="B105" s="1" t="s">
        <v>218</v>
      </c>
      <c r="C105">
        <v>4488.2</v>
      </c>
      <c r="D105">
        <v>804</v>
      </c>
      <c r="E105" s="1" t="s">
        <v>272</v>
      </c>
      <c r="F105" s="1" t="s">
        <v>15</v>
      </c>
      <c r="G105" s="1" t="s">
        <v>16</v>
      </c>
      <c r="H105">
        <v>241</v>
      </c>
      <c r="I105">
        <v>132</v>
      </c>
      <c r="J105">
        <v>846</v>
      </c>
      <c r="K105" s="1" t="s">
        <v>17</v>
      </c>
      <c r="L105" s="1" t="s">
        <v>18</v>
      </c>
      <c r="M105" s="1" t="s">
        <v>273</v>
      </c>
      <c r="N105" s="1" t="s">
        <v>274</v>
      </c>
    </row>
    <row r="106" spans="1:14" x14ac:dyDescent="0.35">
      <c r="A106">
        <v>5104023</v>
      </c>
      <c r="B106" s="1" t="s">
        <v>218</v>
      </c>
      <c r="C106">
        <v>4488.2</v>
      </c>
      <c r="D106">
        <v>804</v>
      </c>
      <c r="E106" s="1" t="s">
        <v>275</v>
      </c>
      <c r="F106" s="1" t="s">
        <v>15</v>
      </c>
      <c r="G106" s="1" t="s">
        <v>32</v>
      </c>
      <c r="H106">
        <v>100</v>
      </c>
      <c r="I106">
        <v>58</v>
      </c>
      <c r="J106">
        <v>52</v>
      </c>
      <c r="K106" s="1" t="s">
        <v>23</v>
      </c>
      <c r="L106" s="1" t="s">
        <v>24</v>
      </c>
      <c r="M106" s="1" t="s">
        <v>273</v>
      </c>
      <c r="N106" s="1" t="s">
        <v>276</v>
      </c>
    </row>
    <row r="107" spans="1:14" x14ac:dyDescent="0.35">
      <c r="A107">
        <v>5104036</v>
      </c>
      <c r="B107" s="1" t="s">
        <v>218</v>
      </c>
      <c r="C107">
        <v>4488.2</v>
      </c>
      <c r="D107">
        <v>804</v>
      </c>
      <c r="E107" s="1" t="s">
        <v>277</v>
      </c>
      <c r="F107" s="1" t="s">
        <v>15</v>
      </c>
      <c r="G107" s="1" t="s">
        <v>32</v>
      </c>
      <c r="H107">
        <v>102</v>
      </c>
      <c r="I107">
        <v>33</v>
      </c>
      <c r="J107">
        <v>291</v>
      </c>
      <c r="K107" s="1" t="s">
        <v>95</v>
      </c>
      <c r="L107" s="1" t="s">
        <v>24</v>
      </c>
      <c r="M107" s="1" t="s">
        <v>273</v>
      </c>
      <c r="N107" s="1" t="s">
        <v>278</v>
      </c>
    </row>
    <row r="108" spans="1:14" x14ac:dyDescent="0.35">
      <c r="A108">
        <v>5104039</v>
      </c>
      <c r="B108" s="1" t="s">
        <v>218</v>
      </c>
      <c r="C108">
        <v>4488.2</v>
      </c>
      <c r="D108">
        <v>804</v>
      </c>
      <c r="E108" s="1" t="s">
        <v>279</v>
      </c>
      <c r="F108" s="1" t="s">
        <v>15</v>
      </c>
      <c r="G108" s="1" t="s">
        <v>32</v>
      </c>
      <c r="H108">
        <v>113</v>
      </c>
      <c r="I108">
        <v>24</v>
      </c>
      <c r="K108" s="1" t="s">
        <v>17</v>
      </c>
      <c r="L108" s="1" t="s">
        <v>18</v>
      </c>
      <c r="M108" s="1" t="s">
        <v>273</v>
      </c>
      <c r="N108" s="1" t="s">
        <v>280</v>
      </c>
    </row>
    <row r="109" spans="1:14" x14ac:dyDescent="0.35">
      <c r="A109">
        <v>5104034</v>
      </c>
      <c r="B109" s="1" t="s">
        <v>218</v>
      </c>
      <c r="C109">
        <v>4488.2</v>
      </c>
      <c r="D109">
        <v>804</v>
      </c>
      <c r="E109" s="1" t="s">
        <v>281</v>
      </c>
      <c r="F109" s="1" t="s">
        <v>15</v>
      </c>
      <c r="G109" s="1" t="s">
        <v>32</v>
      </c>
      <c r="H109">
        <v>109</v>
      </c>
      <c r="I109">
        <v>63</v>
      </c>
      <c r="J109">
        <v>310</v>
      </c>
      <c r="K109" s="1" t="s">
        <v>95</v>
      </c>
      <c r="L109" s="1" t="s">
        <v>24</v>
      </c>
      <c r="M109" s="1" t="s">
        <v>273</v>
      </c>
      <c r="N109" s="1" t="s">
        <v>282</v>
      </c>
    </row>
    <row r="110" spans="1:14" x14ac:dyDescent="0.35">
      <c r="A110">
        <v>5104037</v>
      </c>
      <c r="B110" s="1" t="s">
        <v>218</v>
      </c>
      <c r="C110">
        <v>4488.2</v>
      </c>
      <c r="D110">
        <v>804</v>
      </c>
      <c r="E110" s="1" t="s">
        <v>283</v>
      </c>
      <c r="F110" s="1" t="s">
        <v>15</v>
      </c>
      <c r="G110" s="1" t="s">
        <v>32</v>
      </c>
      <c r="H110">
        <v>109</v>
      </c>
      <c r="I110">
        <v>38</v>
      </c>
      <c r="J110">
        <v>186</v>
      </c>
      <c r="K110" s="1" t="s">
        <v>90</v>
      </c>
      <c r="L110" s="1" t="s">
        <v>24</v>
      </c>
      <c r="M110" s="1" t="s">
        <v>273</v>
      </c>
      <c r="N110" s="1" t="s">
        <v>284</v>
      </c>
    </row>
    <row r="111" spans="1:14" x14ac:dyDescent="0.35">
      <c r="A111">
        <v>5104035</v>
      </c>
      <c r="B111" s="1" t="s">
        <v>218</v>
      </c>
      <c r="C111">
        <v>4488.2</v>
      </c>
      <c r="D111">
        <v>804</v>
      </c>
      <c r="E111" s="1" t="s">
        <v>285</v>
      </c>
      <c r="F111" s="1" t="s">
        <v>15</v>
      </c>
      <c r="G111" s="1" t="s">
        <v>32</v>
      </c>
      <c r="H111">
        <v>151</v>
      </c>
      <c r="I111">
        <v>115</v>
      </c>
      <c r="J111">
        <v>537</v>
      </c>
      <c r="K111" s="1" t="s">
        <v>90</v>
      </c>
      <c r="L111" s="1" t="s">
        <v>24</v>
      </c>
      <c r="M111" s="1" t="s">
        <v>273</v>
      </c>
      <c r="N111" s="1" t="s">
        <v>286</v>
      </c>
    </row>
    <row r="112" spans="1:14" x14ac:dyDescent="0.35">
      <c r="A112">
        <v>5104050</v>
      </c>
      <c r="B112" s="1" t="s">
        <v>218</v>
      </c>
      <c r="C112">
        <v>4488.2</v>
      </c>
      <c r="D112">
        <v>804</v>
      </c>
      <c r="E112" s="1" t="s">
        <v>287</v>
      </c>
      <c r="F112" s="1" t="s">
        <v>15</v>
      </c>
      <c r="G112" s="1" t="s">
        <v>22</v>
      </c>
      <c r="H112">
        <v>65</v>
      </c>
      <c r="I112">
        <v>29</v>
      </c>
      <c r="K112" s="1" t="s">
        <v>23</v>
      </c>
      <c r="L112" s="1" t="s">
        <v>24</v>
      </c>
      <c r="M112" s="1" t="s">
        <v>273</v>
      </c>
      <c r="N112" s="1" t="s">
        <v>288</v>
      </c>
    </row>
    <row r="113" spans="1:14" x14ac:dyDescent="0.35">
      <c r="A113">
        <v>5101016</v>
      </c>
      <c r="B113" s="1" t="s">
        <v>218</v>
      </c>
      <c r="C113">
        <v>4488.2</v>
      </c>
      <c r="D113">
        <v>804</v>
      </c>
      <c r="E113" s="1" t="s">
        <v>289</v>
      </c>
      <c r="F113" s="1" t="s">
        <v>15</v>
      </c>
      <c r="G113" s="1" t="s">
        <v>32</v>
      </c>
      <c r="H113">
        <v>161</v>
      </c>
      <c r="I113">
        <v>35</v>
      </c>
      <c r="J113">
        <v>479</v>
      </c>
      <c r="K113" s="1" t="s">
        <v>17</v>
      </c>
      <c r="L113" s="1" t="s">
        <v>18</v>
      </c>
      <c r="M113" s="1" t="s">
        <v>290</v>
      </c>
      <c r="N113" s="1" t="s">
        <v>291</v>
      </c>
    </row>
    <row r="114" spans="1:14" x14ac:dyDescent="0.35">
      <c r="A114">
        <v>5101054</v>
      </c>
      <c r="B114" s="1" t="s">
        <v>218</v>
      </c>
      <c r="C114">
        <v>4488.2</v>
      </c>
      <c r="D114">
        <v>804</v>
      </c>
      <c r="E114" s="1" t="s">
        <v>292</v>
      </c>
      <c r="F114" s="1" t="s">
        <v>15</v>
      </c>
      <c r="G114" s="1" t="s">
        <v>32</v>
      </c>
      <c r="H114">
        <v>100</v>
      </c>
      <c r="I114">
        <v>45</v>
      </c>
      <c r="J114">
        <v>82</v>
      </c>
      <c r="K114" s="1" t="s">
        <v>23</v>
      </c>
      <c r="L114" s="1" t="s">
        <v>24</v>
      </c>
      <c r="M114" s="1" t="s">
        <v>290</v>
      </c>
      <c r="N114" s="1" t="s">
        <v>293</v>
      </c>
    </row>
    <row r="115" spans="1:14" x14ac:dyDescent="0.35">
      <c r="A115">
        <v>5101055</v>
      </c>
      <c r="B115" s="1" t="s">
        <v>218</v>
      </c>
      <c r="C115">
        <v>4488.2</v>
      </c>
      <c r="D115">
        <v>804</v>
      </c>
      <c r="E115" s="1" t="s">
        <v>294</v>
      </c>
      <c r="F115" s="1" t="s">
        <v>15</v>
      </c>
      <c r="G115" s="1" t="s">
        <v>32</v>
      </c>
      <c r="H115">
        <v>100</v>
      </c>
      <c r="I115">
        <v>40</v>
      </c>
      <c r="J115">
        <v>229</v>
      </c>
      <c r="K115" s="1" t="s">
        <v>23</v>
      </c>
      <c r="L115" s="1" t="s">
        <v>24</v>
      </c>
      <c r="M115" s="1" t="s">
        <v>290</v>
      </c>
      <c r="N115" s="1" t="s">
        <v>295</v>
      </c>
    </row>
    <row r="116" spans="1:14" x14ac:dyDescent="0.35">
      <c r="A116">
        <v>5101053</v>
      </c>
      <c r="B116" s="1" t="s">
        <v>218</v>
      </c>
      <c r="C116">
        <v>4488.2</v>
      </c>
      <c r="D116">
        <v>804</v>
      </c>
      <c r="E116" s="1" t="s">
        <v>296</v>
      </c>
      <c r="F116" s="1" t="s">
        <v>15</v>
      </c>
      <c r="G116" s="1" t="s">
        <v>22</v>
      </c>
      <c r="H116">
        <v>54</v>
      </c>
      <c r="I116">
        <v>13</v>
      </c>
      <c r="J116">
        <v>43</v>
      </c>
      <c r="K116" s="1" t="s">
        <v>23</v>
      </c>
      <c r="L116" s="1" t="s">
        <v>24</v>
      </c>
      <c r="M116" s="1" t="s">
        <v>290</v>
      </c>
      <c r="N116" s="1" t="s">
        <v>297</v>
      </c>
    </row>
    <row r="117" spans="1:14" x14ac:dyDescent="0.35">
      <c r="A117">
        <v>5107029</v>
      </c>
      <c r="B117" s="1" t="s">
        <v>218</v>
      </c>
      <c r="C117">
        <v>4488.2</v>
      </c>
      <c r="D117">
        <v>804</v>
      </c>
      <c r="E117" s="1" t="s">
        <v>298</v>
      </c>
      <c r="F117" s="1" t="s">
        <v>15</v>
      </c>
      <c r="G117" s="1" t="s">
        <v>32</v>
      </c>
      <c r="H117">
        <v>114</v>
      </c>
      <c r="I117">
        <v>30</v>
      </c>
      <c r="K117" s="1" t="s">
        <v>23</v>
      </c>
      <c r="L117" s="1" t="s">
        <v>24</v>
      </c>
      <c r="M117" s="1" t="s">
        <v>299</v>
      </c>
      <c r="N117" s="1" t="s">
        <v>300</v>
      </c>
    </row>
    <row r="118" spans="1:14" x14ac:dyDescent="0.35">
      <c r="A118">
        <v>5107015</v>
      </c>
      <c r="B118" s="1" t="s">
        <v>218</v>
      </c>
      <c r="C118">
        <v>4488.2</v>
      </c>
      <c r="D118">
        <v>804</v>
      </c>
      <c r="E118" s="1" t="s">
        <v>301</v>
      </c>
      <c r="F118" s="1" t="s">
        <v>15</v>
      </c>
      <c r="G118" s="1" t="s">
        <v>32</v>
      </c>
      <c r="H118">
        <v>193</v>
      </c>
      <c r="I118">
        <v>42</v>
      </c>
      <c r="J118">
        <v>524</v>
      </c>
      <c r="K118" s="1" t="s">
        <v>17</v>
      </c>
      <c r="L118" s="1" t="s">
        <v>18</v>
      </c>
      <c r="M118" s="1" t="s">
        <v>299</v>
      </c>
      <c r="N118" s="1" t="s">
        <v>302</v>
      </c>
    </row>
    <row r="119" spans="1:14" x14ac:dyDescent="0.35">
      <c r="A119">
        <v>5107017</v>
      </c>
      <c r="B119" s="1" t="s">
        <v>218</v>
      </c>
      <c r="C119">
        <v>4488.2</v>
      </c>
      <c r="D119">
        <v>804</v>
      </c>
      <c r="E119" s="1" t="s">
        <v>303</v>
      </c>
      <c r="F119" s="1" t="s">
        <v>15</v>
      </c>
      <c r="G119" s="1" t="s">
        <v>32</v>
      </c>
      <c r="H119">
        <v>158</v>
      </c>
      <c r="I119">
        <v>34</v>
      </c>
      <c r="J119">
        <v>226</v>
      </c>
      <c r="K119" s="1" t="s">
        <v>23</v>
      </c>
      <c r="L119" s="1" t="s">
        <v>24</v>
      </c>
      <c r="M119" s="1" t="s">
        <v>299</v>
      </c>
      <c r="N119" s="1" t="s">
        <v>304</v>
      </c>
    </row>
    <row r="120" spans="1:14" x14ac:dyDescent="0.35">
      <c r="A120">
        <v>5107018</v>
      </c>
      <c r="B120" s="1" t="s">
        <v>218</v>
      </c>
      <c r="C120">
        <v>4488.2</v>
      </c>
      <c r="D120">
        <v>804</v>
      </c>
      <c r="E120" s="1" t="s">
        <v>305</v>
      </c>
      <c r="F120" s="1" t="s">
        <v>15</v>
      </c>
      <c r="G120" s="1" t="s">
        <v>52</v>
      </c>
      <c r="H120">
        <v>32</v>
      </c>
      <c r="I120">
        <v>11</v>
      </c>
      <c r="J120">
        <v>2</v>
      </c>
      <c r="K120" s="1" t="s">
        <v>17</v>
      </c>
      <c r="L120" s="1" t="s">
        <v>24</v>
      </c>
      <c r="M120" s="1" t="s">
        <v>299</v>
      </c>
      <c r="N120" s="1" t="s">
        <v>306</v>
      </c>
    </row>
    <row r="121" spans="1:14" x14ac:dyDescent="0.35">
      <c r="A121">
        <v>5105013</v>
      </c>
      <c r="B121" s="1" t="s">
        <v>218</v>
      </c>
      <c r="C121">
        <v>4488.2</v>
      </c>
      <c r="D121">
        <v>804</v>
      </c>
      <c r="E121" s="1" t="s">
        <v>307</v>
      </c>
      <c r="F121" s="1" t="s">
        <v>15</v>
      </c>
      <c r="G121" s="1" t="s">
        <v>16</v>
      </c>
      <c r="H121">
        <v>247</v>
      </c>
      <c r="I121">
        <v>92</v>
      </c>
      <c r="J121">
        <v>740</v>
      </c>
      <c r="K121" s="1" t="s">
        <v>17</v>
      </c>
      <c r="L121" s="1" t="s">
        <v>18</v>
      </c>
      <c r="M121" s="1" t="s">
        <v>308</v>
      </c>
      <c r="N121" s="1" t="s">
        <v>309</v>
      </c>
    </row>
    <row r="122" spans="1:14" x14ac:dyDescent="0.35">
      <c r="A122">
        <v>5105017</v>
      </c>
      <c r="B122" s="1" t="s">
        <v>218</v>
      </c>
      <c r="C122">
        <v>4488.2</v>
      </c>
      <c r="D122">
        <v>804</v>
      </c>
      <c r="E122" s="1" t="s">
        <v>310</v>
      </c>
      <c r="F122" s="1" t="s">
        <v>15</v>
      </c>
      <c r="G122" s="1" t="s">
        <v>32</v>
      </c>
      <c r="H122">
        <v>112</v>
      </c>
      <c r="I122">
        <v>64</v>
      </c>
      <c r="J122">
        <v>30</v>
      </c>
      <c r="K122" s="1" t="s">
        <v>23</v>
      </c>
      <c r="L122" s="1" t="s">
        <v>24</v>
      </c>
      <c r="M122" s="1" t="s">
        <v>308</v>
      </c>
      <c r="N122" s="1" t="s">
        <v>311</v>
      </c>
    </row>
    <row r="123" spans="1:14" x14ac:dyDescent="0.35">
      <c r="A123">
        <v>5105015</v>
      </c>
      <c r="B123" s="1" t="s">
        <v>218</v>
      </c>
      <c r="C123">
        <v>4488.2</v>
      </c>
      <c r="D123">
        <v>804</v>
      </c>
      <c r="E123" s="1" t="s">
        <v>312</v>
      </c>
      <c r="F123" s="1" t="s">
        <v>15</v>
      </c>
      <c r="G123" s="1" t="s">
        <v>32</v>
      </c>
      <c r="H123">
        <v>119</v>
      </c>
      <c r="I123">
        <v>58</v>
      </c>
      <c r="J123">
        <v>191</v>
      </c>
      <c r="K123" s="1" t="s">
        <v>23</v>
      </c>
      <c r="L123" s="1" t="s">
        <v>24</v>
      </c>
      <c r="M123" s="1" t="s">
        <v>308</v>
      </c>
      <c r="N123" s="1" t="s">
        <v>313</v>
      </c>
    </row>
    <row r="124" spans="1:14" x14ac:dyDescent="0.35">
      <c r="A124">
        <v>5105014</v>
      </c>
      <c r="B124" s="1" t="s">
        <v>218</v>
      </c>
      <c r="C124">
        <v>4488.2</v>
      </c>
      <c r="D124">
        <v>804</v>
      </c>
      <c r="E124" s="1" t="s">
        <v>314</v>
      </c>
      <c r="F124" s="1" t="s">
        <v>15</v>
      </c>
      <c r="G124" s="1" t="s">
        <v>22</v>
      </c>
      <c r="H124">
        <v>50</v>
      </c>
      <c r="I124">
        <v>31</v>
      </c>
      <c r="J124">
        <v>172</v>
      </c>
      <c r="K124" s="1" t="s">
        <v>23</v>
      </c>
      <c r="L124" s="1" t="s">
        <v>24</v>
      </c>
      <c r="M124" s="1" t="s">
        <v>308</v>
      </c>
      <c r="N124" s="1" t="s">
        <v>315</v>
      </c>
    </row>
    <row r="125" spans="1:14" x14ac:dyDescent="0.35">
      <c r="A125">
        <v>5105016</v>
      </c>
      <c r="B125" s="1" t="s">
        <v>218</v>
      </c>
      <c r="C125">
        <v>4488.2</v>
      </c>
      <c r="D125">
        <v>804</v>
      </c>
      <c r="E125" s="1" t="s">
        <v>316</v>
      </c>
      <c r="F125" s="1" t="s">
        <v>15</v>
      </c>
      <c r="G125" s="1" t="s">
        <v>22</v>
      </c>
      <c r="H125">
        <v>50</v>
      </c>
      <c r="I125">
        <v>20</v>
      </c>
      <c r="J125">
        <v>134</v>
      </c>
      <c r="K125" s="1" t="s">
        <v>17</v>
      </c>
      <c r="L125" s="1" t="s">
        <v>18</v>
      </c>
      <c r="M125" s="1" t="s">
        <v>308</v>
      </c>
      <c r="N125" s="1" t="s">
        <v>317</v>
      </c>
    </row>
    <row r="126" spans="1:14" x14ac:dyDescent="0.35">
      <c r="A126">
        <v>5171234</v>
      </c>
      <c r="B126" s="1" t="s">
        <v>218</v>
      </c>
      <c r="C126">
        <v>4488.2</v>
      </c>
      <c r="D126">
        <v>804</v>
      </c>
      <c r="E126" s="1" t="s">
        <v>318</v>
      </c>
      <c r="F126" s="1" t="s">
        <v>220</v>
      </c>
      <c r="G126" s="1" t="s">
        <v>32</v>
      </c>
      <c r="H126">
        <v>29</v>
      </c>
      <c r="I126">
        <v>43</v>
      </c>
      <c r="K126" s="1" t="s">
        <v>23</v>
      </c>
      <c r="L126" s="1" t="s">
        <v>24</v>
      </c>
      <c r="M126" s="1" t="s">
        <v>319</v>
      </c>
      <c r="N126" s="1" t="s">
        <v>320</v>
      </c>
    </row>
    <row r="127" spans="1:14" x14ac:dyDescent="0.35">
      <c r="A127">
        <v>5171181</v>
      </c>
      <c r="B127" s="1" t="s">
        <v>218</v>
      </c>
      <c r="C127">
        <v>4488.2</v>
      </c>
      <c r="D127">
        <v>804</v>
      </c>
      <c r="E127" s="1" t="s">
        <v>321</v>
      </c>
      <c r="F127" s="1" t="s">
        <v>119</v>
      </c>
      <c r="G127" s="1" t="s">
        <v>16</v>
      </c>
      <c r="H127">
        <v>17</v>
      </c>
      <c r="I127">
        <v>21</v>
      </c>
      <c r="J127">
        <v>95</v>
      </c>
      <c r="K127" s="1" t="s">
        <v>84</v>
      </c>
      <c r="L127" s="1" t="s">
        <v>24</v>
      </c>
      <c r="M127" s="1" t="s">
        <v>319</v>
      </c>
      <c r="N127" s="1" t="s">
        <v>322</v>
      </c>
    </row>
    <row r="128" spans="1:14" x14ac:dyDescent="0.35">
      <c r="A128">
        <v>5171232</v>
      </c>
      <c r="B128" s="1" t="s">
        <v>218</v>
      </c>
      <c r="C128">
        <v>4488.2</v>
      </c>
      <c r="D128">
        <v>804</v>
      </c>
      <c r="E128" s="1" t="s">
        <v>323</v>
      </c>
      <c r="F128" s="1" t="s">
        <v>71</v>
      </c>
      <c r="G128" s="1" t="s">
        <v>32</v>
      </c>
      <c r="H128">
        <v>25</v>
      </c>
      <c r="I128">
        <v>37</v>
      </c>
      <c r="K128" s="1" t="s">
        <v>23</v>
      </c>
      <c r="L128" s="1" t="s">
        <v>24</v>
      </c>
      <c r="M128" s="1" t="s">
        <v>319</v>
      </c>
      <c r="N128" s="1" t="s">
        <v>324</v>
      </c>
    </row>
    <row r="129" spans="1:14" x14ac:dyDescent="0.35">
      <c r="A129">
        <v>5171215</v>
      </c>
      <c r="B129" s="1" t="s">
        <v>218</v>
      </c>
      <c r="C129">
        <v>4488.2</v>
      </c>
      <c r="D129">
        <v>804</v>
      </c>
      <c r="E129" s="1" t="s">
        <v>325</v>
      </c>
      <c r="F129" s="1" t="s">
        <v>71</v>
      </c>
      <c r="G129" s="1" t="s">
        <v>32</v>
      </c>
      <c r="H129">
        <v>80</v>
      </c>
      <c r="I129">
        <v>28</v>
      </c>
      <c r="J129">
        <v>223</v>
      </c>
      <c r="K129" s="1" t="s">
        <v>23</v>
      </c>
      <c r="L129" s="1" t="s">
        <v>24</v>
      </c>
      <c r="M129" s="1" t="s">
        <v>319</v>
      </c>
      <c r="N129" s="1" t="s">
        <v>326</v>
      </c>
    </row>
    <row r="130" spans="1:14" x14ac:dyDescent="0.35">
      <c r="A130">
        <v>5171219</v>
      </c>
      <c r="B130" s="1" t="s">
        <v>218</v>
      </c>
      <c r="C130">
        <v>4488.2</v>
      </c>
      <c r="D130">
        <v>804</v>
      </c>
      <c r="E130" s="1" t="s">
        <v>327</v>
      </c>
      <c r="F130" s="1" t="s">
        <v>71</v>
      </c>
      <c r="G130" s="1" t="s">
        <v>32</v>
      </c>
      <c r="H130">
        <v>33</v>
      </c>
      <c r="I130">
        <v>12</v>
      </c>
      <c r="J130">
        <v>83</v>
      </c>
      <c r="K130" s="1" t="s">
        <v>23</v>
      </c>
      <c r="L130" s="1" t="s">
        <v>24</v>
      </c>
      <c r="M130" s="1" t="s">
        <v>319</v>
      </c>
      <c r="N130" s="1" t="s">
        <v>328</v>
      </c>
    </row>
    <row r="131" spans="1:14" x14ac:dyDescent="0.35">
      <c r="A131">
        <v>5171235</v>
      </c>
      <c r="B131" s="1" t="s">
        <v>218</v>
      </c>
      <c r="C131">
        <v>4488.2</v>
      </c>
      <c r="D131">
        <v>804</v>
      </c>
      <c r="E131" s="1" t="s">
        <v>329</v>
      </c>
      <c r="F131" s="1" t="s">
        <v>71</v>
      </c>
      <c r="G131" s="1" t="s">
        <v>32</v>
      </c>
      <c r="H131">
        <v>60</v>
      </c>
      <c r="I131">
        <v>52</v>
      </c>
      <c r="K131" s="1" t="s">
        <v>23</v>
      </c>
      <c r="L131" s="1" t="s">
        <v>24</v>
      </c>
      <c r="M131" s="1" t="s">
        <v>319</v>
      </c>
      <c r="N131" s="1" t="s">
        <v>330</v>
      </c>
    </row>
    <row r="132" spans="1:14" x14ac:dyDescent="0.35">
      <c r="A132">
        <v>5171166</v>
      </c>
      <c r="B132" s="1" t="s">
        <v>218</v>
      </c>
      <c r="C132">
        <v>4488.2</v>
      </c>
      <c r="D132">
        <v>804</v>
      </c>
      <c r="E132" s="1" t="s">
        <v>331</v>
      </c>
      <c r="F132" s="1" t="s">
        <v>71</v>
      </c>
      <c r="G132" s="1" t="s">
        <v>32</v>
      </c>
      <c r="H132">
        <v>29</v>
      </c>
      <c r="I132">
        <v>12</v>
      </c>
      <c r="J132">
        <v>46</v>
      </c>
      <c r="K132" s="1" t="s">
        <v>90</v>
      </c>
      <c r="L132" s="1" t="s">
        <v>24</v>
      </c>
      <c r="M132" s="1" t="s">
        <v>319</v>
      </c>
      <c r="N132" s="1" t="s">
        <v>332</v>
      </c>
    </row>
    <row r="133" spans="1:14" x14ac:dyDescent="0.35">
      <c r="A133">
        <v>5171064</v>
      </c>
      <c r="B133" s="1" t="s">
        <v>218</v>
      </c>
      <c r="C133">
        <v>4488.2</v>
      </c>
      <c r="D133">
        <v>804</v>
      </c>
      <c r="E133" s="1" t="s">
        <v>333</v>
      </c>
      <c r="F133" s="1" t="s">
        <v>334</v>
      </c>
      <c r="G133" s="1" t="s">
        <v>130</v>
      </c>
      <c r="H133">
        <v>40</v>
      </c>
      <c r="I133">
        <v>30</v>
      </c>
      <c r="J133">
        <v>260</v>
      </c>
      <c r="K133" s="1" t="s">
        <v>124</v>
      </c>
      <c r="L133" s="1" t="s">
        <v>18</v>
      </c>
      <c r="M133" s="1" t="s">
        <v>319</v>
      </c>
      <c r="N133" s="1" t="s">
        <v>335</v>
      </c>
    </row>
    <row r="134" spans="1:14" x14ac:dyDescent="0.35">
      <c r="A134">
        <v>5171221</v>
      </c>
      <c r="B134" s="1" t="s">
        <v>218</v>
      </c>
      <c r="C134">
        <v>4488.2</v>
      </c>
      <c r="D134">
        <v>804</v>
      </c>
      <c r="E134" s="1" t="s">
        <v>336</v>
      </c>
      <c r="F134" s="1" t="s">
        <v>334</v>
      </c>
      <c r="G134" s="1" t="s">
        <v>32</v>
      </c>
      <c r="H134">
        <v>15</v>
      </c>
      <c r="I134">
        <v>28</v>
      </c>
      <c r="J134">
        <v>76</v>
      </c>
      <c r="K134" s="1" t="s">
        <v>90</v>
      </c>
      <c r="L134" s="1" t="s">
        <v>24</v>
      </c>
      <c r="M134" s="1" t="s">
        <v>319</v>
      </c>
      <c r="N134" s="1" t="s">
        <v>337</v>
      </c>
    </row>
    <row r="135" spans="1:14" x14ac:dyDescent="0.35">
      <c r="A135">
        <v>5171016</v>
      </c>
      <c r="B135" s="1" t="s">
        <v>218</v>
      </c>
      <c r="C135">
        <v>4488.2</v>
      </c>
      <c r="D135">
        <v>804</v>
      </c>
      <c r="E135" s="1" t="s">
        <v>338</v>
      </c>
      <c r="F135" s="1" t="s">
        <v>15</v>
      </c>
      <c r="G135" s="1" t="s">
        <v>130</v>
      </c>
      <c r="H135">
        <v>731</v>
      </c>
      <c r="I135">
        <v>170</v>
      </c>
      <c r="J135">
        <v>3149</v>
      </c>
      <c r="K135" s="1" t="s">
        <v>339</v>
      </c>
      <c r="L135" s="1" t="s">
        <v>120</v>
      </c>
      <c r="M135" s="1" t="s">
        <v>319</v>
      </c>
      <c r="N135" s="1" t="s">
        <v>340</v>
      </c>
    </row>
    <row r="136" spans="1:14" x14ac:dyDescent="0.35">
      <c r="A136">
        <v>5171020</v>
      </c>
      <c r="B136" s="1" t="s">
        <v>218</v>
      </c>
      <c r="C136">
        <v>4488.2</v>
      </c>
      <c r="D136">
        <v>804</v>
      </c>
      <c r="E136" s="1" t="s">
        <v>341</v>
      </c>
      <c r="F136" s="1" t="s">
        <v>15</v>
      </c>
      <c r="G136" s="1" t="s">
        <v>16</v>
      </c>
      <c r="H136">
        <v>244</v>
      </c>
      <c r="I136">
        <v>58</v>
      </c>
      <c r="J136">
        <v>768</v>
      </c>
      <c r="K136" s="1" t="s">
        <v>137</v>
      </c>
      <c r="L136" s="1" t="s">
        <v>18</v>
      </c>
      <c r="M136" s="1" t="s">
        <v>319</v>
      </c>
      <c r="N136" s="1" t="s">
        <v>342</v>
      </c>
    </row>
    <row r="137" spans="1:14" x14ac:dyDescent="0.35">
      <c r="A137">
        <v>5171220</v>
      </c>
      <c r="B137" s="1" t="s">
        <v>218</v>
      </c>
      <c r="C137">
        <v>4488.2</v>
      </c>
      <c r="D137">
        <v>804</v>
      </c>
      <c r="E137" s="1" t="s">
        <v>343</v>
      </c>
      <c r="F137" s="1" t="s">
        <v>15</v>
      </c>
      <c r="G137" s="1" t="s">
        <v>16</v>
      </c>
      <c r="H137">
        <v>238</v>
      </c>
      <c r="I137">
        <v>72</v>
      </c>
      <c r="J137">
        <v>126</v>
      </c>
      <c r="K137" s="1" t="s">
        <v>124</v>
      </c>
      <c r="L137" s="1" t="s">
        <v>24</v>
      </c>
      <c r="M137" s="1" t="s">
        <v>319</v>
      </c>
      <c r="N137" s="1" t="s">
        <v>344</v>
      </c>
    </row>
    <row r="138" spans="1:14" x14ac:dyDescent="0.35">
      <c r="A138">
        <v>5171133</v>
      </c>
      <c r="B138" s="1" t="s">
        <v>218</v>
      </c>
      <c r="C138">
        <v>4488.2</v>
      </c>
      <c r="D138">
        <v>804</v>
      </c>
      <c r="E138" s="1" t="s">
        <v>345</v>
      </c>
      <c r="F138" s="1" t="s">
        <v>15</v>
      </c>
      <c r="G138" s="1" t="s">
        <v>32</v>
      </c>
      <c r="H138">
        <v>100</v>
      </c>
      <c r="I138">
        <v>70</v>
      </c>
      <c r="J138">
        <v>387</v>
      </c>
      <c r="K138" s="1" t="s">
        <v>84</v>
      </c>
      <c r="L138" s="1" t="s">
        <v>24</v>
      </c>
      <c r="M138" s="1" t="s">
        <v>319</v>
      </c>
      <c r="N138" s="1" t="s">
        <v>346</v>
      </c>
    </row>
    <row r="139" spans="1:14" x14ac:dyDescent="0.35">
      <c r="A139">
        <v>5171031</v>
      </c>
      <c r="B139" s="1" t="s">
        <v>218</v>
      </c>
      <c r="C139">
        <v>4488.2</v>
      </c>
      <c r="D139">
        <v>804</v>
      </c>
      <c r="E139" s="1" t="s">
        <v>347</v>
      </c>
      <c r="F139" s="1" t="s">
        <v>15</v>
      </c>
      <c r="G139" s="1" t="s">
        <v>32</v>
      </c>
      <c r="H139">
        <v>157</v>
      </c>
      <c r="I139">
        <v>58</v>
      </c>
      <c r="J139">
        <v>552</v>
      </c>
      <c r="K139" s="1" t="s">
        <v>27</v>
      </c>
      <c r="L139" s="1" t="s">
        <v>120</v>
      </c>
      <c r="M139" s="1" t="s">
        <v>319</v>
      </c>
      <c r="N139" s="1" t="s">
        <v>348</v>
      </c>
    </row>
    <row r="140" spans="1:14" x14ac:dyDescent="0.35">
      <c r="A140">
        <v>5171111</v>
      </c>
      <c r="B140" s="1" t="s">
        <v>218</v>
      </c>
      <c r="C140">
        <v>4488.2</v>
      </c>
      <c r="D140">
        <v>804</v>
      </c>
      <c r="E140" s="1" t="s">
        <v>349</v>
      </c>
      <c r="F140" s="1" t="s">
        <v>15</v>
      </c>
      <c r="G140" s="1" t="s">
        <v>32</v>
      </c>
      <c r="H140">
        <v>100</v>
      </c>
      <c r="I140">
        <v>51</v>
      </c>
      <c r="J140">
        <v>234</v>
      </c>
      <c r="K140" s="1" t="s">
        <v>84</v>
      </c>
      <c r="L140" s="1" t="s">
        <v>24</v>
      </c>
      <c r="M140" s="1" t="s">
        <v>319</v>
      </c>
      <c r="N140" s="1" t="s">
        <v>350</v>
      </c>
    </row>
    <row r="141" spans="1:14" x14ac:dyDescent="0.35">
      <c r="A141">
        <v>5171086</v>
      </c>
      <c r="B141" s="1" t="s">
        <v>218</v>
      </c>
      <c r="C141">
        <v>4488.2</v>
      </c>
      <c r="D141">
        <v>804</v>
      </c>
      <c r="E141" s="1" t="s">
        <v>351</v>
      </c>
      <c r="F141" s="1" t="s">
        <v>15</v>
      </c>
      <c r="G141" s="1" t="s">
        <v>32</v>
      </c>
      <c r="H141">
        <v>125</v>
      </c>
      <c r="I141">
        <v>45</v>
      </c>
      <c r="J141">
        <v>349</v>
      </c>
      <c r="K141" s="1" t="s">
        <v>84</v>
      </c>
      <c r="L141" s="1" t="s">
        <v>24</v>
      </c>
      <c r="M141" s="1" t="s">
        <v>319</v>
      </c>
      <c r="N141" s="1" t="s">
        <v>352</v>
      </c>
    </row>
    <row r="142" spans="1:14" x14ac:dyDescent="0.35">
      <c r="A142">
        <v>5171203</v>
      </c>
      <c r="B142" s="1" t="s">
        <v>218</v>
      </c>
      <c r="C142">
        <v>4488.2</v>
      </c>
      <c r="D142">
        <v>804</v>
      </c>
      <c r="E142" s="1" t="s">
        <v>353</v>
      </c>
      <c r="F142" s="1" t="s">
        <v>15</v>
      </c>
      <c r="G142" s="1" t="s">
        <v>32</v>
      </c>
      <c r="H142">
        <v>176</v>
      </c>
      <c r="I142">
        <v>114</v>
      </c>
      <c r="J142">
        <v>589</v>
      </c>
      <c r="K142" s="1" t="s">
        <v>23</v>
      </c>
      <c r="L142" s="1" t="s">
        <v>24</v>
      </c>
      <c r="M142" s="1" t="s">
        <v>319</v>
      </c>
      <c r="N142" s="1" t="s">
        <v>354</v>
      </c>
    </row>
    <row r="143" spans="1:14" x14ac:dyDescent="0.35">
      <c r="A143">
        <v>5171216</v>
      </c>
      <c r="B143" s="1" t="s">
        <v>218</v>
      </c>
      <c r="C143">
        <v>4488.2</v>
      </c>
      <c r="D143">
        <v>804</v>
      </c>
      <c r="E143" s="1" t="s">
        <v>355</v>
      </c>
      <c r="F143" s="1" t="s">
        <v>15</v>
      </c>
      <c r="G143" s="1" t="s">
        <v>32</v>
      </c>
      <c r="H143">
        <v>102</v>
      </c>
      <c r="I143">
        <v>104</v>
      </c>
      <c r="J143">
        <v>313</v>
      </c>
      <c r="K143" s="1" t="s">
        <v>146</v>
      </c>
      <c r="L143" s="1" t="s">
        <v>120</v>
      </c>
      <c r="M143" s="1" t="s">
        <v>319</v>
      </c>
      <c r="N143" s="1" t="s">
        <v>356</v>
      </c>
    </row>
    <row r="144" spans="1:14" x14ac:dyDescent="0.35">
      <c r="A144">
        <v>5171122</v>
      </c>
      <c r="B144" s="1" t="s">
        <v>218</v>
      </c>
      <c r="C144">
        <v>4488.2</v>
      </c>
      <c r="D144">
        <v>804</v>
      </c>
      <c r="E144" s="1" t="s">
        <v>357</v>
      </c>
      <c r="F144" s="1" t="s">
        <v>15</v>
      </c>
      <c r="G144" s="1" t="s">
        <v>32</v>
      </c>
      <c r="H144">
        <v>108</v>
      </c>
      <c r="I144">
        <v>95</v>
      </c>
      <c r="J144">
        <v>210</v>
      </c>
      <c r="K144" s="1" t="s">
        <v>260</v>
      </c>
      <c r="L144" s="1" t="s">
        <v>24</v>
      </c>
      <c r="M144" s="1" t="s">
        <v>319</v>
      </c>
      <c r="N144" s="1" t="s">
        <v>358</v>
      </c>
    </row>
    <row r="145" spans="1:14" x14ac:dyDescent="0.35">
      <c r="A145">
        <v>5171097</v>
      </c>
      <c r="B145" s="1" t="s">
        <v>218</v>
      </c>
      <c r="C145">
        <v>4488.2</v>
      </c>
      <c r="D145">
        <v>804</v>
      </c>
      <c r="E145" s="1" t="s">
        <v>359</v>
      </c>
      <c r="F145" s="1" t="s">
        <v>15</v>
      </c>
      <c r="G145" s="1" t="s">
        <v>32</v>
      </c>
      <c r="H145">
        <v>110</v>
      </c>
      <c r="I145">
        <v>43</v>
      </c>
      <c r="J145">
        <v>524</v>
      </c>
      <c r="K145" s="1" t="s">
        <v>90</v>
      </c>
      <c r="L145" s="1" t="s">
        <v>24</v>
      </c>
      <c r="M145" s="1" t="s">
        <v>319</v>
      </c>
      <c r="N145" s="1" t="s">
        <v>360</v>
      </c>
    </row>
    <row r="146" spans="1:14" x14ac:dyDescent="0.35">
      <c r="A146">
        <v>5171053</v>
      </c>
      <c r="B146" s="1" t="s">
        <v>218</v>
      </c>
      <c r="C146">
        <v>4488.2</v>
      </c>
      <c r="D146">
        <v>804</v>
      </c>
      <c r="E146" s="1" t="s">
        <v>361</v>
      </c>
      <c r="F146" s="1" t="s">
        <v>15</v>
      </c>
      <c r="G146" s="1" t="s">
        <v>32</v>
      </c>
      <c r="H146">
        <v>77</v>
      </c>
      <c r="I146">
        <v>27</v>
      </c>
      <c r="J146">
        <v>73</v>
      </c>
      <c r="K146" s="1" t="s">
        <v>84</v>
      </c>
      <c r="L146" s="1" t="s">
        <v>24</v>
      </c>
      <c r="M146" s="1" t="s">
        <v>319</v>
      </c>
      <c r="N146" s="1" t="s">
        <v>362</v>
      </c>
    </row>
    <row r="147" spans="1:14" x14ac:dyDescent="0.35">
      <c r="A147">
        <v>5171192</v>
      </c>
      <c r="B147" s="1" t="s">
        <v>218</v>
      </c>
      <c r="C147">
        <v>4488.2</v>
      </c>
      <c r="D147">
        <v>804</v>
      </c>
      <c r="E147" s="1" t="s">
        <v>363</v>
      </c>
      <c r="F147" s="1" t="s">
        <v>15</v>
      </c>
      <c r="G147" s="1" t="s">
        <v>32</v>
      </c>
      <c r="H147">
        <v>150</v>
      </c>
      <c r="I147">
        <v>46</v>
      </c>
      <c r="J147">
        <v>683</v>
      </c>
      <c r="K147" s="1" t="s">
        <v>23</v>
      </c>
      <c r="L147" s="1" t="s">
        <v>24</v>
      </c>
      <c r="M147" s="1" t="s">
        <v>319</v>
      </c>
      <c r="N147" s="1" t="s">
        <v>364</v>
      </c>
    </row>
    <row r="148" spans="1:14" x14ac:dyDescent="0.35">
      <c r="A148">
        <v>5171217</v>
      </c>
      <c r="B148" s="1" t="s">
        <v>218</v>
      </c>
      <c r="C148">
        <v>4488.2</v>
      </c>
      <c r="D148">
        <v>804</v>
      </c>
      <c r="E148" s="1" t="s">
        <v>351</v>
      </c>
      <c r="F148" s="1" t="s">
        <v>15</v>
      </c>
      <c r="G148" s="1" t="s">
        <v>22</v>
      </c>
      <c r="H148">
        <v>104</v>
      </c>
      <c r="I148">
        <v>32</v>
      </c>
      <c r="J148">
        <v>138</v>
      </c>
      <c r="K148" s="1" t="s">
        <v>84</v>
      </c>
      <c r="L148" s="1" t="s">
        <v>24</v>
      </c>
      <c r="M148" s="1" t="s">
        <v>319</v>
      </c>
      <c r="N148" s="1" t="s">
        <v>365</v>
      </c>
    </row>
    <row r="149" spans="1:14" x14ac:dyDescent="0.35">
      <c r="A149">
        <v>5171155</v>
      </c>
      <c r="B149" s="1" t="s">
        <v>218</v>
      </c>
      <c r="C149">
        <v>4488.2</v>
      </c>
      <c r="D149">
        <v>804</v>
      </c>
      <c r="E149" s="1" t="s">
        <v>366</v>
      </c>
      <c r="F149" s="1" t="s">
        <v>15</v>
      </c>
      <c r="G149" s="1" t="s">
        <v>22</v>
      </c>
      <c r="H149">
        <v>58</v>
      </c>
      <c r="I149">
        <v>33</v>
      </c>
      <c r="J149">
        <v>153</v>
      </c>
      <c r="K149" s="1" t="s">
        <v>84</v>
      </c>
      <c r="L149" s="1" t="s">
        <v>24</v>
      </c>
      <c r="M149" s="1" t="s">
        <v>319</v>
      </c>
      <c r="N149" s="1" t="s">
        <v>367</v>
      </c>
    </row>
    <row r="150" spans="1:14" x14ac:dyDescent="0.35">
      <c r="A150">
        <v>5102051</v>
      </c>
      <c r="B150" s="1" t="s">
        <v>218</v>
      </c>
      <c r="C150">
        <v>4488.2</v>
      </c>
      <c r="D150">
        <v>804</v>
      </c>
      <c r="E150" s="1" t="s">
        <v>368</v>
      </c>
      <c r="F150" s="1" t="s">
        <v>71</v>
      </c>
      <c r="G150" s="1" t="s">
        <v>32</v>
      </c>
      <c r="H150">
        <v>45</v>
      </c>
      <c r="I150">
        <v>41</v>
      </c>
      <c r="J150">
        <v>61</v>
      </c>
      <c r="K150" s="1" t="s">
        <v>23</v>
      </c>
      <c r="L150" s="1" t="s">
        <v>24</v>
      </c>
      <c r="M150" s="1" t="s">
        <v>369</v>
      </c>
      <c r="N150" s="1" t="s">
        <v>370</v>
      </c>
    </row>
    <row r="151" spans="1:14" x14ac:dyDescent="0.35">
      <c r="A151">
        <v>5102052</v>
      </c>
      <c r="B151" s="1" t="s">
        <v>218</v>
      </c>
      <c r="C151">
        <v>4488.2</v>
      </c>
      <c r="D151">
        <v>804</v>
      </c>
      <c r="E151" s="1" t="s">
        <v>371</v>
      </c>
      <c r="F151" s="1" t="s">
        <v>71</v>
      </c>
      <c r="G151" s="1" t="s">
        <v>32</v>
      </c>
      <c r="H151">
        <v>45</v>
      </c>
      <c r="I151">
        <v>20</v>
      </c>
      <c r="J151">
        <v>85</v>
      </c>
      <c r="K151" s="1" t="s">
        <v>90</v>
      </c>
      <c r="L151" s="1" t="s">
        <v>24</v>
      </c>
      <c r="M151" s="1" t="s">
        <v>369</v>
      </c>
      <c r="N151" s="1" t="s">
        <v>372</v>
      </c>
    </row>
    <row r="152" spans="1:14" x14ac:dyDescent="0.35">
      <c r="A152">
        <v>5102010</v>
      </c>
      <c r="B152" s="1" t="s">
        <v>218</v>
      </c>
      <c r="C152">
        <v>4488.2</v>
      </c>
      <c r="D152">
        <v>804</v>
      </c>
      <c r="E152" s="1" t="s">
        <v>373</v>
      </c>
      <c r="F152" s="1" t="s">
        <v>15</v>
      </c>
      <c r="G152" s="1" t="s">
        <v>16</v>
      </c>
      <c r="H152">
        <v>202</v>
      </c>
      <c r="I152">
        <v>122</v>
      </c>
      <c r="J152">
        <v>1037</v>
      </c>
      <c r="K152" s="1" t="s">
        <v>17</v>
      </c>
      <c r="L152" s="1" t="s">
        <v>18</v>
      </c>
      <c r="M152" s="1" t="s">
        <v>369</v>
      </c>
      <c r="N152" s="1" t="s">
        <v>374</v>
      </c>
    </row>
    <row r="153" spans="1:14" x14ac:dyDescent="0.35">
      <c r="A153">
        <v>5102044</v>
      </c>
      <c r="B153" s="1" t="s">
        <v>218</v>
      </c>
      <c r="C153">
        <v>4488.2</v>
      </c>
      <c r="D153">
        <v>804</v>
      </c>
      <c r="E153" s="1" t="s">
        <v>375</v>
      </c>
      <c r="F153" s="1" t="s">
        <v>15</v>
      </c>
      <c r="G153" s="1" t="s">
        <v>32</v>
      </c>
      <c r="H153">
        <v>106</v>
      </c>
      <c r="I153">
        <v>55</v>
      </c>
      <c r="J153">
        <v>144</v>
      </c>
      <c r="K153" s="1" t="s">
        <v>23</v>
      </c>
      <c r="L153" s="1" t="s">
        <v>24</v>
      </c>
      <c r="M153" s="1" t="s">
        <v>369</v>
      </c>
      <c r="N153" s="1" t="s">
        <v>376</v>
      </c>
    </row>
    <row r="154" spans="1:14" x14ac:dyDescent="0.35">
      <c r="A154">
        <v>5102049</v>
      </c>
      <c r="B154" s="1" t="s">
        <v>218</v>
      </c>
      <c r="C154">
        <v>4488.2</v>
      </c>
      <c r="D154">
        <v>804</v>
      </c>
      <c r="E154" s="1" t="s">
        <v>377</v>
      </c>
      <c r="F154" s="1" t="s">
        <v>15</v>
      </c>
      <c r="G154" s="1" t="s">
        <v>32</v>
      </c>
      <c r="H154">
        <v>104</v>
      </c>
      <c r="I154">
        <v>23</v>
      </c>
      <c r="J154">
        <v>104</v>
      </c>
      <c r="K154" s="1" t="s">
        <v>90</v>
      </c>
      <c r="L154" s="1" t="s">
        <v>24</v>
      </c>
      <c r="M154" s="1" t="s">
        <v>369</v>
      </c>
      <c r="N154" s="1" t="s">
        <v>378</v>
      </c>
    </row>
    <row r="155" spans="1:14" x14ac:dyDescent="0.35">
      <c r="A155">
        <v>5102047</v>
      </c>
      <c r="B155" s="1" t="s">
        <v>218</v>
      </c>
      <c r="C155">
        <v>4488.2</v>
      </c>
      <c r="D155">
        <v>804</v>
      </c>
      <c r="E155" s="1" t="s">
        <v>379</v>
      </c>
      <c r="F155" s="1" t="s">
        <v>15</v>
      </c>
      <c r="G155" s="1" t="s">
        <v>32</v>
      </c>
      <c r="H155">
        <v>102</v>
      </c>
      <c r="I155">
        <v>43</v>
      </c>
      <c r="J155">
        <v>177</v>
      </c>
      <c r="K155" s="1" t="s">
        <v>17</v>
      </c>
      <c r="L155" s="1" t="s">
        <v>120</v>
      </c>
      <c r="M155" s="1" t="s">
        <v>369</v>
      </c>
      <c r="N155" s="1" t="s">
        <v>380</v>
      </c>
    </row>
    <row r="156" spans="1:14" x14ac:dyDescent="0.35">
      <c r="A156">
        <v>5102046</v>
      </c>
      <c r="B156" s="1" t="s">
        <v>218</v>
      </c>
      <c r="C156">
        <v>4488.2</v>
      </c>
      <c r="D156">
        <v>804</v>
      </c>
      <c r="E156" s="1" t="s">
        <v>381</v>
      </c>
      <c r="F156" s="1" t="s">
        <v>15</v>
      </c>
      <c r="G156" s="1" t="s">
        <v>32</v>
      </c>
      <c r="H156">
        <v>102</v>
      </c>
      <c r="I156">
        <v>51</v>
      </c>
      <c r="J156">
        <v>248</v>
      </c>
      <c r="K156" s="1" t="s">
        <v>90</v>
      </c>
      <c r="L156" s="1" t="s">
        <v>24</v>
      </c>
      <c r="M156" s="1" t="s">
        <v>369</v>
      </c>
      <c r="N156" s="1" t="s">
        <v>382</v>
      </c>
    </row>
    <row r="157" spans="1:14" x14ac:dyDescent="0.35">
      <c r="A157">
        <v>5102043</v>
      </c>
      <c r="B157" s="1" t="s">
        <v>218</v>
      </c>
      <c r="C157">
        <v>4488.2</v>
      </c>
      <c r="D157">
        <v>804</v>
      </c>
      <c r="E157" s="1" t="s">
        <v>383</v>
      </c>
      <c r="F157" s="1" t="s">
        <v>15</v>
      </c>
      <c r="G157" s="1" t="s">
        <v>22</v>
      </c>
      <c r="H157">
        <v>50</v>
      </c>
      <c r="I157">
        <v>19</v>
      </c>
      <c r="J157">
        <v>85</v>
      </c>
      <c r="K157" s="1" t="s">
        <v>23</v>
      </c>
      <c r="L157" s="1" t="s">
        <v>24</v>
      </c>
      <c r="M157" s="1" t="s">
        <v>369</v>
      </c>
      <c r="N157" s="1" t="s">
        <v>384</v>
      </c>
    </row>
    <row r="158" spans="1:14" x14ac:dyDescent="0.35">
      <c r="A158">
        <v>5102048</v>
      </c>
      <c r="B158" s="1" t="s">
        <v>218</v>
      </c>
      <c r="C158">
        <v>4488.2</v>
      </c>
      <c r="D158">
        <v>804</v>
      </c>
      <c r="E158" s="1" t="s">
        <v>385</v>
      </c>
      <c r="F158" s="1" t="s">
        <v>15</v>
      </c>
      <c r="G158" s="1" t="s">
        <v>22</v>
      </c>
      <c r="H158">
        <v>54</v>
      </c>
      <c r="I158">
        <v>17</v>
      </c>
      <c r="J158">
        <v>40</v>
      </c>
      <c r="K158" s="1" t="s">
        <v>23</v>
      </c>
      <c r="L158" s="1" t="s">
        <v>24</v>
      </c>
      <c r="M158" s="1" t="s">
        <v>369</v>
      </c>
      <c r="N158" s="1" t="s">
        <v>386</v>
      </c>
    </row>
    <row r="159" spans="1:14" x14ac:dyDescent="0.35">
      <c r="A159">
        <v>5102021</v>
      </c>
      <c r="B159" s="1" t="s">
        <v>218</v>
      </c>
      <c r="C159">
        <v>4488.2</v>
      </c>
      <c r="D159">
        <v>804</v>
      </c>
      <c r="E159" s="1" t="s">
        <v>387</v>
      </c>
      <c r="F159" s="1" t="s">
        <v>15</v>
      </c>
      <c r="G159" s="1" t="s">
        <v>22</v>
      </c>
      <c r="H159">
        <v>50</v>
      </c>
      <c r="I159">
        <v>30</v>
      </c>
      <c r="J159">
        <v>167</v>
      </c>
      <c r="K159" s="1" t="s">
        <v>23</v>
      </c>
      <c r="L159" s="1" t="s">
        <v>24</v>
      </c>
      <c r="M159" s="1" t="s">
        <v>369</v>
      </c>
      <c r="N159" s="1" t="s">
        <v>388</v>
      </c>
    </row>
    <row r="160" spans="1:14" x14ac:dyDescent="0.35">
      <c r="A160">
        <v>3672003</v>
      </c>
      <c r="B160" s="1" t="s">
        <v>389</v>
      </c>
      <c r="C160">
        <v>12641.3</v>
      </c>
      <c r="D160">
        <v>1351</v>
      </c>
      <c r="E160" s="1" t="s">
        <v>390</v>
      </c>
      <c r="F160" s="1" t="s">
        <v>71</v>
      </c>
      <c r="G160" s="1" t="s">
        <v>32</v>
      </c>
      <c r="H160">
        <v>30</v>
      </c>
      <c r="I160">
        <v>29</v>
      </c>
      <c r="K160" s="1" t="s">
        <v>90</v>
      </c>
      <c r="L160" s="1" t="s">
        <v>24</v>
      </c>
      <c r="M160" s="1" t="s">
        <v>391</v>
      </c>
      <c r="N160" s="1" t="s">
        <v>392</v>
      </c>
    </row>
    <row r="161" spans="1:14" x14ac:dyDescent="0.35">
      <c r="A161">
        <v>3672022</v>
      </c>
      <c r="B161" s="1" t="s">
        <v>389</v>
      </c>
      <c r="C161">
        <v>12641.3</v>
      </c>
      <c r="D161">
        <v>1351</v>
      </c>
      <c r="E161" s="1" t="s">
        <v>393</v>
      </c>
      <c r="F161" s="1" t="s">
        <v>15</v>
      </c>
      <c r="G161" s="1" t="s">
        <v>16</v>
      </c>
      <c r="H161">
        <v>233</v>
      </c>
      <c r="I161">
        <v>92</v>
      </c>
      <c r="J161">
        <v>489</v>
      </c>
      <c r="K161" s="1" t="s">
        <v>137</v>
      </c>
      <c r="L161" s="1" t="s">
        <v>18</v>
      </c>
      <c r="M161" s="1" t="s">
        <v>391</v>
      </c>
      <c r="N161" s="1" t="s">
        <v>394</v>
      </c>
    </row>
    <row r="162" spans="1:14" x14ac:dyDescent="0.35">
      <c r="A162">
        <v>3672011</v>
      </c>
      <c r="B162" s="1" t="s">
        <v>389</v>
      </c>
      <c r="C162">
        <v>12641.3</v>
      </c>
      <c r="D162">
        <v>1351</v>
      </c>
      <c r="E162" s="1" t="s">
        <v>395</v>
      </c>
      <c r="F162" s="1" t="s">
        <v>15</v>
      </c>
      <c r="G162" s="1" t="s">
        <v>16</v>
      </c>
      <c r="H162">
        <v>230</v>
      </c>
      <c r="I162">
        <v>125</v>
      </c>
      <c r="J162">
        <v>335</v>
      </c>
      <c r="K162" s="1" t="s">
        <v>61</v>
      </c>
      <c r="L162" s="1" t="s">
        <v>24</v>
      </c>
      <c r="M162" s="1" t="s">
        <v>391</v>
      </c>
      <c r="N162" s="1" t="s">
        <v>396</v>
      </c>
    </row>
    <row r="163" spans="1:14" x14ac:dyDescent="0.35">
      <c r="A163">
        <v>3672052</v>
      </c>
      <c r="B163" s="1" t="s">
        <v>389</v>
      </c>
      <c r="C163">
        <v>12641.3</v>
      </c>
      <c r="D163">
        <v>1351</v>
      </c>
      <c r="E163" s="1" t="s">
        <v>397</v>
      </c>
      <c r="F163" s="1" t="s">
        <v>15</v>
      </c>
      <c r="G163" s="1" t="s">
        <v>32</v>
      </c>
      <c r="H163">
        <v>115</v>
      </c>
      <c r="I163">
        <v>60</v>
      </c>
      <c r="K163" s="1" t="s">
        <v>23</v>
      </c>
      <c r="L163" s="1" t="s">
        <v>24</v>
      </c>
      <c r="M163" s="1" t="s">
        <v>391</v>
      </c>
      <c r="N163" s="1" t="s">
        <v>398</v>
      </c>
    </row>
    <row r="164" spans="1:14" x14ac:dyDescent="0.35">
      <c r="A164">
        <v>3672034</v>
      </c>
      <c r="B164" s="1" t="s">
        <v>389</v>
      </c>
      <c r="C164">
        <v>12641.3</v>
      </c>
      <c r="D164">
        <v>1351</v>
      </c>
      <c r="E164" s="1" t="s">
        <v>399</v>
      </c>
      <c r="F164" s="1" t="s">
        <v>15</v>
      </c>
      <c r="G164" s="1" t="s">
        <v>32</v>
      </c>
      <c r="H164">
        <v>120</v>
      </c>
      <c r="I164">
        <v>32</v>
      </c>
      <c r="J164">
        <v>219</v>
      </c>
      <c r="K164" s="1" t="s">
        <v>23</v>
      </c>
      <c r="L164" s="1" t="s">
        <v>24</v>
      </c>
      <c r="M164" s="1" t="s">
        <v>391</v>
      </c>
      <c r="N164" s="1" t="s">
        <v>400</v>
      </c>
    </row>
    <row r="165" spans="1:14" x14ac:dyDescent="0.35">
      <c r="A165">
        <v>3672040</v>
      </c>
      <c r="B165" s="1" t="s">
        <v>389</v>
      </c>
      <c r="C165">
        <v>12641.3</v>
      </c>
      <c r="D165">
        <v>1351</v>
      </c>
      <c r="E165" s="1" t="s">
        <v>401</v>
      </c>
      <c r="F165" s="1" t="s">
        <v>15</v>
      </c>
      <c r="G165" s="1" t="s">
        <v>22</v>
      </c>
      <c r="H165">
        <v>55</v>
      </c>
      <c r="I165">
        <v>25</v>
      </c>
      <c r="J165">
        <v>113</v>
      </c>
      <c r="K165" s="1" t="s">
        <v>23</v>
      </c>
      <c r="L165" s="1" t="s">
        <v>24</v>
      </c>
      <c r="M165" s="1" t="s">
        <v>391</v>
      </c>
      <c r="N165" s="1" t="s">
        <v>402</v>
      </c>
    </row>
    <row r="166" spans="1:14" x14ac:dyDescent="0.35">
      <c r="A166">
        <v>3673035</v>
      </c>
      <c r="B166" s="1" t="s">
        <v>389</v>
      </c>
      <c r="C166">
        <v>12641.3</v>
      </c>
      <c r="D166">
        <v>1351</v>
      </c>
      <c r="E166" s="1" t="s">
        <v>403</v>
      </c>
      <c r="F166" s="1" t="s">
        <v>71</v>
      </c>
      <c r="G166" s="1" t="s">
        <v>32</v>
      </c>
      <c r="H166">
        <v>37</v>
      </c>
      <c r="I166">
        <v>13</v>
      </c>
      <c r="J166">
        <v>62</v>
      </c>
      <c r="K166" s="1" t="s">
        <v>90</v>
      </c>
      <c r="L166" s="1" t="s">
        <v>24</v>
      </c>
      <c r="M166" s="1" t="s">
        <v>404</v>
      </c>
      <c r="N166" s="1" t="s">
        <v>405</v>
      </c>
    </row>
    <row r="167" spans="1:14" x14ac:dyDescent="0.35">
      <c r="A167">
        <v>3673011</v>
      </c>
      <c r="B167" s="1" t="s">
        <v>389</v>
      </c>
      <c r="C167">
        <v>12641.3</v>
      </c>
      <c r="D167">
        <v>1351</v>
      </c>
      <c r="E167" s="1" t="s">
        <v>406</v>
      </c>
      <c r="F167" s="1" t="s">
        <v>334</v>
      </c>
      <c r="G167" s="1" t="s">
        <v>32</v>
      </c>
      <c r="H167">
        <v>21</v>
      </c>
      <c r="I167">
        <v>23</v>
      </c>
      <c r="J167">
        <v>43</v>
      </c>
      <c r="K167" s="1" t="s">
        <v>23</v>
      </c>
      <c r="L167" s="1" t="s">
        <v>24</v>
      </c>
      <c r="M167" s="1" t="s">
        <v>404</v>
      </c>
      <c r="N167" s="1" t="s">
        <v>407</v>
      </c>
    </row>
    <row r="168" spans="1:14" x14ac:dyDescent="0.35">
      <c r="A168">
        <v>3673036</v>
      </c>
      <c r="B168" s="1" t="s">
        <v>389</v>
      </c>
      <c r="C168">
        <v>12641.3</v>
      </c>
      <c r="D168">
        <v>1351</v>
      </c>
      <c r="E168" s="1" t="s">
        <v>408</v>
      </c>
      <c r="F168" s="1" t="s">
        <v>15</v>
      </c>
      <c r="G168" s="1" t="s">
        <v>16</v>
      </c>
      <c r="H168">
        <v>226</v>
      </c>
      <c r="I168">
        <v>70</v>
      </c>
      <c r="J168">
        <v>442</v>
      </c>
      <c r="K168" s="1" t="s">
        <v>90</v>
      </c>
      <c r="L168" s="1" t="s">
        <v>24</v>
      </c>
      <c r="M168" s="1" t="s">
        <v>404</v>
      </c>
      <c r="N168" s="1" t="s">
        <v>409</v>
      </c>
    </row>
    <row r="169" spans="1:14" x14ac:dyDescent="0.35">
      <c r="A169">
        <v>3673004</v>
      </c>
      <c r="B169" s="1" t="s">
        <v>389</v>
      </c>
      <c r="C169">
        <v>12641.3</v>
      </c>
      <c r="D169">
        <v>1351</v>
      </c>
      <c r="E169" s="1" t="s">
        <v>410</v>
      </c>
      <c r="F169" s="1" t="s">
        <v>15</v>
      </c>
      <c r="G169" s="1" t="s">
        <v>16</v>
      </c>
      <c r="H169">
        <v>501</v>
      </c>
      <c r="I169">
        <v>83</v>
      </c>
      <c r="J169">
        <v>346</v>
      </c>
      <c r="K169" s="1" t="s">
        <v>124</v>
      </c>
      <c r="L169" s="1" t="s">
        <v>18</v>
      </c>
      <c r="M169" s="1" t="s">
        <v>404</v>
      </c>
      <c r="N169" s="1" t="s">
        <v>411</v>
      </c>
    </row>
    <row r="170" spans="1:14" x14ac:dyDescent="0.35">
      <c r="A170">
        <v>3604035</v>
      </c>
      <c r="B170" s="1" t="s">
        <v>389</v>
      </c>
      <c r="C170">
        <v>12641.3</v>
      </c>
      <c r="D170">
        <v>1351</v>
      </c>
      <c r="E170" s="1" t="s">
        <v>412</v>
      </c>
      <c r="F170" s="1" t="s">
        <v>15</v>
      </c>
      <c r="G170" s="1" t="s">
        <v>32</v>
      </c>
      <c r="H170">
        <v>112</v>
      </c>
      <c r="I170">
        <v>41</v>
      </c>
      <c r="J170">
        <v>301</v>
      </c>
      <c r="K170" s="1" t="s">
        <v>23</v>
      </c>
      <c r="L170" s="1" t="s">
        <v>24</v>
      </c>
      <c r="M170" s="1" t="s">
        <v>404</v>
      </c>
      <c r="N170" s="1" t="s">
        <v>413</v>
      </c>
    </row>
    <row r="171" spans="1:14" x14ac:dyDescent="0.35">
      <c r="A171">
        <v>3673012</v>
      </c>
      <c r="B171" s="1" t="s">
        <v>389</v>
      </c>
      <c r="C171">
        <v>12641.3</v>
      </c>
      <c r="D171">
        <v>1351</v>
      </c>
      <c r="E171" s="1" t="s">
        <v>414</v>
      </c>
      <c r="F171" s="1" t="s">
        <v>15</v>
      </c>
      <c r="G171" s="1" t="s">
        <v>32</v>
      </c>
      <c r="H171">
        <v>128</v>
      </c>
      <c r="I171">
        <v>11</v>
      </c>
      <c r="J171">
        <v>153</v>
      </c>
      <c r="K171" s="1" t="s">
        <v>137</v>
      </c>
      <c r="L171" s="1" t="s">
        <v>18</v>
      </c>
      <c r="M171" s="1" t="s">
        <v>404</v>
      </c>
      <c r="N171" s="1" t="s">
        <v>415</v>
      </c>
    </row>
    <row r="172" spans="1:14" x14ac:dyDescent="0.35">
      <c r="A172">
        <v>3604024</v>
      </c>
      <c r="B172" s="1" t="s">
        <v>389</v>
      </c>
      <c r="C172">
        <v>12641.3</v>
      </c>
      <c r="D172">
        <v>1351</v>
      </c>
      <c r="E172" s="1" t="s">
        <v>416</v>
      </c>
      <c r="F172" s="1" t="s">
        <v>15</v>
      </c>
      <c r="G172" s="1" t="s">
        <v>32</v>
      </c>
      <c r="H172">
        <v>113</v>
      </c>
      <c r="I172">
        <v>32</v>
      </c>
      <c r="J172">
        <v>106</v>
      </c>
      <c r="K172" s="1" t="s">
        <v>27</v>
      </c>
      <c r="L172" s="1" t="s">
        <v>24</v>
      </c>
      <c r="M172" s="1" t="s">
        <v>404</v>
      </c>
      <c r="N172" s="1" t="s">
        <v>417</v>
      </c>
    </row>
    <row r="173" spans="1:14" x14ac:dyDescent="0.35">
      <c r="A173">
        <v>3604053</v>
      </c>
      <c r="B173" s="1" t="s">
        <v>389</v>
      </c>
      <c r="C173">
        <v>12641.3</v>
      </c>
      <c r="D173">
        <v>1351</v>
      </c>
      <c r="E173" s="1" t="s">
        <v>418</v>
      </c>
      <c r="F173" s="1" t="s">
        <v>15</v>
      </c>
      <c r="G173" s="1" t="s">
        <v>32</v>
      </c>
      <c r="H173">
        <v>104</v>
      </c>
      <c r="I173">
        <v>23</v>
      </c>
      <c r="J173">
        <v>93</v>
      </c>
      <c r="K173" s="1" t="s">
        <v>146</v>
      </c>
      <c r="L173" s="1" t="s">
        <v>24</v>
      </c>
      <c r="M173" s="1" t="s">
        <v>404</v>
      </c>
      <c r="N173" s="1" t="s">
        <v>419</v>
      </c>
    </row>
    <row r="174" spans="1:14" x14ac:dyDescent="0.35">
      <c r="A174">
        <v>3673048</v>
      </c>
      <c r="B174" s="1" t="s">
        <v>389</v>
      </c>
      <c r="C174">
        <v>12641.3</v>
      </c>
      <c r="D174">
        <v>1351</v>
      </c>
      <c r="E174" s="1" t="s">
        <v>420</v>
      </c>
      <c r="F174" s="1" t="s">
        <v>15</v>
      </c>
      <c r="G174" s="1" t="s">
        <v>32</v>
      </c>
      <c r="H174">
        <v>162</v>
      </c>
      <c r="I174">
        <v>34</v>
      </c>
      <c r="K174" s="1" t="s">
        <v>23</v>
      </c>
      <c r="L174" s="1" t="s">
        <v>24</v>
      </c>
      <c r="M174" s="1" t="s">
        <v>404</v>
      </c>
      <c r="N174" s="1" t="s">
        <v>421</v>
      </c>
    </row>
    <row r="175" spans="1:14" x14ac:dyDescent="0.35">
      <c r="A175">
        <v>3604046</v>
      </c>
      <c r="B175" s="1" t="s">
        <v>389</v>
      </c>
      <c r="C175">
        <v>12641.3</v>
      </c>
      <c r="D175">
        <v>1351</v>
      </c>
      <c r="E175" s="1" t="s">
        <v>422</v>
      </c>
      <c r="F175" s="1" t="s">
        <v>15</v>
      </c>
      <c r="G175" s="1" t="s">
        <v>22</v>
      </c>
      <c r="H175">
        <v>52</v>
      </c>
      <c r="I175">
        <v>16</v>
      </c>
      <c r="K175" s="1" t="s">
        <v>23</v>
      </c>
      <c r="L175" s="1" t="s">
        <v>24</v>
      </c>
      <c r="M175" s="1" t="s">
        <v>404</v>
      </c>
      <c r="N175" s="1" t="s">
        <v>423</v>
      </c>
    </row>
    <row r="176" spans="1:14" x14ac:dyDescent="0.35">
      <c r="A176">
        <v>3673010</v>
      </c>
      <c r="B176" s="1" t="s">
        <v>389</v>
      </c>
      <c r="C176">
        <v>12641.3</v>
      </c>
      <c r="D176">
        <v>1351</v>
      </c>
      <c r="E176" s="1" t="s">
        <v>424</v>
      </c>
      <c r="F176" s="1" t="s">
        <v>15</v>
      </c>
      <c r="G176" s="1" t="s">
        <v>22</v>
      </c>
      <c r="H176">
        <v>100</v>
      </c>
      <c r="I176">
        <v>39</v>
      </c>
      <c r="J176">
        <v>59</v>
      </c>
      <c r="K176" s="1" t="s">
        <v>23</v>
      </c>
      <c r="L176" s="1" t="s">
        <v>24</v>
      </c>
      <c r="M176" s="1" t="s">
        <v>404</v>
      </c>
      <c r="N176" s="1" t="s">
        <v>425</v>
      </c>
    </row>
    <row r="177" spans="1:14" x14ac:dyDescent="0.35">
      <c r="A177">
        <v>3673049</v>
      </c>
      <c r="B177" s="1" t="s">
        <v>389</v>
      </c>
      <c r="C177">
        <v>12641.3</v>
      </c>
      <c r="D177">
        <v>1351</v>
      </c>
      <c r="E177" s="1" t="s">
        <v>426</v>
      </c>
      <c r="F177" s="1" t="s">
        <v>15</v>
      </c>
      <c r="G177" s="1" t="s">
        <v>22</v>
      </c>
      <c r="H177">
        <v>51</v>
      </c>
      <c r="I177">
        <v>9</v>
      </c>
      <c r="K177" s="1" t="s">
        <v>95</v>
      </c>
      <c r="L177" s="1" t="s">
        <v>24</v>
      </c>
      <c r="M177" s="1" t="s">
        <v>404</v>
      </c>
      <c r="N177" s="1" t="s">
        <v>427</v>
      </c>
    </row>
    <row r="178" spans="1:14" x14ac:dyDescent="0.35">
      <c r="A178">
        <v>3673047</v>
      </c>
      <c r="B178" s="1" t="s">
        <v>389</v>
      </c>
      <c r="C178">
        <v>12641.3</v>
      </c>
      <c r="D178">
        <v>1351</v>
      </c>
      <c r="E178" s="1" t="s">
        <v>428</v>
      </c>
      <c r="F178" s="1" t="s">
        <v>15</v>
      </c>
      <c r="G178" s="1" t="s">
        <v>22</v>
      </c>
      <c r="H178">
        <v>52</v>
      </c>
      <c r="I178">
        <v>22</v>
      </c>
      <c r="K178" s="1" t="s">
        <v>23</v>
      </c>
      <c r="L178" s="1" t="s">
        <v>24</v>
      </c>
      <c r="M178" s="1" t="s">
        <v>404</v>
      </c>
      <c r="N178" s="1" t="s">
        <v>429</v>
      </c>
    </row>
    <row r="179" spans="1:14" x14ac:dyDescent="0.35">
      <c r="A179">
        <v>3673005</v>
      </c>
      <c r="B179" s="1" t="s">
        <v>389</v>
      </c>
      <c r="C179">
        <v>12641.3</v>
      </c>
      <c r="D179">
        <v>1351</v>
      </c>
      <c r="E179" s="1" t="s">
        <v>430</v>
      </c>
      <c r="F179" s="1" t="s">
        <v>15</v>
      </c>
      <c r="G179" s="1" t="s">
        <v>22</v>
      </c>
      <c r="H179">
        <v>65</v>
      </c>
      <c r="I179">
        <v>28</v>
      </c>
      <c r="J179">
        <v>51</v>
      </c>
      <c r="K179" s="1" t="s">
        <v>23</v>
      </c>
      <c r="L179" s="1" t="s">
        <v>24</v>
      </c>
      <c r="M179" s="1" t="s">
        <v>404</v>
      </c>
      <c r="N179" s="1" t="s">
        <v>431</v>
      </c>
    </row>
    <row r="180" spans="1:14" x14ac:dyDescent="0.35">
      <c r="A180">
        <v>3671222</v>
      </c>
      <c r="B180" s="1" t="s">
        <v>389</v>
      </c>
      <c r="C180">
        <v>12641.3</v>
      </c>
      <c r="D180">
        <v>1351</v>
      </c>
      <c r="E180" s="1" t="s">
        <v>432</v>
      </c>
      <c r="F180" s="1" t="s">
        <v>71</v>
      </c>
      <c r="G180" s="1" t="s">
        <v>32</v>
      </c>
      <c r="H180">
        <v>38</v>
      </c>
      <c r="I180">
        <v>21</v>
      </c>
      <c r="J180">
        <v>68</v>
      </c>
      <c r="K180" s="1" t="s">
        <v>23</v>
      </c>
      <c r="L180" s="1" t="s">
        <v>24</v>
      </c>
      <c r="M180" s="1" t="s">
        <v>433</v>
      </c>
      <c r="N180" s="1" t="s">
        <v>434</v>
      </c>
    </row>
    <row r="181" spans="1:14" x14ac:dyDescent="0.35">
      <c r="A181">
        <v>3671221</v>
      </c>
      <c r="B181" s="1" t="s">
        <v>389</v>
      </c>
      <c r="C181">
        <v>12641.3</v>
      </c>
      <c r="D181">
        <v>1351</v>
      </c>
      <c r="E181" s="1" t="s">
        <v>435</v>
      </c>
      <c r="F181" s="1" t="s">
        <v>71</v>
      </c>
      <c r="G181" s="1" t="s">
        <v>32</v>
      </c>
      <c r="H181">
        <v>38</v>
      </c>
      <c r="I181">
        <v>11</v>
      </c>
      <c r="J181">
        <v>46</v>
      </c>
      <c r="K181" s="1" t="s">
        <v>23</v>
      </c>
      <c r="L181" s="1" t="s">
        <v>24</v>
      </c>
      <c r="M181" s="1" t="s">
        <v>433</v>
      </c>
      <c r="N181" s="1" t="s">
        <v>436</v>
      </c>
    </row>
    <row r="182" spans="1:14" x14ac:dyDescent="0.35">
      <c r="A182">
        <v>3671217</v>
      </c>
      <c r="B182" s="1" t="s">
        <v>389</v>
      </c>
      <c r="C182">
        <v>12641.3</v>
      </c>
      <c r="D182">
        <v>1351</v>
      </c>
      <c r="E182" s="1" t="s">
        <v>437</v>
      </c>
      <c r="F182" s="1" t="s">
        <v>71</v>
      </c>
      <c r="G182" s="1" t="s">
        <v>32</v>
      </c>
      <c r="H182">
        <v>28</v>
      </c>
      <c r="I182">
        <v>19</v>
      </c>
      <c r="J182">
        <v>52</v>
      </c>
      <c r="K182" s="1" t="s">
        <v>90</v>
      </c>
      <c r="L182" s="1" t="s">
        <v>24</v>
      </c>
      <c r="M182" s="1" t="s">
        <v>433</v>
      </c>
      <c r="N182" s="1" t="s">
        <v>438</v>
      </c>
    </row>
    <row r="183" spans="1:14" x14ac:dyDescent="0.35">
      <c r="A183">
        <v>3671219</v>
      </c>
      <c r="B183" s="1" t="s">
        <v>389</v>
      </c>
      <c r="C183">
        <v>12641.3</v>
      </c>
      <c r="D183">
        <v>1351</v>
      </c>
      <c r="E183" s="1" t="s">
        <v>439</v>
      </c>
      <c r="F183" s="1" t="s">
        <v>71</v>
      </c>
      <c r="G183" s="1" t="s">
        <v>32</v>
      </c>
      <c r="H183">
        <v>34</v>
      </c>
      <c r="I183">
        <v>20</v>
      </c>
      <c r="J183">
        <v>75</v>
      </c>
      <c r="K183" s="1" t="s">
        <v>90</v>
      </c>
      <c r="L183" s="1" t="s">
        <v>24</v>
      </c>
      <c r="M183" s="1" t="s">
        <v>433</v>
      </c>
      <c r="N183" s="1" t="s">
        <v>440</v>
      </c>
    </row>
    <row r="184" spans="1:14" x14ac:dyDescent="0.35">
      <c r="A184">
        <v>3603186</v>
      </c>
      <c r="B184" s="1" t="s">
        <v>389</v>
      </c>
      <c r="C184">
        <v>12641.3</v>
      </c>
      <c r="D184">
        <v>1351</v>
      </c>
      <c r="E184" s="1" t="s">
        <v>441</v>
      </c>
      <c r="F184" s="1" t="s">
        <v>71</v>
      </c>
      <c r="G184" s="1" t="s">
        <v>32</v>
      </c>
      <c r="H184">
        <v>36</v>
      </c>
      <c r="I184">
        <v>18</v>
      </c>
      <c r="J184">
        <v>129</v>
      </c>
      <c r="K184" s="1" t="s">
        <v>23</v>
      </c>
      <c r="L184" s="1" t="s">
        <v>24</v>
      </c>
      <c r="M184" s="1" t="s">
        <v>433</v>
      </c>
      <c r="N184" s="1" t="s">
        <v>442</v>
      </c>
    </row>
    <row r="185" spans="1:14" x14ac:dyDescent="0.35">
      <c r="A185">
        <v>3671218</v>
      </c>
      <c r="B185" s="1" t="s">
        <v>389</v>
      </c>
      <c r="C185">
        <v>12641.3</v>
      </c>
      <c r="D185">
        <v>1351</v>
      </c>
      <c r="E185" s="1" t="s">
        <v>443</v>
      </c>
      <c r="F185" s="1" t="s">
        <v>71</v>
      </c>
      <c r="G185" s="1" t="s">
        <v>32</v>
      </c>
      <c r="H185">
        <v>35</v>
      </c>
      <c r="I185">
        <v>19</v>
      </c>
      <c r="J185">
        <v>79</v>
      </c>
      <c r="K185" s="1" t="s">
        <v>444</v>
      </c>
      <c r="L185" s="1" t="s">
        <v>24</v>
      </c>
      <c r="M185" s="1" t="s">
        <v>433</v>
      </c>
      <c r="N185" s="1" t="s">
        <v>445</v>
      </c>
    </row>
    <row r="186" spans="1:14" x14ac:dyDescent="0.35">
      <c r="A186">
        <v>3671032</v>
      </c>
      <c r="B186" s="1" t="s">
        <v>389</v>
      </c>
      <c r="C186">
        <v>12641.3</v>
      </c>
      <c r="D186">
        <v>1351</v>
      </c>
      <c r="E186" s="1" t="s">
        <v>446</v>
      </c>
      <c r="F186" s="1" t="s">
        <v>15</v>
      </c>
      <c r="G186" s="1" t="s">
        <v>16</v>
      </c>
      <c r="H186">
        <v>250</v>
      </c>
      <c r="I186">
        <v>69</v>
      </c>
      <c r="J186">
        <v>606</v>
      </c>
      <c r="K186" s="1" t="s">
        <v>339</v>
      </c>
      <c r="L186" s="1" t="s">
        <v>120</v>
      </c>
      <c r="M186" s="1" t="s">
        <v>433</v>
      </c>
      <c r="N186" s="1" t="s">
        <v>447</v>
      </c>
    </row>
    <row r="187" spans="1:14" x14ac:dyDescent="0.35">
      <c r="A187">
        <v>3671203</v>
      </c>
      <c r="B187" s="1" t="s">
        <v>389</v>
      </c>
      <c r="C187">
        <v>12641.3</v>
      </c>
      <c r="D187">
        <v>1351</v>
      </c>
      <c r="E187" s="1" t="s">
        <v>448</v>
      </c>
      <c r="F187" s="1" t="s">
        <v>15</v>
      </c>
      <c r="G187" s="1" t="s">
        <v>16</v>
      </c>
      <c r="H187">
        <v>180</v>
      </c>
      <c r="I187">
        <v>110</v>
      </c>
      <c r="J187">
        <v>791</v>
      </c>
      <c r="K187" s="1" t="s">
        <v>90</v>
      </c>
      <c r="L187" s="1" t="s">
        <v>24</v>
      </c>
      <c r="M187" s="1" t="s">
        <v>433</v>
      </c>
      <c r="N187" s="1" t="s">
        <v>449</v>
      </c>
    </row>
    <row r="188" spans="1:14" x14ac:dyDescent="0.35">
      <c r="A188">
        <v>3671065</v>
      </c>
      <c r="B188" s="1" t="s">
        <v>389</v>
      </c>
      <c r="C188">
        <v>12641.3</v>
      </c>
      <c r="D188">
        <v>1351</v>
      </c>
      <c r="E188" s="1" t="s">
        <v>450</v>
      </c>
      <c r="F188" s="1" t="s">
        <v>15</v>
      </c>
      <c r="G188" s="1" t="s">
        <v>16</v>
      </c>
      <c r="H188">
        <v>205</v>
      </c>
      <c r="I188">
        <v>108</v>
      </c>
      <c r="J188">
        <v>730</v>
      </c>
      <c r="K188" s="1" t="s">
        <v>23</v>
      </c>
      <c r="L188" s="1" t="s">
        <v>24</v>
      </c>
      <c r="M188" s="1" t="s">
        <v>433</v>
      </c>
      <c r="N188" s="1" t="s">
        <v>451</v>
      </c>
    </row>
    <row r="189" spans="1:14" x14ac:dyDescent="0.35">
      <c r="A189">
        <v>3671241</v>
      </c>
      <c r="B189" s="1" t="s">
        <v>389</v>
      </c>
      <c r="C189">
        <v>12641.3</v>
      </c>
      <c r="D189">
        <v>1351</v>
      </c>
      <c r="E189" s="1" t="s">
        <v>452</v>
      </c>
      <c r="F189" s="1" t="s">
        <v>15</v>
      </c>
      <c r="G189" s="1" t="s">
        <v>16</v>
      </c>
      <c r="H189">
        <v>200</v>
      </c>
      <c r="I189">
        <v>57</v>
      </c>
      <c r="K189" s="1" t="s">
        <v>23</v>
      </c>
      <c r="L189" s="1" t="s">
        <v>24</v>
      </c>
      <c r="M189" s="1" t="s">
        <v>433</v>
      </c>
      <c r="N189" s="1" t="s">
        <v>453</v>
      </c>
    </row>
    <row r="190" spans="1:14" x14ac:dyDescent="0.35">
      <c r="A190">
        <v>3671080</v>
      </c>
      <c r="B190" s="1" t="s">
        <v>389</v>
      </c>
      <c r="C190">
        <v>12641.3</v>
      </c>
      <c r="D190">
        <v>1351</v>
      </c>
      <c r="E190" s="1" t="s">
        <v>454</v>
      </c>
      <c r="F190" s="1" t="s">
        <v>15</v>
      </c>
      <c r="G190" s="1" t="s">
        <v>16</v>
      </c>
      <c r="H190">
        <v>222</v>
      </c>
      <c r="I190">
        <v>71</v>
      </c>
      <c r="J190">
        <v>912</v>
      </c>
      <c r="K190" s="1" t="s">
        <v>23</v>
      </c>
      <c r="L190" s="1" t="s">
        <v>24</v>
      </c>
      <c r="M190" s="1" t="s">
        <v>433</v>
      </c>
      <c r="N190" s="1" t="s">
        <v>455</v>
      </c>
    </row>
    <row r="191" spans="1:14" x14ac:dyDescent="0.35">
      <c r="A191">
        <v>3671226</v>
      </c>
      <c r="B191" s="1" t="s">
        <v>389</v>
      </c>
      <c r="C191">
        <v>12641.3</v>
      </c>
      <c r="D191">
        <v>1351</v>
      </c>
      <c r="E191" s="1" t="s">
        <v>456</v>
      </c>
      <c r="F191" s="1" t="s">
        <v>15</v>
      </c>
      <c r="G191" s="1" t="s">
        <v>16</v>
      </c>
      <c r="H191">
        <v>173</v>
      </c>
      <c r="I191">
        <v>161</v>
      </c>
      <c r="K191" s="1" t="s">
        <v>23</v>
      </c>
      <c r="L191" s="1" t="s">
        <v>24</v>
      </c>
      <c r="M191" s="1" t="s">
        <v>433</v>
      </c>
      <c r="N191" s="1" t="s">
        <v>457</v>
      </c>
    </row>
    <row r="192" spans="1:14" x14ac:dyDescent="0.35">
      <c r="A192">
        <v>3671207</v>
      </c>
      <c r="B192" s="1" t="s">
        <v>389</v>
      </c>
      <c r="C192">
        <v>12641.3</v>
      </c>
      <c r="D192">
        <v>1351</v>
      </c>
      <c r="E192" s="1" t="s">
        <v>458</v>
      </c>
      <c r="F192" s="1" t="s">
        <v>15</v>
      </c>
      <c r="G192" s="1" t="s">
        <v>32</v>
      </c>
      <c r="H192">
        <v>134</v>
      </c>
      <c r="I192">
        <v>51</v>
      </c>
      <c r="J192">
        <v>206</v>
      </c>
      <c r="K192" s="1" t="s">
        <v>90</v>
      </c>
      <c r="L192" s="1" t="s">
        <v>24</v>
      </c>
      <c r="M192" s="1" t="s">
        <v>433</v>
      </c>
      <c r="N192" s="1" t="s">
        <v>459</v>
      </c>
    </row>
    <row r="193" spans="1:14" x14ac:dyDescent="0.35">
      <c r="A193">
        <v>3671135</v>
      </c>
      <c r="B193" s="1" t="s">
        <v>389</v>
      </c>
      <c r="C193">
        <v>12641.3</v>
      </c>
      <c r="D193">
        <v>1351</v>
      </c>
      <c r="E193" s="1" t="s">
        <v>460</v>
      </c>
      <c r="F193" s="1" t="s">
        <v>15</v>
      </c>
      <c r="G193" s="1" t="s">
        <v>32</v>
      </c>
      <c r="H193">
        <v>101</v>
      </c>
      <c r="I193">
        <v>29</v>
      </c>
      <c r="J193">
        <v>299</v>
      </c>
      <c r="K193" s="1" t="s">
        <v>23</v>
      </c>
      <c r="L193" s="1" t="s">
        <v>24</v>
      </c>
      <c r="M193" s="1" t="s">
        <v>433</v>
      </c>
      <c r="N193" s="1" t="s">
        <v>461</v>
      </c>
    </row>
    <row r="194" spans="1:14" x14ac:dyDescent="0.35">
      <c r="A194">
        <v>3671126</v>
      </c>
      <c r="B194" s="1" t="s">
        <v>389</v>
      </c>
      <c r="C194">
        <v>12641.3</v>
      </c>
      <c r="D194">
        <v>1351</v>
      </c>
      <c r="E194" s="1" t="s">
        <v>462</v>
      </c>
      <c r="F194" s="1" t="s">
        <v>15</v>
      </c>
      <c r="G194" s="1" t="s">
        <v>32</v>
      </c>
      <c r="H194">
        <v>170</v>
      </c>
      <c r="I194">
        <v>34</v>
      </c>
      <c r="J194">
        <v>372</v>
      </c>
      <c r="K194" s="1" t="s">
        <v>23</v>
      </c>
      <c r="L194" s="1" t="s">
        <v>18</v>
      </c>
      <c r="M194" s="1" t="s">
        <v>433</v>
      </c>
      <c r="N194" s="1" t="s">
        <v>463</v>
      </c>
    </row>
    <row r="195" spans="1:14" x14ac:dyDescent="0.35">
      <c r="A195">
        <v>3671210</v>
      </c>
      <c r="B195" s="1" t="s">
        <v>389</v>
      </c>
      <c r="C195">
        <v>12641.3</v>
      </c>
      <c r="D195">
        <v>1351</v>
      </c>
      <c r="E195" s="1" t="s">
        <v>464</v>
      </c>
      <c r="F195" s="1" t="s">
        <v>15</v>
      </c>
      <c r="G195" s="1" t="s">
        <v>32</v>
      </c>
      <c r="H195">
        <v>109</v>
      </c>
      <c r="I195">
        <v>46</v>
      </c>
      <c r="J195">
        <v>240</v>
      </c>
      <c r="K195" s="1" t="s">
        <v>90</v>
      </c>
      <c r="L195" s="1" t="s">
        <v>24</v>
      </c>
      <c r="M195" s="1" t="s">
        <v>433</v>
      </c>
      <c r="N195" s="1" t="s">
        <v>465</v>
      </c>
    </row>
    <row r="196" spans="1:14" x14ac:dyDescent="0.35">
      <c r="A196">
        <v>3671076</v>
      </c>
      <c r="B196" s="1" t="s">
        <v>389</v>
      </c>
      <c r="C196">
        <v>12641.3</v>
      </c>
      <c r="D196">
        <v>1351</v>
      </c>
      <c r="E196" s="1" t="s">
        <v>466</v>
      </c>
      <c r="F196" s="1" t="s">
        <v>15</v>
      </c>
      <c r="G196" s="1" t="s">
        <v>32</v>
      </c>
      <c r="H196">
        <v>210</v>
      </c>
      <c r="I196">
        <v>88</v>
      </c>
      <c r="J196">
        <v>578</v>
      </c>
      <c r="K196" s="1" t="s">
        <v>23</v>
      </c>
      <c r="L196" s="1" t="s">
        <v>24</v>
      </c>
      <c r="M196" s="1" t="s">
        <v>433</v>
      </c>
      <c r="N196" s="1" t="s">
        <v>467</v>
      </c>
    </row>
    <row r="197" spans="1:14" x14ac:dyDescent="0.35">
      <c r="A197">
        <v>3671225</v>
      </c>
      <c r="B197" s="1" t="s">
        <v>389</v>
      </c>
      <c r="C197">
        <v>12641.3</v>
      </c>
      <c r="D197">
        <v>1351</v>
      </c>
      <c r="E197" s="1" t="s">
        <v>468</v>
      </c>
      <c r="F197" s="1" t="s">
        <v>15</v>
      </c>
      <c r="G197" s="1" t="s">
        <v>32</v>
      </c>
      <c r="H197">
        <v>100</v>
      </c>
      <c r="I197">
        <v>29</v>
      </c>
      <c r="J197">
        <v>70</v>
      </c>
      <c r="K197" s="1" t="s">
        <v>23</v>
      </c>
      <c r="L197" s="1" t="s">
        <v>24</v>
      </c>
      <c r="M197" s="1" t="s">
        <v>433</v>
      </c>
      <c r="N197" s="1" t="s">
        <v>469</v>
      </c>
    </row>
    <row r="198" spans="1:14" x14ac:dyDescent="0.35">
      <c r="A198">
        <v>3671124</v>
      </c>
      <c r="B198" s="1" t="s">
        <v>389</v>
      </c>
      <c r="C198">
        <v>12641.3</v>
      </c>
      <c r="D198">
        <v>1351</v>
      </c>
      <c r="E198" s="1" t="s">
        <v>470</v>
      </c>
      <c r="F198" s="1" t="s">
        <v>15</v>
      </c>
      <c r="G198" s="1" t="s">
        <v>32</v>
      </c>
      <c r="H198">
        <v>101</v>
      </c>
      <c r="I198">
        <v>36</v>
      </c>
      <c r="J198">
        <v>286</v>
      </c>
      <c r="K198" s="1" t="s">
        <v>23</v>
      </c>
      <c r="L198" s="1" t="s">
        <v>24</v>
      </c>
      <c r="M198" s="1" t="s">
        <v>433</v>
      </c>
      <c r="N198" s="1" t="s">
        <v>471</v>
      </c>
    </row>
    <row r="199" spans="1:14" x14ac:dyDescent="0.35">
      <c r="A199">
        <v>3671208</v>
      </c>
      <c r="B199" s="1" t="s">
        <v>389</v>
      </c>
      <c r="C199">
        <v>12641.3</v>
      </c>
      <c r="D199">
        <v>1351</v>
      </c>
      <c r="E199" s="1" t="s">
        <v>472</v>
      </c>
      <c r="F199" s="1" t="s">
        <v>15</v>
      </c>
      <c r="G199" s="1" t="s">
        <v>32</v>
      </c>
      <c r="H199">
        <v>234</v>
      </c>
      <c r="I199">
        <v>55</v>
      </c>
      <c r="J199">
        <v>548</v>
      </c>
      <c r="K199" s="1" t="s">
        <v>137</v>
      </c>
      <c r="L199" s="1" t="s">
        <v>18</v>
      </c>
      <c r="M199" s="1" t="s">
        <v>433</v>
      </c>
      <c r="N199" s="1" t="s">
        <v>473</v>
      </c>
    </row>
    <row r="200" spans="1:14" x14ac:dyDescent="0.35">
      <c r="A200">
        <v>3671224</v>
      </c>
      <c r="B200" s="1" t="s">
        <v>389</v>
      </c>
      <c r="C200">
        <v>12641.3</v>
      </c>
      <c r="D200">
        <v>1351</v>
      </c>
      <c r="E200" s="1" t="s">
        <v>474</v>
      </c>
      <c r="F200" s="1" t="s">
        <v>15</v>
      </c>
      <c r="G200" s="1" t="s">
        <v>32</v>
      </c>
      <c r="H200">
        <v>215</v>
      </c>
      <c r="I200">
        <v>36</v>
      </c>
      <c r="J200">
        <v>168</v>
      </c>
      <c r="K200" s="1" t="s">
        <v>23</v>
      </c>
      <c r="L200" s="1" t="s">
        <v>24</v>
      </c>
      <c r="M200" s="1" t="s">
        <v>433</v>
      </c>
      <c r="N200" s="1" t="s">
        <v>475</v>
      </c>
    </row>
    <row r="201" spans="1:14" x14ac:dyDescent="0.35">
      <c r="A201">
        <v>3671223</v>
      </c>
      <c r="B201" s="1" t="s">
        <v>389</v>
      </c>
      <c r="C201">
        <v>12641.3</v>
      </c>
      <c r="D201">
        <v>1351</v>
      </c>
      <c r="E201" s="1" t="s">
        <v>476</v>
      </c>
      <c r="F201" s="1" t="s">
        <v>15</v>
      </c>
      <c r="G201" s="1" t="s">
        <v>32</v>
      </c>
      <c r="H201">
        <v>100</v>
      </c>
      <c r="I201">
        <v>31</v>
      </c>
      <c r="J201">
        <v>201</v>
      </c>
      <c r="K201" s="1" t="s">
        <v>23</v>
      </c>
      <c r="L201" s="1" t="s">
        <v>24</v>
      </c>
      <c r="M201" s="1" t="s">
        <v>433</v>
      </c>
      <c r="N201" s="1" t="s">
        <v>477</v>
      </c>
    </row>
    <row r="202" spans="1:14" x14ac:dyDescent="0.35">
      <c r="A202">
        <v>3671146</v>
      </c>
      <c r="B202" s="1" t="s">
        <v>389</v>
      </c>
      <c r="C202">
        <v>12641.3</v>
      </c>
      <c r="D202">
        <v>1351</v>
      </c>
      <c r="E202" s="1" t="s">
        <v>478</v>
      </c>
      <c r="F202" s="1" t="s">
        <v>15</v>
      </c>
      <c r="G202" s="1" t="s">
        <v>32</v>
      </c>
      <c r="H202">
        <v>199</v>
      </c>
      <c r="I202">
        <v>84</v>
      </c>
      <c r="J202">
        <v>454</v>
      </c>
      <c r="K202" s="1" t="s">
        <v>23</v>
      </c>
      <c r="L202" s="1" t="s">
        <v>24</v>
      </c>
      <c r="M202" s="1" t="s">
        <v>433</v>
      </c>
      <c r="N202" s="1" t="s">
        <v>479</v>
      </c>
    </row>
    <row r="203" spans="1:14" x14ac:dyDescent="0.35">
      <c r="A203">
        <v>3671136</v>
      </c>
      <c r="B203" s="1" t="s">
        <v>389</v>
      </c>
      <c r="C203">
        <v>12641.3</v>
      </c>
      <c r="D203">
        <v>1351</v>
      </c>
      <c r="E203" s="1" t="s">
        <v>480</v>
      </c>
      <c r="F203" s="1" t="s">
        <v>15</v>
      </c>
      <c r="G203" s="1" t="s">
        <v>32</v>
      </c>
      <c r="H203">
        <v>199</v>
      </c>
      <c r="I203">
        <v>66</v>
      </c>
      <c r="J203">
        <v>463</v>
      </c>
      <c r="K203" s="1" t="s">
        <v>23</v>
      </c>
      <c r="L203" s="1" t="s">
        <v>24</v>
      </c>
      <c r="M203" s="1" t="s">
        <v>433</v>
      </c>
      <c r="N203" s="1" t="s">
        <v>481</v>
      </c>
    </row>
    <row r="204" spans="1:14" x14ac:dyDescent="0.35">
      <c r="A204">
        <v>3671043</v>
      </c>
      <c r="B204" s="1" t="s">
        <v>389</v>
      </c>
      <c r="C204">
        <v>12641.3</v>
      </c>
      <c r="D204">
        <v>1351</v>
      </c>
      <c r="E204" s="1" t="s">
        <v>482</v>
      </c>
      <c r="F204" s="1" t="s">
        <v>15</v>
      </c>
      <c r="G204" s="1" t="s">
        <v>32</v>
      </c>
      <c r="H204">
        <v>155</v>
      </c>
      <c r="I204">
        <v>35</v>
      </c>
      <c r="J204">
        <v>452</v>
      </c>
      <c r="K204" s="1" t="s">
        <v>23</v>
      </c>
      <c r="L204" s="1" t="s">
        <v>24</v>
      </c>
      <c r="M204" s="1" t="s">
        <v>433</v>
      </c>
      <c r="N204" s="1" t="s">
        <v>483</v>
      </c>
    </row>
    <row r="205" spans="1:14" x14ac:dyDescent="0.35">
      <c r="A205">
        <v>3671209</v>
      </c>
      <c r="B205" s="1" t="s">
        <v>389</v>
      </c>
      <c r="C205">
        <v>12641.3</v>
      </c>
      <c r="D205">
        <v>1351</v>
      </c>
      <c r="E205" s="1" t="s">
        <v>484</v>
      </c>
      <c r="F205" s="1" t="s">
        <v>15</v>
      </c>
      <c r="G205" s="1" t="s">
        <v>32</v>
      </c>
      <c r="H205">
        <v>184</v>
      </c>
      <c r="I205">
        <v>30</v>
      </c>
      <c r="J205">
        <v>241</v>
      </c>
      <c r="K205" s="1" t="s">
        <v>90</v>
      </c>
      <c r="L205" s="1" t="s">
        <v>24</v>
      </c>
      <c r="M205" s="1" t="s">
        <v>433</v>
      </c>
      <c r="N205" s="1" t="s">
        <v>485</v>
      </c>
    </row>
    <row r="206" spans="1:14" x14ac:dyDescent="0.35">
      <c r="A206">
        <v>3671082</v>
      </c>
      <c r="B206" s="1" t="s">
        <v>389</v>
      </c>
      <c r="C206">
        <v>12641.3</v>
      </c>
      <c r="D206">
        <v>1351</v>
      </c>
      <c r="E206" s="1" t="s">
        <v>486</v>
      </c>
      <c r="F206" s="1" t="s">
        <v>15</v>
      </c>
      <c r="G206" s="1" t="s">
        <v>32</v>
      </c>
      <c r="H206">
        <v>101</v>
      </c>
      <c r="I206">
        <v>33</v>
      </c>
      <c r="J206">
        <v>117</v>
      </c>
      <c r="K206" s="1" t="s">
        <v>444</v>
      </c>
      <c r="L206" s="1" t="s">
        <v>24</v>
      </c>
      <c r="M206" s="1" t="s">
        <v>433</v>
      </c>
      <c r="N206" s="1" t="s">
        <v>487</v>
      </c>
    </row>
    <row r="207" spans="1:14" x14ac:dyDescent="0.35">
      <c r="A207">
        <v>3671205</v>
      </c>
      <c r="B207" s="1" t="s">
        <v>389</v>
      </c>
      <c r="C207">
        <v>12641.3</v>
      </c>
      <c r="D207">
        <v>1351</v>
      </c>
      <c r="E207" s="1" t="s">
        <v>488</v>
      </c>
      <c r="F207" s="1" t="s">
        <v>15</v>
      </c>
      <c r="G207" s="1" t="s">
        <v>32</v>
      </c>
      <c r="H207">
        <v>160</v>
      </c>
      <c r="I207">
        <v>82</v>
      </c>
      <c r="J207">
        <v>459</v>
      </c>
      <c r="K207" s="1" t="s">
        <v>90</v>
      </c>
      <c r="L207" s="1" t="s">
        <v>24</v>
      </c>
      <c r="M207" s="1" t="s">
        <v>433</v>
      </c>
      <c r="N207" s="1" t="s">
        <v>489</v>
      </c>
    </row>
    <row r="208" spans="1:14" x14ac:dyDescent="0.35">
      <c r="A208">
        <v>3603182</v>
      </c>
      <c r="B208" s="1" t="s">
        <v>389</v>
      </c>
      <c r="C208">
        <v>12641.3</v>
      </c>
      <c r="D208">
        <v>1351</v>
      </c>
      <c r="E208" s="1" t="s">
        <v>490</v>
      </c>
      <c r="F208" s="1" t="s">
        <v>15</v>
      </c>
      <c r="G208" s="1" t="s">
        <v>32</v>
      </c>
      <c r="H208">
        <v>101</v>
      </c>
      <c r="I208">
        <v>41</v>
      </c>
      <c r="J208">
        <v>177</v>
      </c>
      <c r="K208" s="1" t="s">
        <v>90</v>
      </c>
      <c r="L208" s="1" t="s">
        <v>24</v>
      </c>
      <c r="M208" s="1" t="s">
        <v>433</v>
      </c>
      <c r="N208" s="1" t="s">
        <v>491</v>
      </c>
    </row>
    <row r="209" spans="1:14" x14ac:dyDescent="0.35">
      <c r="A209">
        <v>3671211</v>
      </c>
      <c r="B209" s="1" t="s">
        <v>389</v>
      </c>
      <c r="C209">
        <v>12641.3</v>
      </c>
      <c r="D209">
        <v>1351</v>
      </c>
      <c r="E209" s="1" t="s">
        <v>492</v>
      </c>
      <c r="F209" s="1" t="s">
        <v>15</v>
      </c>
      <c r="G209" s="1" t="s">
        <v>22</v>
      </c>
      <c r="H209">
        <v>54</v>
      </c>
      <c r="I209">
        <v>25</v>
      </c>
      <c r="J209">
        <v>111</v>
      </c>
      <c r="K209" s="1" t="s">
        <v>23</v>
      </c>
      <c r="L209" s="1" t="s">
        <v>24</v>
      </c>
      <c r="M209" s="1" t="s">
        <v>433</v>
      </c>
      <c r="N209" s="1" t="s">
        <v>493</v>
      </c>
    </row>
    <row r="210" spans="1:14" x14ac:dyDescent="0.35">
      <c r="A210">
        <v>3603188</v>
      </c>
      <c r="B210" s="1" t="s">
        <v>389</v>
      </c>
      <c r="C210">
        <v>12641.3</v>
      </c>
      <c r="D210">
        <v>1351</v>
      </c>
      <c r="E210" s="1" t="s">
        <v>494</v>
      </c>
      <c r="F210" s="1" t="s">
        <v>15</v>
      </c>
      <c r="G210" s="1" t="s">
        <v>22</v>
      </c>
      <c r="H210">
        <v>82</v>
      </c>
      <c r="I210">
        <v>40</v>
      </c>
      <c r="J210">
        <v>52</v>
      </c>
      <c r="K210" s="1" t="s">
        <v>23</v>
      </c>
      <c r="L210" s="1" t="s">
        <v>24</v>
      </c>
      <c r="M210" s="1" t="s">
        <v>433</v>
      </c>
      <c r="N210" s="1" t="s">
        <v>495</v>
      </c>
    </row>
    <row r="211" spans="1:14" x14ac:dyDescent="0.35">
      <c r="A211">
        <v>3671021</v>
      </c>
      <c r="B211" s="1" t="s">
        <v>389</v>
      </c>
      <c r="C211">
        <v>12641.3</v>
      </c>
      <c r="D211">
        <v>1351</v>
      </c>
      <c r="E211" s="1" t="s">
        <v>496</v>
      </c>
      <c r="F211" s="1" t="s">
        <v>15</v>
      </c>
      <c r="G211" s="1" t="s">
        <v>22</v>
      </c>
      <c r="H211">
        <v>50</v>
      </c>
      <c r="I211">
        <v>14</v>
      </c>
      <c r="J211">
        <v>84</v>
      </c>
      <c r="K211" s="1" t="s">
        <v>27</v>
      </c>
      <c r="L211" s="1" t="s">
        <v>24</v>
      </c>
      <c r="M211" s="1" t="s">
        <v>433</v>
      </c>
      <c r="N211" s="1" t="s">
        <v>497</v>
      </c>
    </row>
    <row r="212" spans="1:14" x14ac:dyDescent="0.35">
      <c r="A212">
        <v>3671202</v>
      </c>
      <c r="B212" s="1" t="s">
        <v>389</v>
      </c>
      <c r="C212">
        <v>12641.3</v>
      </c>
      <c r="D212">
        <v>1351</v>
      </c>
      <c r="E212" s="1" t="s">
        <v>498</v>
      </c>
      <c r="F212" s="1" t="s">
        <v>15</v>
      </c>
      <c r="G212" s="1" t="s">
        <v>22</v>
      </c>
      <c r="H212">
        <v>62</v>
      </c>
      <c r="I212">
        <v>51</v>
      </c>
      <c r="J212">
        <v>82</v>
      </c>
      <c r="K212" s="1" t="s">
        <v>90</v>
      </c>
      <c r="L212" s="1" t="s">
        <v>24</v>
      </c>
      <c r="M212" s="1" t="s">
        <v>433</v>
      </c>
      <c r="N212" s="1" t="s">
        <v>499</v>
      </c>
    </row>
    <row r="213" spans="1:14" x14ac:dyDescent="0.35">
      <c r="A213">
        <v>3671214</v>
      </c>
      <c r="B213" s="1" t="s">
        <v>389</v>
      </c>
      <c r="C213">
        <v>12641.3</v>
      </c>
      <c r="D213">
        <v>1351</v>
      </c>
      <c r="E213" s="1" t="s">
        <v>500</v>
      </c>
      <c r="F213" s="1" t="s">
        <v>15</v>
      </c>
      <c r="G213" s="1" t="s">
        <v>22</v>
      </c>
      <c r="H213">
        <v>78</v>
      </c>
      <c r="I213">
        <v>48</v>
      </c>
      <c r="J213">
        <v>191</v>
      </c>
      <c r="K213" s="1" t="s">
        <v>23</v>
      </c>
      <c r="L213" s="1" t="s">
        <v>24</v>
      </c>
      <c r="M213" s="1" t="s">
        <v>433</v>
      </c>
      <c r="N213" s="1" t="s">
        <v>501</v>
      </c>
    </row>
    <row r="214" spans="1:14" x14ac:dyDescent="0.35">
      <c r="A214">
        <v>3671242</v>
      </c>
      <c r="B214" s="1" t="s">
        <v>389</v>
      </c>
      <c r="C214">
        <v>12641.3</v>
      </c>
      <c r="D214">
        <v>1351</v>
      </c>
      <c r="E214" s="1" t="s">
        <v>502</v>
      </c>
      <c r="F214" s="1" t="s">
        <v>15</v>
      </c>
      <c r="G214" s="1" t="s">
        <v>22</v>
      </c>
      <c r="H214">
        <v>60</v>
      </c>
      <c r="I214">
        <v>39</v>
      </c>
      <c r="K214" s="1" t="s">
        <v>137</v>
      </c>
      <c r="L214" s="1" t="s">
        <v>24</v>
      </c>
      <c r="M214" s="1" t="s">
        <v>433</v>
      </c>
      <c r="N214" s="1" t="s">
        <v>503</v>
      </c>
    </row>
    <row r="215" spans="1:14" x14ac:dyDescent="0.35">
      <c r="A215">
        <v>3674206</v>
      </c>
      <c r="B215" s="1" t="s">
        <v>389</v>
      </c>
      <c r="C215">
        <v>12641.3</v>
      </c>
      <c r="D215">
        <v>1351</v>
      </c>
      <c r="E215" s="1" t="s">
        <v>504</v>
      </c>
      <c r="F215" s="1" t="s">
        <v>220</v>
      </c>
      <c r="G215" s="1" t="s">
        <v>32</v>
      </c>
      <c r="H215">
        <v>25</v>
      </c>
      <c r="I215">
        <v>9</v>
      </c>
      <c r="K215" s="1" t="s">
        <v>90</v>
      </c>
      <c r="L215" s="1" t="s">
        <v>24</v>
      </c>
      <c r="M215" s="1" t="s">
        <v>505</v>
      </c>
      <c r="N215" s="1" t="s">
        <v>506</v>
      </c>
    </row>
    <row r="216" spans="1:14" x14ac:dyDescent="0.35">
      <c r="A216">
        <v>3674021</v>
      </c>
      <c r="B216" s="1" t="s">
        <v>389</v>
      </c>
      <c r="C216">
        <v>12641.3</v>
      </c>
      <c r="D216">
        <v>1351</v>
      </c>
      <c r="E216" s="1" t="s">
        <v>507</v>
      </c>
      <c r="F216" s="1" t="s">
        <v>71</v>
      </c>
      <c r="G216" s="1" t="s">
        <v>32</v>
      </c>
      <c r="H216">
        <v>42</v>
      </c>
      <c r="I216">
        <v>44</v>
      </c>
      <c r="J216">
        <v>44</v>
      </c>
      <c r="K216" s="1" t="s">
        <v>23</v>
      </c>
      <c r="L216" s="1" t="s">
        <v>24</v>
      </c>
      <c r="M216" s="1" t="s">
        <v>505</v>
      </c>
      <c r="N216" s="1" t="s">
        <v>508</v>
      </c>
    </row>
    <row r="217" spans="1:14" x14ac:dyDescent="0.35">
      <c r="A217">
        <v>3674011</v>
      </c>
      <c r="B217" s="1" t="s">
        <v>389</v>
      </c>
      <c r="C217">
        <v>12641.3</v>
      </c>
      <c r="D217">
        <v>1351</v>
      </c>
      <c r="E217" s="1" t="s">
        <v>509</v>
      </c>
      <c r="F217" s="1" t="s">
        <v>71</v>
      </c>
      <c r="G217" s="1" t="s">
        <v>32</v>
      </c>
      <c r="H217">
        <v>27</v>
      </c>
      <c r="I217">
        <v>24</v>
      </c>
      <c r="J217">
        <v>78</v>
      </c>
      <c r="K217" s="1" t="s">
        <v>23</v>
      </c>
      <c r="L217" s="1" t="s">
        <v>24</v>
      </c>
      <c r="M217" s="1" t="s">
        <v>505</v>
      </c>
      <c r="N217" s="1" t="s">
        <v>510</v>
      </c>
    </row>
    <row r="218" spans="1:14" x14ac:dyDescent="0.35">
      <c r="A218">
        <v>3603093</v>
      </c>
      <c r="B218" s="1" t="s">
        <v>389</v>
      </c>
      <c r="C218">
        <v>12641.3</v>
      </c>
      <c r="D218">
        <v>1351</v>
      </c>
      <c r="E218" s="1" t="s">
        <v>511</v>
      </c>
      <c r="F218" s="1" t="s">
        <v>71</v>
      </c>
      <c r="G218" s="1" t="s">
        <v>32</v>
      </c>
      <c r="H218">
        <v>29</v>
      </c>
      <c r="I218">
        <v>24</v>
      </c>
      <c r="J218">
        <v>78</v>
      </c>
      <c r="K218" s="1" t="s">
        <v>23</v>
      </c>
      <c r="L218" s="1" t="s">
        <v>24</v>
      </c>
      <c r="M218" s="1" t="s">
        <v>505</v>
      </c>
      <c r="N218" s="1" t="s">
        <v>512</v>
      </c>
    </row>
    <row r="219" spans="1:14" x14ac:dyDescent="0.35">
      <c r="A219">
        <v>3674013</v>
      </c>
      <c r="B219" s="1" t="s">
        <v>389</v>
      </c>
      <c r="C219">
        <v>12641.3</v>
      </c>
      <c r="D219">
        <v>1351</v>
      </c>
      <c r="E219" s="1" t="s">
        <v>513</v>
      </c>
      <c r="F219" s="1" t="s">
        <v>71</v>
      </c>
      <c r="G219" s="1" t="s">
        <v>32</v>
      </c>
      <c r="H219">
        <v>50</v>
      </c>
      <c r="I219">
        <v>31</v>
      </c>
      <c r="J219">
        <v>101</v>
      </c>
      <c r="K219" s="1" t="s">
        <v>90</v>
      </c>
      <c r="L219" s="1" t="s">
        <v>24</v>
      </c>
      <c r="M219" s="1" t="s">
        <v>505</v>
      </c>
      <c r="N219" s="1" t="s">
        <v>514</v>
      </c>
    </row>
    <row r="220" spans="1:14" x14ac:dyDescent="0.35">
      <c r="A220">
        <v>3674015</v>
      </c>
      <c r="B220" s="1" t="s">
        <v>389</v>
      </c>
      <c r="C220">
        <v>12641.3</v>
      </c>
      <c r="D220">
        <v>1351</v>
      </c>
      <c r="E220" s="1" t="s">
        <v>515</v>
      </c>
      <c r="F220" s="1" t="s">
        <v>71</v>
      </c>
      <c r="G220" s="1" t="s">
        <v>32</v>
      </c>
      <c r="H220">
        <v>51</v>
      </c>
      <c r="I220">
        <v>18</v>
      </c>
      <c r="J220">
        <v>93</v>
      </c>
      <c r="K220" s="1" t="s">
        <v>23</v>
      </c>
      <c r="L220" s="1" t="s">
        <v>24</v>
      </c>
      <c r="M220" s="1" t="s">
        <v>505</v>
      </c>
      <c r="N220" s="1" t="s">
        <v>516</v>
      </c>
    </row>
    <row r="221" spans="1:14" x14ac:dyDescent="0.35">
      <c r="A221">
        <v>3674003</v>
      </c>
      <c r="B221" s="1" t="s">
        <v>389</v>
      </c>
      <c r="C221">
        <v>12641.3</v>
      </c>
      <c r="D221">
        <v>1351</v>
      </c>
      <c r="E221" s="1" t="s">
        <v>517</v>
      </c>
      <c r="F221" s="1" t="s">
        <v>71</v>
      </c>
      <c r="G221" s="1" t="s">
        <v>32</v>
      </c>
      <c r="H221">
        <v>36</v>
      </c>
      <c r="I221">
        <v>17</v>
      </c>
      <c r="J221">
        <v>55</v>
      </c>
      <c r="K221" s="1" t="s">
        <v>23</v>
      </c>
      <c r="L221" s="1" t="s">
        <v>24</v>
      </c>
      <c r="M221" s="1" t="s">
        <v>505</v>
      </c>
      <c r="N221" s="1" t="s">
        <v>518</v>
      </c>
    </row>
    <row r="222" spans="1:14" x14ac:dyDescent="0.35">
      <c r="A222">
        <v>3674008</v>
      </c>
      <c r="B222" s="1" t="s">
        <v>389</v>
      </c>
      <c r="C222">
        <v>12641.3</v>
      </c>
      <c r="D222">
        <v>1351</v>
      </c>
      <c r="E222" s="1" t="s">
        <v>519</v>
      </c>
      <c r="F222" s="1" t="s">
        <v>71</v>
      </c>
      <c r="G222" s="1" t="s">
        <v>32</v>
      </c>
      <c r="H222">
        <v>25</v>
      </c>
      <c r="I222">
        <v>18</v>
      </c>
      <c r="J222">
        <v>60</v>
      </c>
      <c r="K222" s="1" t="s">
        <v>90</v>
      </c>
      <c r="L222" s="1" t="s">
        <v>24</v>
      </c>
      <c r="M222" s="1" t="s">
        <v>505</v>
      </c>
      <c r="N222" s="1" t="s">
        <v>520</v>
      </c>
    </row>
    <row r="223" spans="1:14" x14ac:dyDescent="0.35">
      <c r="A223">
        <v>3674071</v>
      </c>
      <c r="B223" s="1" t="s">
        <v>389</v>
      </c>
      <c r="C223">
        <v>12641.3</v>
      </c>
      <c r="D223">
        <v>1351</v>
      </c>
      <c r="E223" s="1" t="s">
        <v>521</v>
      </c>
      <c r="F223" s="1" t="s">
        <v>129</v>
      </c>
      <c r="G223" s="1" t="s">
        <v>32</v>
      </c>
      <c r="H223">
        <v>70</v>
      </c>
      <c r="I223">
        <v>19</v>
      </c>
      <c r="J223">
        <v>20</v>
      </c>
      <c r="K223" s="1" t="s">
        <v>84</v>
      </c>
      <c r="L223" s="1" t="s">
        <v>24</v>
      </c>
      <c r="M223" s="1" t="s">
        <v>505</v>
      </c>
      <c r="N223" s="1" t="s">
        <v>522</v>
      </c>
    </row>
    <row r="224" spans="1:14" x14ac:dyDescent="0.35">
      <c r="A224">
        <v>3671201</v>
      </c>
      <c r="B224" s="1" t="s">
        <v>389</v>
      </c>
      <c r="C224">
        <v>12641.3</v>
      </c>
      <c r="D224">
        <v>1351</v>
      </c>
      <c r="E224" s="1" t="s">
        <v>523</v>
      </c>
      <c r="F224" s="1" t="s">
        <v>524</v>
      </c>
      <c r="G224" s="1" t="s">
        <v>32</v>
      </c>
      <c r="H224">
        <v>23</v>
      </c>
      <c r="I224">
        <v>23</v>
      </c>
      <c r="J224">
        <v>67</v>
      </c>
      <c r="K224" s="1" t="s">
        <v>23</v>
      </c>
      <c r="L224" s="1" t="s">
        <v>24</v>
      </c>
      <c r="M224" s="1" t="s">
        <v>505</v>
      </c>
      <c r="N224" s="1" t="s">
        <v>525</v>
      </c>
    </row>
    <row r="225" spans="1:14" x14ac:dyDescent="0.35">
      <c r="A225">
        <v>3674102</v>
      </c>
      <c r="B225" s="1" t="s">
        <v>389</v>
      </c>
      <c r="C225">
        <v>12641.3</v>
      </c>
      <c r="D225">
        <v>1351</v>
      </c>
      <c r="E225" s="1" t="s">
        <v>526</v>
      </c>
      <c r="F225" s="1" t="s">
        <v>15</v>
      </c>
      <c r="G225" s="1" t="s">
        <v>16</v>
      </c>
      <c r="H225">
        <v>215</v>
      </c>
      <c r="I225">
        <v>138</v>
      </c>
      <c r="J225">
        <v>805</v>
      </c>
      <c r="K225" s="1" t="s">
        <v>23</v>
      </c>
      <c r="L225" s="1" t="s">
        <v>24</v>
      </c>
      <c r="M225" s="1" t="s">
        <v>505</v>
      </c>
      <c r="N225" s="1" t="s">
        <v>527</v>
      </c>
    </row>
    <row r="226" spans="1:14" x14ac:dyDescent="0.35">
      <c r="A226">
        <v>3674113</v>
      </c>
      <c r="B226" s="1" t="s">
        <v>389</v>
      </c>
      <c r="C226">
        <v>12641.3</v>
      </c>
      <c r="D226">
        <v>1351</v>
      </c>
      <c r="E226" s="1" t="s">
        <v>528</v>
      </c>
      <c r="F226" s="1" t="s">
        <v>15</v>
      </c>
      <c r="G226" s="1" t="s">
        <v>16</v>
      </c>
      <c r="H226">
        <v>203</v>
      </c>
      <c r="I226">
        <v>102</v>
      </c>
      <c r="J226">
        <v>875</v>
      </c>
      <c r="K226" s="1" t="s">
        <v>23</v>
      </c>
      <c r="L226" s="1" t="s">
        <v>24</v>
      </c>
      <c r="M226" s="1" t="s">
        <v>505</v>
      </c>
      <c r="N226" s="1" t="s">
        <v>529</v>
      </c>
    </row>
    <row r="227" spans="1:14" x14ac:dyDescent="0.35">
      <c r="A227">
        <v>3603115</v>
      </c>
      <c r="B227" s="1" t="s">
        <v>389</v>
      </c>
      <c r="C227">
        <v>12641.3</v>
      </c>
      <c r="D227">
        <v>1351</v>
      </c>
      <c r="E227" s="1" t="s">
        <v>530</v>
      </c>
      <c r="F227" s="1" t="s">
        <v>15</v>
      </c>
      <c r="G227" s="1" t="s">
        <v>16</v>
      </c>
      <c r="H227">
        <v>202</v>
      </c>
      <c r="I227">
        <v>122</v>
      </c>
      <c r="J227">
        <v>217</v>
      </c>
      <c r="K227" s="1" t="s">
        <v>23</v>
      </c>
      <c r="L227" s="1" t="s">
        <v>24</v>
      </c>
      <c r="M227" s="1" t="s">
        <v>505</v>
      </c>
      <c r="N227" s="1" t="s">
        <v>531</v>
      </c>
    </row>
    <row r="228" spans="1:14" x14ac:dyDescent="0.35">
      <c r="A228">
        <v>3674157</v>
      </c>
      <c r="B228" s="1" t="s">
        <v>389</v>
      </c>
      <c r="C228">
        <v>12641.3</v>
      </c>
      <c r="D228">
        <v>1351</v>
      </c>
      <c r="E228" s="1" t="s">
        <v>532</v>
      </c>
      <c r="F228" s="1" t="s">
        <v>15</v>
      </c>
      <c r="G228" s="1" t="s">
        <v>16</v>
      </c>
      <c r="H228">
        <v>200</v>
      </c>
      <c r="I228">
        <v>78</v>
      </c>
      <c r="J228">
        <v>263</v>
      </c>
      <c r="K228" s="1" t="s">
        <v>23</v>
      </c>
      <c r="L228" s="1" t="s">
        <v>24</v>
      </c>
      <c r="M228" s="1" t="s">
        <v>505</v>
      </c>
      <c r="N228" s="1" t="s">
        <v>533</v>
      </c>
    </row>
    <row r="229" spans="1:14" x14ac:dyDescent="0.35">
      <c r="A229">
        <v>3674205</v>
      </c>
      <c r="B229" s="1" t="s">
        <v>389</v>
      </c>
      <c r="C229">
        <v>12641.3</v>
      </c>
      <c r="D229">
        <v>1351</v>
      </c>
      <c r="E229" s="1" t="s">
        <v>534</v>
      </c>
      <c r="F229" s="1" t="s">
        <v>15</v>
      </c>
      <c r="G229" s="1" t="s">
        <v>32</v>
      </c>
      <c r="H229">
        <v>99</v>
      </c>
      <c r="I229">
        <v>36</v>
      </c>
      <c r="K229" s="1" t="s">
        <v>23</v>
      </c>
      <c r="L229" s="1" t="s">
        <v>24</v>
      </c>
      <c r="M229" s="1" t="s">
        <v>505</v>
      </c>
      <c r="N229" s="1" t="s">
        <v>535</v>
      </c>
    </row>
    <row r="230" spans="1:14" x14ac:dyDescent="0.35">
      <c r="A230">
        <v>3674020</v>
      </c>
      <c r="B230" s="1" t="s">
        <v>389</v>
      </c>
      <c r="C230">
        <v>12641.3</v>
      </c>
      <c r="D230">
        <v>1351</v>
      </c>
      <c r="E230" s="1" t="s">
        <v>536</v>
      </c>
      <c r="F230" s="1" t="s">
        <v>15</v>
      </c>
      <c r="G230" s="1" t="s">
        <v>32</v>
      </c>
      <c r="H230">
        <v>100</v>
      </c>
      <c r="I230">
        <v>90</v>
      </c>
      <c r="J230">
        <v>129</v>
      </c>
      <c r="K230" s="1" t="s">
        <v>90</v>
      </c>
      <c r="L230" s="1" t="s">
        <v>24</v>
      </c>
      <c r="M230" s="1" t="s">
        <v>505</v>
      </c>
      <c r="N230" s="1" t="s">
        <v>537</v>
      </c>
    </row>
    <row r="231" spans="1:14" x14ac:dyDescent="0.35">
      <c r="A231">
        <v>3674004</v>
      </c>
      <c r="B231" s="1" t="s">
        <v>389</v>
      </c>
      <c r="C231">
        <v>12641.3</v>
      </c>
      <c r="D231">
        <v>1351</v>
      </c>
      <c r="E231" s="1" t="s">
        <v>538</v>
      </c>
      <c r="F231" s="1" t="s">
        <v>15</v>
      </c>
      <c r="G231" s="1" t="s">
        <v>32</v>
      </c>
      <c r="H231">
        <v>100</v>
      </c>
      <c r="I231">
        <v>84</v>
      </c>
      <c r="J231">
        <v>309</v>
      </c>
      <c r="K231" s="1" t="s">
        <v>23</v>
      </c>
      <c r="L231" s="1" t="s">
        <v>24</v>
      </c>
      <c r="M231" s="1" t="s">
        <v>505</v>
      </c>
      <c r="N231" s="1" t="s">
        <v>539</v>
      </c>
    </row>
    <row r="232" spans="1:14" x14ac:dyDescent="0.35">
      <c r="A232">
        <v>3674171</v>
      </c>
      <c r="B232" s="1" t="s">
        <v>389</v>
      </c>
      <c r="C232">
        <v>12641.3</v>
      </c>
      <c r="D232">
        <v>1351</v>
      </c>
      <c r="E232" s="1" t="s">
        <v>540</v>
      </c>
      <c r="F232" s="1" t="s">
        <v>15</v>
      </c>
      <c r="G232" s="1" t="s">
        <v>32</v>
      </c>
      <c r="H232">
        <v>110</v>
      </c>
      <c r="I232">
        <v>37</v>
      </c>
      <c r="J232">
        <v>163</v>
      </c>
      <c r="K232" s="1" t="s">
        <v>90</v>
      </c>
      <c r="L232" s="1" t="s">
        <v>24</v>
      </c>
      <c r="M232" s="1" t="s">
        <v>505</v>
      </c>
      <c r="N232" s="1" t="s">
        <v>541</v>
      </c>
    </row>
    <row r="233" spans="1:14" x14ac:dyDescent="0.35">
      <c r="A233">
        <v>3674168</v>
      </c>
      <c r="B233" s="1" t="s">
        <v>389</v>
      </c>
      <c r="C233">
        <v>12641.3</v>
      </c>
      <c r="D233">
        <v>1351</v>
      </c>
      <c r="E233" s="1" t="s">
        <v>542</v>
      </c>
      <c r="F233" s="1" t="s">
        <v>15</v>
      </c>
      <c r="G233" s="1" t="s">
        <v>32</v>
      </c>
      <c r="H233">
        <v>178</v>
      </c>
      <c r="I233">
        <v>38</v>
      </c>
      <c r="J233">
        <v>300</v>
      </c>
      <c r="K233" s="1" t="s">
        <v>137</v>
      </c>
      <c r="L233" s="1" t="s">
        <v>18</v>
      </c>
      <c r="M233" s="1" t="s">
        <v>505</v>
      </c>
      <c r="N233" s="1" t="s">
        <v>543</v>
      </c>
    </row>
    <row r="234" spans="1:14" x14ac:dyDescent="0.35">
      <c r="A234">
        <v>3603082</v>
      </c>
      <c r="B234" s="1" t="s">
        <v>389</v>
      </c>
      <c r="C234">
        <v>12641.3</v>
      </c>
      <c r="D234">
        <v>1351</v>
      </c>
      <c r="E234" s="1" t="s">
        <v>544</v>
      </c>
      <c r="F234" s="1" t="s">
        <v>15</v>
      </c>
      <c r="G234" s="1" t="s">
        <v>32</v>
      </c>
      <c r="H234">
        <v>107</v>
      </c>
      <c r="I234">
        <v>47</v>
      </c>
      <c r="J234">
        <v>146</v>
      </c>
      <c r="K234" s="1" t="s">
        <v>23</v>
      </c>
      <c r="L234" s="1" t="s">
        <v>24</v>
      </c>
      <c r="M234" s="1" t="s">
        <v>505</v>
      </c>
      <c r="N234" s="1" t="s">
        <v>545</v>
      </c>
    </row>
    <row r="235" spans="1:14" x14ac:dyDescent="0.35">
      <c r="A235">
        <v>3674014</v>
      </c>
      <c r="B235" s="1" t="s">
        <v>389</v>
      </c>
      <c r="C235">
        <v>12641.3</v>
      </c>
      <c r="D235">
        <v>1351</v>
      </c>
      <c r="E235" s="1" t="s">
        <v>546</v>
      </c>
      <c r="F235" s="1" t="s">
        <v>15</v>
      </c>
      <c r="G235" s="1" t="s">
        <v>32</v>
      </c>
      <c r="H235">
        <v>125</v>
      </c>
      <c r="I235">
        <v>81</v>
      </c>
      <c r="J235">
        <v>227</v>
      </c>
      <c r="K235" s="1" t="s">
        <v>23</v>
      </c>
      <c r="L235" s="1" t="s">
        <v>24</v>
      </c>
      <c r="M235" s="1" t="s">
        <v>505</v>
      </c>
      <c r="N235" s="1" t="s">
        <v>547</v>
      </c>
    </row>
    <row r="236" spans="1:14" x14ac:dyDescent="0.35">
      <c r="A236">
        <v>3674005</v>
      </c>
      <c r="B236" s="1" t="s">
        <v>389</v>
      </c>
      <c r="C236">
        <v>12641.3</v>
      </c>
      <c r="D236">
        <v>1351</v>
      </c>
      <c r="E236" s="1" t="s">
        <v>548</v>
      </c>
      <c r="F236" s="1" t="s">
        <v>15</v>
      </c>
      <c r="G236" s="1" t="s">
        <v>32</v>
      </c>
      <c r="H236">
        <v>179</v>
      </c>
      <c r="I236">
        <v>106</v>
      </c>
      <c r="J236">
        <v>452</v>
      </c>
      <c r="K236" s="1" t="s">
        <v>90</v>
      </c>
      <c r="L236" s="1" t="s">
        <v>24</v>
      </c>
      <c r="M236" s="1" t="s">
        <v>505</v>
      </c>
      <c r="N236" s="1" t="s">
        <v>549</v>
      </c>
    </row>
    <row r="237" spans="1:14" x14ac:dyDescent="0.35">
      <c r="A237">
        <v>3674006</v>
      </c>
      <c r="B237" s="1" t="s">
        <v>389</v>
      </c>
      <c r="C237">
        <v>12641.3</v>
      </c>
      <c r="D237">
        <v>1351</v>
      </c>
      <c r="E237" s="1" t="s">
        <v>550</v>
      </c>
      <c r="F237" s="1" t="s">
        <v>15</v>
      </c>
      <c r="G237" s="1" t="s">
        <v>32</v>
      </c>
      <c r="H237">
        <v>100</v>
      </c>
      <c r="I237">
        <v>60</v>
      </c>
      <c r="J237">
        <v>306</v>
      </c>
      <c r="K237" s="1" t="s">
        <v>49</v>
      </c>
      <c r="L237" s="1" t="s">
        <v>120</v>
      </c>
      <c r="M237" s="1" t="s">
        <v>505</v>
      </c>
      <c r="N237" s="1" t="s">
        <v>551</v>
      </c>
    </row>
    <row r="238" spans="1:14" x14ac:dyDescent="0.35">
      <c r="A238">
        <v>3674016</v>
      </c>
      <c r="B238" s="1" t="s">
        <v>389</v>
      </c>
      <c r="C238">
        <v>12641.3</v>
      </c>
      <c r="D238">
        <v>1351</v>
      </c>
      <c r="E238" s="1" t="s">
        <v>552</v>
      </c>
      <c r="F238" s="1" t="s">
        <v>15</v>
      </c>
      <c r="G238" s="1" t="s">
        <v>32</v>
      </c>
      <c r="H238">
        <v>104</v>
      </c>
      <c r="I238">
        <v>27</v>
      </c>
      <c r="J238">
        <v>132</v>
      </c>
      <c r="K238" s="1" t="s">
        <v>23</v>
      </c>
      <c r="L238" s="1" t="s">
        <v>24</v>
      </c>
      <c r="M238" s="1" t="s">
        <v>505</v>
      </c>
      <c r="N238" s="1" t="s">
        <v>553</v>
      </c>
    </row>
    <row r="239" spans="1:14" x14ac:dyDescent="0.35">
      <c r="A239">
        <v>3674007</v>
      </c>
      <c r="B239" s="1" t="s">
        <v>389</v>
      </c>
      <c r="C239">
        <v>12641.3</v>
      </c>
      <c r="D239">
        <v>1351</v>
      </c>
      <c r="E239" s="1" t="s">
        <v>554</v>
      </c>
      <c r="F239" s="1" t="s">
        <v>15</v>
      </c>
      <c r="G239" s="1" t="s">
        <v>32</v>
      </c>
      <c r="H239">
        <v>196</v>
      </c>
      <c r="I239">
        <v>69</v>
      </c>
      <c r="J239">
        <v>343</v>
      </c>
      <c r="K239" s="1" t="s">
        <v>90</v>
      </c>
      <c r="L239" s="1" t="s">
        <v>24</v>
      </c>
      <c r="M239" s="1" t="s">
        <v>505</v>
      </c>
      <c r="N239" s="1" t="s">
        <v>555</v>
      </c>
    </row>
    <row r="240" spans="1:14" x14ac:dyDescent="0.35">
      <c r="A240">
        <v>3674022</v>
      </c>
      <c r="B240" s="1" t="s">
        <v>389</v>
      </c>
      <c r="C240">
        <v>12641.3</v>
      </c>
      <c r="D240">
        <v>1351</v>
      </c>
      <c r="E240" s="1" t="s">
        <v>556</v>
      </c>
      <c r="F240" s="1" t="s">
        <v>15</v>
      </c>
      <c r="G240" s="1" t="s">
        <v>32</v>
      </c>
      <c r="H240">
        <v>102</v>
      </c>
      <c r="I240">
        <v>34</v>
      </c>
      <c r="J240">
        <v>11</v>
      </c>
      <c r="K240" s="1" t="s">
        <v>137</v>
      </c>
      <c r="L240" s="1" t="s">
        <v>18</v>
      </c>
      <c r="M240" s="1" t="s">
        <v>505</v>
      </c>
      <c r="N240" s="1" t="s">
        <v>557</v>
      </c>
    </row>
    <row r="241" spans="1:14" x14ac:dyDescent="0.35">
      <c r="A241">
        <v>3674204</v>
      </c>
      <c r="B241" s="1" t="s">
        <v>389</v>
      </c>
      <c r="C241">
        <v>12641.3</v>
      </c>
      <c r="D241">
        <v>1351</v>
      </c>
      <c r="E241" s="1" t="s">
        <v>558</v>
      </c>
      <c r="F241" s="1" t="s">
        <v>15</v>
      </c>
      <c r="G241" s="1" t="s">
        <v>32</v>
      </c>
      <c r="H241">
        <v>93</v>
      </c>
      <c r="I241">
        <v>21</v>
      </c>
      <c r="K241" s="1" t="s">
        <v>137</v>
      </c>
      <c r="L241" s="1" t="s">
        <v>24</v>
      </c>
      <c r="M241" s="1" t="s">
        <v>505</v>
      </c>
      <c r="N241" s="1" t="s">
        <v>559</v>
      </c>
    </row>
    <row r="242" spans="1:14" x14ac:dyDescent="0.35">
      <c r="A242">
        <v>3674193</v>
      </c>
      <c r="B242" s="1" t="s">
        <v>389</v>
      </c>
      <c r="C242">
        <v>12641.3</v>
      </c>
      <c r="D242">
        <v>1351</v>
      </c>
      <c r="E242" s="1" t="s">
        <v>560</v>
      </c>
      <c r="F242" s="1" t="s">
        <v>15</v>
      </c>
      <c r="G242" s="1" t="s">
        <v>32</v>
      </c>
      <c r="H242">
        <v>100</v>
      </c>
      <c r="I242">
        <v>48</v>
      </c>
      <c r="J242">
        <v>141</v>
      </c>
      <c r="K242" s="1" t="s">
        <v>90</v>
      </c>
      <c r="L242" s="1" t="s">
        <v>24</v>
      </c>
      <c r="M242" s="1" t="s">
        <v>505</v>
      </c>
      <c r="N242" s="1" t="s">
        <v>561</v>
      </c>
    </row>
    <row r="243" spans="1:14" x14ac:dyDescent="0.35">
      <c r="A243">
        <v>3671216</v>
      </c>
      <c r="B243" s="1" t="s">
        <v>389</v>
      </c>
      <c r="C243">
        <v>12641.3</v>
      </c>
      <c r="D243">
        <v>1351</v>
      </c>
      <c r="E243" s="1" t="s">
        <v>562</v>
      </c>
      <c r="F243" s="1" t="s">
        <v>15</v>
      </c>
      <c r="G243" s="1" t="s">
        <v>32</v>
      </c>
      <c r="H243">
        <v>100</v>
      </c>
      <c r="I243">
        <v>32</v>
      </c>
      <c r="J243">
        <v>243</v>
      </c>
      <c r="K243" s="1" t="s">
        <v>23</v>
      </c>
      <c r="L243" s="1" t="s">
        <v>24</v>
      </c>
      <c r="M243" s="1" t="s">
        <v>505</v>
      </c>
      <c r="N243" s="1" t="s">
        <v>563</v>
      </c>
    </row>
    <row r="244" spans="1:14" x14ac:dyDescent="0.35">
      <c r="A244">
        <v>3674018</v>
      </c>
      <c r="B244" s="1" t="s">
        <v>389</v>
      </c>
      <c r="C244">
        <v>12641.3</v>
      </c>
      <c r="D244">
        <v>1351</v>
      </c>
      <c r="E244" s="1" t="s">
        <v>564</v>
      </c>
      <c r="F244" s="1" t="s">
        <v>15</v>
      </c>
      <c r="G244" s="1" t="s">
        <v>32</v>
      </c>
      <c r="H244">
        <v>125</v>
      </c>
      <c r="I244">
        <v>114</v>
      </c>
      <c r="J244">
        <v>340</v>
      </c>
      <c r="K244" s="1" t="s">
        <v>23</v>
      </c>
      <c r="L244" s="1" t="s">
        <v>24</v>
      </c>
      <c r="M244" s="1" t="s">
        <v>505</v>
      </c>
      <c r="N244" s="1" t="s">
        <v>565</v>
      </c>
    </row>
    <row r="245" spans="1:14" x14ac:dyDescent="0.35">
      <c r="A245">
        <v>3602011</v>
      </c>
      <c r="B245" s="1" t="s">
        <v>389</v>
      </c>
      <c r="C245">
        <v>12641.3</v>
      </c>
      <c r="D245">
        <v>1351</v>
      </c>
      <c r="E245" s="1" t="s">
        <v>566</v>
      </c>
      <c r="F245" s="1" t="s">
        <v>15</v>
      </c>
      <c r="G245" s="1" t="s">
        <v>16</v>
      </c>
      <c r="H245">
        <v>310</v>
      </c>
      <c r="I245">
        <v>73</v>
      </c>
      <c r="J245">
        <v>633</v>
      </c>
      <c r="K245" s="1" t="s">
        <v>17</v>
      </c>
      <c r="L245" s="1" t="s">
        <v>18</v>
      </c>
      <c r="M245" s="1" t="s">
        <v>567</v>
      </c>
      <c r="N245" s="1" t="s">
        <v>568</v>
      </c>
    </row>
    <row r="246" spans="1:14" x14ac:dyDescent="0.35">
      <c r="A246">
        <v>3602045</v>
      </c>
      <c r="B246" s="1" t="s">
        <v>389</v>
      </c>
      <c r="C246">
        <v>12641.3</v>
      </c>
      <c r="D246">
        <v>1351</v>
      </c>
      <c r="E246" s="1" t="s">
        <v>569</v>
      </c>
      <c r="F246" s="1" t="s">
        <v>15</v>
      </c>
      <c r="G246" s="1" t="s">
        <v>32</v>
      </c>
      <c r="H246">
        <v>192</v>
      </c>
      <c r="I246">
        <v>52</v>
      </c>
      <c r="J246">
        <v>145</v>
      </c>
      <c r="K246" s="1" t="s">
        <v>124</v>
      </c>
      <c r="L246" s="1" t="s">
        <v>18</v>
      </c>
      <c r="M246" s="1" t="s">
        <v>567</v>
      </c>
      <c r="N246" s="1" t="s">
        <v>570</v>
      </c>
    </row>
    <row r="247" spans="1:14" x14ac:dyDescent="0.35">
      <c r="A247">
        <v>3602022</v>
      </c>
      <c r="B247" s="1" t="s">
        <v>389</v>
      </c>
      <c r="C247">
        <v>12641.3</v>
      </c>
      <c r="D247">
        <v>1351</v>
      </c>
      <c r="E247" s="1" t="s">
        <v>571</v>
      </c>
      <c r="F247" s="1" t="s">
        <v>15</v>
      </c>
      <c r="G247" s="1" t="s">
        <v>32</v>
      </c>
      <c r="H247">
        <v>148</v>
      </c>
      <c r="I247">
        <v>33</v>
      </c>
      <c r="J247">
        <v>502</v>
      </c>
      <c r="K247" s="1" t="s">
        <v>572</v>
      </c>
      <c r="L247" s="1" t="s">
        <v>24</v>
      </c>
      <c r="M247" s="1" t="s">
        <v>567</v>
      </c>
      <c r="N247" s="1" t="s">
        <v>573</v>
      </c>
    </row>
    <row r="248" spans="1:14" x14ac:dyDescent="0.35">
      <c r="A248">
        <v>3602012</v>
      </c>
      <c r="B248" s="1" t="s">
        <v>389</v>
      </c>
      <c r="C248">
        <v>12641.3</v>
      </c>
      <c r="D248">
        <v>1351</v>
      </c>
      <c r="E248" s="1" t="s">
        <v>574</v>
      </c>
      <c r="F248" s="1" t="s">
        <v>15</v>
      </c>
      <c r="G248" s="1" t="s">
        <v>32</v>
      </c>
      <c r="H248">
        <v>156</v>
      </c>
      <c r="I248">
        <v>31</v>
      </c>
      <c r="J248">
        <v>233</v>
      </c>
      <c r="K248" s="1" t="s">
        <v>90</v>
      </c>
      <c r="L248" s="1" t="s">
        <v>24</v>
      </c>
      <c r="M248" s="1" t="s">
        <v>567</v>
      </c>
      <c r="N248" s="1" t="s">
        <v>575</v>
      </c>
    </row>
    <row r="249" spans="1:14" x14ac:dyDescent="0.35">
      <c r="A249">
        <v>3601034</v>
      </c>
      <c r="B249" s="1" t="s">
        <v>389</v>
      </c>
      <c r="C249">
        <v>12641.3</v>
      </c>
      <c r="D249">
        <v>1351</v>
      </c>
      <c r="E249" s="1" t="s">
        <v>576</v>
      </c>
      <c r="F249" s="1" t="s">
        <v>71</v>
      </c>
      <c r="G249" s="1" t="s">
        <v>32</v>
      </c>
      <c r="H249">
        <v>64</v>
      </c>
      <c r="I249">
        <v>14</v>
      </c>
      <c r="J249">
        <v>76</v>
      </c>
      <c r="K249" s="1" t="s">
        <v>23</v>
      </c>
      <c r="L249" s="1" t="s">
        <v>24</v>
      </c>
      <c r="M249" s="1" t="s">
        <v>577</v>
      </c>
      <c r="N249" s="1" t="s">
        <v>578</v>
      </c>
    </row>
    <row r="250" spans="1:14" x14ac:dyDescent="0.35">
      <c r="A250">
        <v>3601010</v>
      </c>
      <c r="B250" s="1" t="s">
        <v>389</v>
      </c>
      <c r="C250">
        <v>12641.3</v>
      </c>
      <c r="D250">
        <v>1351</v>
      </c>
      <c r="E250" s="1" t="s">
        <v>579</v>
      </c>
      <c r="F250" s="1" t="s">
        <v>15</v>
      </c>
      <c r="G250" s="1" t="s">
        <v>16</v>
      </c>
      <c r="H250">
        <v>201</v>
      </c>
      <c r="I250">
        <v>58</v>
      </c>
      <c r="J250">
        <v>253</v>
      </c>
      <c r="K250" s="1" t="s">
        <v>17</v>
      </c>
      <c r="L250" s="1" t="s">
        <v>18</v>
      </c>
      <c r="M250" s="1" t="s">
        <v>577</v>
      </c>
      <c r="N250" s="1" t="s">
        <v>580</v>
      </c>
    </row>
    <row r="251" spans="1:14" x14ac:dyDescent="0.35">
      <c r="A251">
        <v>3601048</v>
      </c>
      <c r="B251" s="1" t="s">
        <v>389</v>
      </c>
      <c r="C251">
        <v>12641.3</v>
      </c>
      <c r="D251">
        <v>1351</v>
      </c>
      <c r="E251" s="1" t="s">
        <v>581</v>
      </c>
      <c r="F251" s="1" t="s">
        <v>15</v>
      </c>
      <c r="G251" s="1" t="s">
        <v>22</v>
      </c>
      <c r="H251">
        <v>72</v>
      </c>
      <c r="I251">
        <v>23</v>
      </c>
      <c r="K251" s="1" t="s">
        <v>23</v>
      </c>
      <c r="L251" s="1" t="s">
        <v>24</v>
      </c>
      <c r="M251" s="1" t="s">
        <v>577</v>
      </c>
      <c r="N251" s="1" t="s">
        <v>582</v>
      </c>
    </row>
    <row r="252" spans="1:14" x14ac:dyDescent="0.35">
      <c r="A252">
        <v>3601037</v>
      </c>
      <c r="B252" s="1" t="s">
        <v>389</v>
      </c>
      <c r="C252">
        <v>12641.3</v>
      </c>
      <c r="D252">
        <v>1351</v>
      </c>
      <c r="E252" s="1" t="s">
        <v>583</v>
      </c>
      <c r="F252" s="1" t="s">
        <v>15</v>
      </c>
      <c r="G252" s="1" t="s">
        <v>22</v>
      </c>
      <c r="H252">
        <v>76</v>
      </c>
      <c r="I252">
        <v>23</v>
      </c>
      <c r="J252">
        <v>33</v>
      </c>
      <c r="K252" s="1" t="s">
        <v>23</v>
      </c>
      <c r="L252" s="1" t="s">
        <v>24</v>
      </c>
      <c r="M252" s="1" t="s">
        <v>577</v>
      </c>
      <c r="N252" s="1" t="s">
        <v>584</v>
      </c>
    </row>
    <row r="253" spans="1:14" x14ac:dyDescent="0.35">
      <c r="A253">
        <v>3601036</v>
      </c>
      <c r="B253" s="1" t="s">
        <v>389</v>
      </c>
      <c r="C253">
        <v>12641.3</v>
      </c>
      <c r="D253">
        <v>1351</v>
      </c>
      <c r="E253" s="1" t="s">
        <v>585</v>
      </c>
      <c r="F253" s="1" t="s">
        <v>15</v>
      </c>
      <c r="G253" s="1" t="s">
        <v>22</v>
      </c>
      <c r="H253">
        <v>63</v>
      </c>
      <c r="I253">
        <v>17</v>
      </c>
      <c r="J253">
        <v>102</v>
      </c>
      <c r="K253" s="1" t="s">
        <v>17</v>
      </c>
      <c r="L253" s="1" t="s">
        <v>24</v>
      </c>
      <c r="M253" s="1" t="s">
        <v>577</v>
      </c>
      <c r="N253" s="1" t="s">
        <v>586</v>
      </c>
    </row>
    <row r="254" spans="1:14" x14ac:dyDescent="0.35">
      <c r="A254">
        <v>3604013</v>
      </c>
      <c r="B254" s="1" t="s">
        <v>389</v>
      </c>
      <c r="C254">
        <v>12641.3</v>
      </c>
      <c r="D254">
        <v>1351</v>
      </c>
      <c r="E254" s="1" t="s">
        <v>587</v>
      </c>
      <c r="F254" s="1" t="s">
        <v>15</v>
      </c>
      <c r="G254" s="1" t="s">
        <v>16</v>
      </c>
      <c r="H254">
        <v>464</v>
      </c>
      <c r="I254">
        <v>45</v>
      </c>
      <c r="J254">
        <v>724</v>
      </c>
      <c r="K254" s="1" t="s">
        <v>17</v>
      </c>
      <c r="L254" s="1" t="s">
        <v>18</v>
      </c>
      <c r="M254" s="1" t="s">
        <v>588</v>
      </c>
      <c r="N254" s="1" t="s">
        <v>589</v>
      </c>
    </row>
    <row r="255" spans="1:14" x14ac:dyDescent="0.35">
      <c r="A255">
        <v>3604047</v>
      </c>
      <c r="B255" s="1" t="s">
        <v>389</v>
      </c>
      <c r="C255">
        <v>12641.3</v>
      </c>
      <c r="D255">
        <v>1351</v>
      </c>
      <c r="E255" s="1" t="s">
        <v>590</v>
      </c>
      <c r="F255" s="1" t="s">
        <v>15</v>
      </c>
      <c r="G255" s="1" t="s">
        <v>32</v>
      </c>
      <c r="H255">
        <v>103</v>
      </c>
      <c r="I255">
        <v>36</v>
      </c>
      <c r="J255">
        <v>121</v>
      </c>
      <c r="K255" s="1" t="s">
        <v>23</v>
      </c>
      <c r="L255" s="1" t="s">
        <v>24</v>
      </c>
      <c r="M255" s="1" t="s">
        <v>588</v>
      </c>
      <c r="N255" s="1" t="s">
        <v>591</v>
      </c>
    </row>
    <row r="256" spans="1:14" x14ac:dyDescent="0.35">
      <c r="A256">
        <v>3604066</v>
      </c>
      <c r="B256" s="1" t="s">
        <v>389</v>
      </c>
      <c r="C256">
        <v>12641.3</v>
      </c>
      <c r="D256">
        <v>1351</v>
      </c>
      <c r="E256" s="1" t="s">
        <v>592</v>
      </c>
      <c r="F256" s="1" t="s">
        <v>15</v>
      </c>
      <c r="G256" s="1" t="s">
        <v>32</v>
      </c>
      <c r="H256">
        <v>118</v>
      </c>
      <c r="I256">
        <v>66</v>
      </c>
      <c r="K256" s="1" t="s">
        <v>23</v>
      </c>
      <c r="L256" s="1" t="s">
        <v>24</v>
      </c>
      <c r="M256" s="1" t="s">
        <v>588</v>
      </c>
      <c r="N256" s="1" t="s">
        <v>593</v>
      </c>
    </row>
    <row r="257" spans="1:14" x14ac:dyDescent="0.35">
      <c r="A257">
        <v>3604002</v>
      </c>
      <c r="B257" s="1" t="s">
        <v>389</v>
      </c>
      <c r="C257">
        <v>12641.3</v>
      </c>
      <c r="D257">
        <v>1351</v>
      </c>
      <c r="E257" s="1" t="s">
        <v>594</v>
      </c>
      <c r="F257" s="1" t="s">
        <v>15</v>
      </c>
      <c r="G257" s="1" t="s">
        <v>32</v>
      </c>
      <c r="H257">
        <v>280</v>
      </c>
      <c r="I257">
        <v>49</v>
      </c>
      <c r="J257">
        <v>362</v>
      </c>
      <c r="K257" s="1" t="s">
        <v>90</v>
      </c>
      <c r="L257" s="1" t="s">
        <v>24</v>
      </c>
      <c r="M257" s="1" t="s">
        <v>588</v>
      </c>
      <c r="N257" s="1" t="s">
        <v>595</v>
      </c>
    </row>
    <row r="258" spans="1:14" x14ac:dyDescent="0.35">
      <c r="A258">
        <v>3604052</v>
      </c>
      <c r="B258" s="1" t="s">
        <v>389</v>
      </c>
      <c r="C258">
        <v>12641.3</v>
      </c>
      <c r="D258">
        <v>1351</v>
      </c>
      <c r="E258" s="1" t="s">
        <v>596</v>
      </c>
      <c r="F258" s="1" t="s">
        <v>15</v>
      </c>
      <c r="G258" s="1" t="s">
        <v>22</v>
      </c>
      <c r="H258">
        <v>50</v>
      </c>
      <c r="I258">
        <v>15</v>
      </c>
      <c r="J258">
        <v>39</v>
      </c>
      <c r="K258" s="1" t="s">
        <v>90</v>
      </c>
      <c r="L258" s="1" t="s">
        <v>24</v>
      </c>
      <c r="M258" s="1" t="s">
        <v>588</v>
      </c>
      <c r="N258" s="1" t="s">
        <v>597</v>
      </c>
    </row>
    <row r="259" spans="1:14" x14ac:dyDescent="0.35">
      <c r="A259">
        <v>3604050</v>
      </c>
      <c r="B259" s="1" t="s">
        <v>389</v>
      </c>
      <c r="C259">
        <v>12641.3</v>
      </c>
      <c r="D259">
        <v>1351</v>
      </c>
      <c r="E259" s="1" t="s">
        <v>598</v>
      </c>
      <c r="F259" s="1" t="s">
        <v>15</v>
      </c>
      <c r="G259" s="1" t="s">
        <v>22</v>
      </c>
      <c r="H259">
        <v>61</v>
      </c>
      <c r="I259">
        <v>20</v>
      </c>
      <c r="J259">
        <v>65</v>
      </c>
      <c r="K259" s="1" t="s">
        <v>90</v>
      </c>
      <c r="L259" s="1" t="s">
        <v>24</v>
      </c>
      <c r="M259" s="1" t="s">
        <v>588</v>
      </c>
      <c r="N259" s="1" t="s">
        <v>599</v>
      </c>
    </row>
    <row r="260" spans="1:14" x14ac:dyDescent="0.35">
      <c r="A260">
        <v>3604054</v>
      </c>
      <c r="B260" s="1" t="s">
        <v>389</v>
      </c>
      <c r="C260">
        <v>12641.3</v>
      </c>
      <c r="D260">
        <v>1351</v>
      </c>
      <c r="E260" s="1" t="s">
        <v>600</v>
      </c>
      <c r="F260" s="1" t="s">
        <v>15</v>
      </c>
      <c r="G260" s="1" t="s">
        <v>22</v>
      </c>
      <c r="H260">
        <v>58</v>
      </c>
      <c r="I260">
        <v>19</v>
      </c>
      <c r="J260">
        <v>15</v>
      </c>
      <c r="K260" s="1" t="s">
        <v>90</v>
      </c>
      <c r="L260" s="1" t="s">
        <v>24</v>
      </c>
      <c r="M260" s="1" t="s">
        <v>588</v>
      </c>
      <c r="N260" s="1" t="s">
        <v>601</v>
      </c>
    </row>
    <row r="261" spans="1:14" x14ac:dyDescent="0.35">
      <c r="A261">
        <v>3603178</v>
      </c>
      <c r="B261" s="1" t="s">
        <v>389</v>
      </c>
      <c r="C261">
        <v>12641.3</v>
      </c>
      <c r="D261">
        <v>1351</v>
      </c>
      <c r="E261" s="1" t="s">
        <v>602</v>
      </c>
      <c r="F261" s="1" t="s">
        <v>71</v>
      </c>
      <c r="G261" s="1" t="s">
        <v>32</v>
      </c>
      <c r="H261">
        <v>29</v>
      </c>
      <c r="I261">
        <v>20</v>
      </c>
      <c r="J261">
        <v>111</v>
      </c>
      <c r="K261" s="1" t="s">
        <v>23</v>
      </c>
      <c r="L261" s="1" t="s">
        <v>24</v>
      </c>
      <c r="M261" s="1" t="s">
        <v>603</v>
      </c>
      <c r="N261" s="1" t="s">
        <v>604</v>
      </c>
    </row>
    <row r="262" spans="1:14" x14ac:dyDescent="0.35">
      <c r="A262">
        <v>3603146</v>
      </c>
      <c r="B262" s="1" t="s">
        <v>389</v>
      </c>
      <c r="C262">
        <v>12641.3</v>
      </c>
      <c r="D262">
        <v>1351</v>
      </c>
      <c r="E262" s="1" t="s">
        <v>605</v>
      </c>
      <c r="F262" s="1" t="s">
        <v>71</v>
      </c>
      <c r="G262" s="1" t="s">
        <v>32</v>
      </c>
      <c r="H262">
        <v>44</v>
      </c>
      <c r="I262">
        <v>16</v>
      </c>
      <c r="J262">
        <v>66</v>
      </c>
      <c r="K262" s="1" t="s">
        <v>90</v>
      </c>
      <c r="L262" s="1" t="s">
        <v>24</v>
      </c>
      <c r="M262" s="1" t="s">
        <v>603</v>
      </c>
      <c r="N262" s="1" t="s">
        <v>606</v>
      </c>
    </row>
    <row r="263" spans="1:14" x14ac:dyDescent="0.35">
      <c r="A263">
        <v>3603104</v>
      </c>
      <c r="B263" s="1" t="s">
        <v>389</v>
      </c>
      <c r="C263">
        <v>12641.3</v>
      </c>
      <c r="D263">
        <v>1351</v>
      </c>
      <c r="E263" s="1" t="s">
        <v>607</v>
      </c>
      <c r="F263" s="1" t="s">
        <v>71</v>
      </c>
      <c r="G263" s="1" t="s">
        <v>32</v>
      </c>
      <c r="H263">
        <v>43</v>
      </c>
      <c r="I263">
        <v>21</v>
      </c>
      <c r="J263">
        <v>67</v>
      </c>
      <c r="K263" s="1" t="s">
        <v>23</v>
      </c>
      <c r="L263" s="1" t="s">
        <v>24</v>
      </c>
      <c r="M263" s="1" t="s">
        <v>603</v>
      </c>
      <c r="N263" s="1" t="s">
        <v>608</v>
      </c>
    </row>
    <row r="264" spans="1:14" x14ac:dyDescent="0.35">
      <c r="A264">
        <v>3603190</v>
      </c>
      <c r="B264" s="1" t="s">
        <v>389</v>
      </c>
      <c r="C264">
        <v>12641.3</v>
      </c>
      <c r="D264">
        <v>1351</v>
      </c>
      <c r="E264" s="1" t="s">
        <v>609</v>
      </c>
      <c r="F264" s="1" t="s">
        <v>71</v>
      </c>
      <c r="G264" s="1" t="s">
        <v>32</v>
      </c>
      <c r="H264">
        <v>52</v>
      </c>
      <c r="I264">
        <v>29</v>
      </c>
      <c r="J264">
        <v>53</v>
      </c>
      <c r="K264" s="1" t="s">
        <v>23</v>
      </c>
      <c r="L264" s="1" t="s">
        <v>24</v>
      </c>
      <c r="M264" s="1" t="s">
        <v>603</v>
      </c>
      <c r="N264" s="1" t="s">
        <v>610</v>
      </c>
    </row>
    <row r="265" spans="1:14" x14ac:dyDescent="0.35">
      <c r="A265">
        <v>3603173</v>
      </c>
      <c r="B265" s="1" t="s">
        <v>389</v>
      </c>
      <c r="C265">
        <v>12641.3</v>
      </c>
      <c r="D265">
        <v>1351</v>
      </c>
      <c r="E265" s="1" t="s">
        <v>611</v>
      </c>
      <c r="F265" s="1" t="s">
        <v>71</v>
      </c>
      <c r="G265" s="1" t="s">
        <v>32</v>
      </c>
      <c r="H265">
        <v>77</v>
      </c>
      <c r="I265">
        <v>16</v>
      </c>
      <c r="J265">
        <v>82</v>
      </c>
      <c r="K265" s="1" t="s">
        <v>90</v>
      </c>
      <c r="L265" s="1" t="s">
        <v>24</v>
      </c>
      <c r="M265" s="1" t="s">
        <v>603</v>
      </c>
      <c r="N265" s="1" t="s">
        <v>612</v>
      </c>
    </row>
    <row r="266" spans="1:14" x14ac:dyDescent="0.35">
      <c r="A266">
        <v>3603010</v>
      </c>
      <c r="B266" s="1" t="s">
        <v>389</v>
      </c>
      <c r="C266">
        <v>12641.3</v>
      </c>
      <c r="D266">
        <v>1351</v>
      </c>
      <c r="E266" s="1" t="s">
        <v>613</v>
      </c>
      <c r="F266" s="1" t="s">
        <v>15</v>
      </c>
      <c r="G266" s="1" t="s">
        <v>16</v>
      </c>
      <c r="H266">
        <v>329</v>
      </c>
      <c r="I266">
        <v>138</v>
      </c>
      <c r="J266">
        <v>1344</v>
      </c>
      <c r="K266" s="1" t="s">
        <v>17</v>
      </c>
      <c r="L266" s="1" t="s">
        <v>18</v>
      </c>
      <c r="M266" s="1" t="s">
        <v>603</v>
      </c>
      <c r="N266" s="1" t="s">
        <v>614</v>
      </c>
    </row>
    <row r="267" spans="1:14" x14ac:dyDescent="0.35">
      <c r="A267">
        <v>3603181</v>
      </c>
      <c r="B267" s="1" t="s">
        <v>389</v>
      </c>
      <c r="C267">
        <v>12641.3</v>
      </c>
      <c r="D267">
        <v>1351</v>
      </c>
      <c r="E267" s="1" t="s">
        <v>615</v>
      </c>
      <c r="F267" s="1" t="s">
        <v>15</v>
      </c>
      <c r="G267" s="1" t="s">
        <v>16</v>
      </c>
      <c r="H267">
        <v>210</v>
      </c>
      <c r="I267">
        <v>77</v>
      </c>
      <c r="J267">
        <v>660</v>
      </c>
      <c r="K267" s="1" t="s">
        <v>90</v>
      </c>
      <c r="L267" s="1" t="s">
        <v>120</v>
      </c>
      <c r="M267" s="1" t="s">
        <v>603</v>
      </c>
      <c r="N267" s="1" t="s">
        <v>616</v>
      </c>
    </row>
    <row r="268" spans="1:14" x14ac:dyDescent="0.35">
      <c r="A268">
        <v>3671054</v>
      </c>
      <c r="B268" s="1" t="s">
        <v>389</v>
      </c>
      <c r="C268">
        <v>12641.3</v>
      </c>
      <c r="D268">
        <v>1351</v>
      </c>
      <c r="E268" s="1" t="s">
        <v>617</v>
      </c>
      <c r="F268" s="1" t="s">
        <v>15</v>
      </c>
      <c r="G268" s="1" t="s">
        <v>16</v>
      </c>
      <c r="H268">
        <v>300</v>
      </c>
      <c r="I268">
        <v>72</v>
      </c>
      <c r="J268">
        <v>1784</v>
      </c>
      <c r="K268" s="1" t="s">
        <v>23</v>
      </c>
      <c r="L268" s="1" t="s">
        <v>24</v>
      </c>
      <c r="M268" s="1" t="s">
        <v>603</v>
      </c>
      <c r="N268" s="1" t="s">
        <v>618</v>
      </c>
    </row>
    <row r="269" spans="1:14" x14ac:dyDescent="0.35">
      <c r="A269">
        <v>3603180</v>
      </c>
      <c r="B269" s="1" t="s">
        <v>389</v>
      </c>
      <c r="C269">
        <v>12641.3</v>
      </c>
      <c r="D269">
        <v>1351</v>
      </c>
      <c r="E269" s="1" t="s">
        <v>619</v>
      </c>
      <c r="F269" s="1" t="s">
        <v>15</v>
      </c>
      <c r="G269" s="1" t="s">
        <v>16</v>
      </c>
      <c r="H269">
        <v>201</v>
      </c>
      <c r="I269">
        <v>78</v>
      </c>
      <c r="J269">
        <v>533</v>
      </c>
      <c r="K269" s="1" t="s">
        <v>90</v>
      </c>
      <c r="L269" s="1" t="s">
        <v>24</v>
      </c>
      <c r="M269" s="1" t="s">
        <v>603</v>
      </c>
      <c r="N269" s="1" t="s">
        <v>620</v>
      </c>
    </row>
    <row r="270" spans="1:14" x14ac:dyDescent="0.35">
      <c r="A270">
        <v>3603157</v>
      </c>
      <c r="B270" s="1" t="s">
        <v>389</v>
      </c>
      <c r="C270">
        <v>12641.3</v>
      </c>
      <c r="D270">
        <v>1351</v>
      </c>
      <c r="E270" s="1" t="s">
        <v>621</v>
      </c>
      <c r="F270" s="1" t="s">
        <v>15</v>
      </c>
      <c r="G270" s="1" t="s">
        <v>16</v>
      </c>
      <c r="H270">
        <v>196</v>
      </c>
      <c r="I270">
        <v>58</v>
      </c>
      <c r="J270">
        <v>154</v>
      </c>
      <c r="K270" s="1" t="s">
        <v>17</v>
      </c>
      <c r="L270" s="1" t="s">
        <v>18</v>
      </c>
      <c r="M270" s="1" t="s">
        <v>603</v>
      </c>
      <c r="N270" s="1" t="s">
        <v>622</v>
      </c>
    </row>
    <row r="271" spans="1:14" x14ac:dyDescent="0.35">
      <c r="A271">
        <v>3603191</v>
      </c>
      <c r="B271" s="1" t="s">
        <v>389</v>
      </c>
      <c r="C271">
        <v>12641.3</v>
      </c>
      <c r="D271">
        <v>1351</v>
      </c>
      <c r="E271" s="1" t="s">
        <v>623</v>
      </c>
      <c r="F271" s="1" t="s">
        <v>15</v>
      </c>
      <c r="G271" s="1" t="s">
        <v>32</v>
      </c>
      <c r="H271">
        <v>135</v>
      </c>
      <c r="I271">
        <v>70</v>
      </c>
      <c r="J271">
        <v>274</v>
      </c>
      <c r="K271" s="1" t="s">
        <v>17</v>
      </c>
      <c r="L271" s="1" t="s">
        <v>18</v>
      </c>
      <c r="M271" s="1" t="s">
        <v>603</v>
      </c>
      <c r="N271" s="1" t="s">
        <v>624</v>
      </c>
    </row>
    <row r="272" spans="1:14" x14ac:dyDescent="0.35">
      <c r="A272">
        <v>3603195</v>
      </c>
      <c r="B272" s="1" t="s">
        <v>389</v>
      </c>
      <c r="C272">
        <v>12641.3</v>
      </c>
      <c r="D272">
        <v>1351</v>
      </c>
      <c r="E272" s="1" t="s">
        <v>625</v>
      </c>
      <c r="F272" s="1" t="s">
        <v>15</v>
      </c>
      <c r="G272" s="1" t="s">
        <v>32</v>
      </c>
      <c r="H272">
        <v>109</v>
      </c>
      <c r="I272">
        <v>26</v>
      </c>
      <c r="J272">
        <v>229</v>
      </c>
      <c r="K272" s="1" t="s">
        <v>90</v>
      </c>
      <c r="L272" s="1" t="s">
        <v>24</v>
      </c>
      <c r="M272" s="1" t="s">
        <v>603</v>
      </c>
      <c r="N272" s="1" t="s">
        <v>626</v>
      </c>
    </row>
    <row r="273" spans="1:14" x14ac:dyDescent="0.35">
      <c r="A273">
        <v>3603175</v>
      </c>
      <c r="B273" s="1" t="s">
        <v>389</v>
      </c>
      <c r="C273">
        <v>12641.3</v>
      </c>
      <c r="D273">
        <v>1351</v>
      </c>
      <c r="E273" s="1" t="s">
        <v>627</v>
      </c>
      <c r="F273" s="1" t="s">
        <v>15</v>
      </c>
      <c r="G273" s="1" t="s">
        <v>32</v>
      </c>
      <c r="H273">
        <v>109</v>
      </c>
      <c r="I273">
        <v>39</v>
      </c>
      <c r="J273">
        <v>86</v>
      </c>
      <c r="K273" s="1" t="s">
        <v>23</v>
      </c>
      <c r="L273" s="1" t="s">
        <v>24</v>
      </c>
      <c r="M273" s="1" t="s">
        <v>603</v>
      </c>
      <c r="N273" s="1" t="s">
        <v>628</v>
      </c>
    </row>
    <row r="274" spans="1:14" x14ac:dyDescent="0.35">
      <c r="A274">
        <v>3603210</v>
      </c>
      <c r="B274" s="1" t="s">
        <v>389</v>
      </c>
      <c r="C274">
        <v>12641.3</v>
      </c>
      <c r="D274">
        <v>1351</v>
      </c>
      <c r="E274" s="1" t="s">
        <v>629</v>
      </c>
      <c r="F274" s="1" t="s">
        <v>15</v>
      </c>
      <c r="G274" s="1" t="s">
        <v>32</v>
      </c>
      <c r="H274">
        <v>117</v>
      </c>
      <c r="I274">
        <v>16</v>
      </c>
      <c r="K274" s="1" t="s">
        <v>17</v>
      </c>
      <c r="L274" s="1" t="s">
        <v>24</v>
      </c>
      <c r="M274" s="1" t="s">
        <v>603</v>
      </c>
      <c r="N274" s="1" t="s">
        <v>630</v>
      </c>
    </row>
    <row r="275" spans="1:14" x14ac:dyDescent="0.35">
      <c r="A275">
        <v>3603183</v>
      </c>
      <c r="B275" s="1" t="s">
        <v>389</v>
      </c>
      <c r="C275">
        <v>12641.3</v>
      </c>
      <c r="D275">
        <v>1351</v>
      </c>
      <c r="E275" s="1" t="s">
        <v>631</v>
      </c>
      <c r="F275" s="1" t="s">
        <v>15</v>
      </c>
      <c r="G275" s="1" t="s">
        <v>32</v>
      </c>
      <c r="H275">
        <v>102</v>
      </c>
      <c r="I275">
        <v>23</v>
      </c>
      <c r="J275">
        <v>100</v>
      </c>
      <c r="K275" s="1" t="s">
        <v>23</v>
      </c>
      <c r="L275" s="1" t="s">
        <v>24</v>
      </c>
      <c r="M275" s="1" t="s">
        <v>603</v>
      </c>
      <c r="N275" s="1" t="s">
        <v>632</v>
      </c>
    </row>
    <row r="276" spans="1:14" x14ac:dyDescent="0.35">
      <c r="A276">
        <v>3603196</v>
      </c>
      <c r="B276" s="1" t="s">
        <v>389</v>
      </c>
      <c r="C276">
        <v>12641.3</v>
      </c>
      <c r="D276">
        <v>1351</v>
      </c>
      <c r="E276" s="1" t="s">
        <v>633</v>
      </c>
      <c r="F276" s="1" t="s">
        <v>15</v>
      </c>
      <c r="G276" s="1" t="s">
        <v>32</v>
      </c>
      <c r="H276">
        <v>105</v>
      </c>
      <c r="I276">
        <v>36</v>
      </c>
      <c r="J276">
        <v>43</v>
      </c>
      <c r="K276" s="1" t="s">
        <v>90</v>
      </c>
      <c r="L276" s="1" t="s">
        <v>24</v>
      </c>
      <c r="M276" s="1" t="s">
        <v>603</v>
      </c>
      <c r="N276" s="1" t="s">
        <v>634</v>
      </c>
    </row>
    <row r="277" spans="1:14" x14ac:dyDescent="0.35">
      <c r="A277">
        <v>3603176</v>
      </c>
      <c r="B277" s="1" t="s">
        <v>389</v>
      </c>
      <c r="C277">
        <v>12641.3</v>
      </c>
      <c r="D277">
        <v>1351</v>
      </c>
      <c r="E277" s="1" t="s">
        <v>635</v>
      </c>
      <c r="F277" s="1" t="s">
        <v>15</v>
      </c>
      <c r="G277" s="1" t="s">
        <v>32</v>
      </c>
      <c r="H277">
        <v>88</v>
      </c>
      <c r="I277">
        <v>48</v>
      </c>
      <c r="J277">
        <v>135</v>
      </c>
      <c r="K277" s="1" t="s">
        <v>90</v>
      </c>
      <c r="L277" s="1" t="s">
        <v>24</v>
      </c>
      <c r="M277" s="1" t="s">
        <v>603</v>
      </c>
      <c r="N277" s="1" t="s">
        <v>636</v>
      </c>
    </row>
    <row r="278" spans="1:14" x14ac:dyDescent="0.35">
      <c r="A278">
        <v>3603185</v>
      </c>
      <c r="B278" s="1" t="s">
        <v>389</v>
      </c>
      <c r="C278">
        <v>12641.3</v>
      </c>
      <c r="D278">
        <v>1351</v>
      </c>
      <c r="E278" s="1" t="s">
        <v>637</v>
      </c>
      <c r="F278" s="1" t="s">
        <v>15</v>
      </c>
      <c r="G278" s="1" t="s">
        <v>32</v>
      </c>
      <c r="H278">
        <v>128</v>
      </c>
      <c r="I278">
        <v>60</v>
      </c>
      <c r="J278">
        <v>333</v>
      </c>
      <c r="K278" s="1" t="s">
        <v>23</v>
      </c>
      <c r="L278" s="1" t="s">
        <v>24</v>
      </c>
      <c r="M278" s="1" t="s">
        <v>603</v>
      </c>
      <c r="N278" s="1" t="s">
        <v>638</v>
      </c>
    </row>
    <row r="279" spans="1:14" x14ac:dyDescent="0.35">
      <c r="A279">
        <v>3603172</v>
      </c>
      <c r="B279" s="1" t="s">
        <v>389</v>
      </c>
      <c r="C279">
        <v>12641.3</v>
      </c>
      <c r="D279">
        <v>1351</v>
      </c>
      <c r="E279" s="1" t="s">
        <v>639</v>
      </c>
      <c r="F279" s="1" t="s">
        <v>15</v>
      </c>
      <c r="G279" s="1" t="s">
        <v>32</v>
      </c>
      <c r="H279">
        <v>72</v>
      </c>
      <c r="I279">
        <v>69</v>
      </c>
      <c r="J279">
        <v>82</v>
      </c>
      <c r="K279" s="1" t="s">
        <v>90</v>
      </c>
      <c r="L279" s="1" t="s">
        <v>24</v>
      </c>
      <c r="M279" s="1" t="s">
        <v>603</v>
      </c>
      <c r="N279" s="1" t="s">
        <v>640</v>
      </c>
    </row>
    <row r="280" spans="1:14" x14ac:dyDescent="0.35">
      <c r="A280">
        <v>3603169</v>
      </c>
      <c r="B280" s="1" t="s">
        <v>389</v>
      </c>
      <c r="C280">
        <v>12641.3</v>
      </c>
      <c r="D280">
        <v>1351</v>
      </c>
      <c r="E280" s="1" t="s">
        <v>641</v>
      </c>
      <c r="F280" s="1" t="s">
        <v>15</v>
      </c>
      <c r="G280" s="1" t="s">
        <v>32</v>
      </c>
      <c r="H280">
        <v>165</v>
      </c>
      <c r="I280">
        <v>39</v>
      </c>
      <c r="J280">
        <v>271</v>
      </c>
      <c r="K280" s="1" t="s">
        <v>90</v>
      </c>
      <c r="L280" s="1" t="s">
        <v>24</v>
      </c>
      <c r="M280" s="1" t="s">
        <v>603</v>
      </c>
      <c r="N280" s="1" t="s">
        <v>642</v>
      </c>
    </row>
    <row r="281" spans="1:14" x14ac:dyDescent="0.35">
      <c r="A281">
        <v>3671179</v>
      </c>
      <c r="B281" s="1" t="s">
        <v>389</v>
      </c>
      <c r="C281">
        <v>12641.3</v>
      </c>
      <c r="D281">
        <v>1351</v>
      </c>
      <c r="E281" s="1" t="s">
        <v>643</v>
      </c>
      <c r="F281" s="1" t="s">
        <v>15</v>
      </c>
      <c r="G281" s="1" t="s">
        <v>32</v>
      </c>
      <c r="H281">
        <v>101</v>
      </c>
      <c r="I281">
        <v>25</v>
      </c>
      <c r="J281">
        <v>185</v>
      </c>
      <c r="K281" s="1" t="s">
        <v>90</v>
      </c>
      <c r="L281" s="1" t="s">
        <v>24</v>
      </c>
      <c r="M281" s="1" t="s">
        <v>603</v>
      </c>
      <c r="N281" s="1" t="s">
        <v>644</v>
      </c>
    </row>
    <row r="282" spans="1:14" x14ac:dyDescent="0.35">
      <c r="A282">
        <v>3603192</v>
      </c>
      <c r="B282" s="1" t="s">
        <v>389</v>
      </c>
      <c r="C282">
        <v>12641.3</v>
      </c>
      <c r="D282">
        <v>1351</v>
      </c>
      <c r="E282" s="1" t="s">
        <v>645</v>
      </c>
      <c r="F282" s="1" t="s">
        <v>15</v>
      </c>
      <c r="G282" s="1" t="s">
        <v>32</v>
      </c>
      <c r="H282">
        <v>143</v>
      </c>
      <c r="I282">
        <v>70</v>
      </c>
      <c r="J282">
        <v>454</v>
      </c>
      <c r="K282" s="1" t="s">
        <v>23</v>
      </c>
      <c r="L282" s="1" t="s">
        <v>24</v>
      </c>
      <c r="M282" s="1" t="s">
        <v>603</v>
      </c>
      <c r="N282" s="1" t="s">
        <v>646</v>
      </c>
    </row>
    <row r="283" spans="1:14" x14ac:dyDescent="0.35">
      <c r="A283">
        <v>3603193</v>
      </c>
      <c r="B283" s="1" t="s">
        <v>389</v>
      </c>
      <c r="C283">
        <v>12641.3</v>
      </c>
      <c r="D283">
        <v>1351</v>
      </c>
      <c r="E283" s="1" t="s">
        <v>647</v>
      </c>
      <c r="F283" s="1" t="s">
        <v>15</v>
      </c>
      <c r="G283" s="1" t="s">
        <v>32</v>
      </c>
      <c r="H283">
        <v>105</v>
      </c>
      <c r="I283">
        <v>31</v>
      </c>
      <c r="J283">
        <v>153</v>
      </c>
      <c r="K283" s="1" t="s">
        <v>90</v>
      </c>
      <c r="L283" s="1" t="s">
        <v>24</v>
      </c>
      <c r="M283" s="1" t="s">
        <v>603</v>
      </c>
      <c r="N283" s="1" t="s">
        <v>648</v>
      </c>
    </row>
    <row r="284" spans="1:14" x14ac:dyDescent="0.35">
      <c r="A284">
        <v>3603189</v>
      </c>
      <c r="B284" s="1" t="s">
        <v>389</v>
      </c>
      <c r="C284">
        <v>12641.3</v>
      </c>
      <c r="D284">
        <v>1351</v>
      </c>
      <c r="E284" s="1" t="s">
        <v>649</v>
      </c>
      <c r="F284" s="1" t="s">
        <v>15</v>
      </c>
      <c r="G284" s="1" t="s">
        <v>32</v>
      </c>
      <c r="H284">
        <v>146</v>
      </c>
      <c r="I284">
        <v>19</v>
      </c>
      <c r="J284">
        <v>71</v>
      </c>
      <c r="K284" s="1" t="s">
        <v>23</v>
      </c>
      <c r="L284" s="1" t="s">
        <v>24</v>
      </c>
      <c r="M284" s="1" t="s">
        <v>603</v>
      </c>
      <c r="N284" s="1" t="s">
        <v>650</v>
      </c>
    </row>
    <row r="285" spans="1:14" x14ac:dyDescent="0.35">
      <c r="A285">
        <v>3603023</v>
      </c>
      <c r="B285" s="1" t="s">
        <v>389</v>
      </c>
      <c r="C285">
        <v>12641.3</v>
      </c>
      <c r="D285">
        <v>1351</v>
      </c>
      <c r="E285" s="1" t="s">
        <v>651</v>
      </c>
      <c r="F285" s="1" t="s">
        <v>15</v>
      </c>
      <c r="G285" s="1" t="s">
        <v>32</v>
      </c>
      <c r="H285">
        <v>104</v>
      </c>
      <c r="I285">
        <v>49</v>
      </c>
      <c r="J285">
        <v>202</v>
      </c>
      <c r="K285" s="1" t="s">
        <v>84</v>
      </c>
      <c r="L285" s="1" t="s">
        <v>24</v>
      </c>
      <c r="M285" s="1" t="s">
        <v>603</v>
      </c>
      <c r="N285" s="1" t="s">
        <v>652</v>
      </c>
    </row>
    <row r="286" spans="1:14" x14ac:dyDescent="0.35">
      <c r="A286">
        <v>3603047</v>
      </c>
      <c r="B286" s="1" t="s">
        <v>389</v>
      </c>
      <c r="C286">
        <v>12641.3</v>
      </c>
      <c r="D286">
        <v>1351</v>
      </c>
      <c r="E286" s="1" t="s">
        <v>653</v>
      </c>
      <c r="F286" s="1" t="s">
        <v>15</v>
      </c>
      <c r="G286" s="1" t="s">
        <v>22</v>
      </c>
      <c r="H286">
        <v>80</v>
      </c>
      <c r="I286">
        <v>20</v>
      </c>
      <c r="J286">
        <v>36</v>
      </c>
      <c r="K286" s="1" t="s">
        <v>90</v>
      </c>
      <c r="L286" s="1" t="s">
        <v>24</v>
      </c>
      <c r="M286" s="1" t="s">
        <v>603</v>
      </c>
      <c r="N286" s="1" t="s">
        <v>654</v>
      </c>
    </row>
    <row r="287" spans="1:14" x14ac:dyDescent="0.35">
      <c r="A287">
        <v>3603177</v>
      </c>
      <c r="B287" s="1" t="s">
        <v>389</v>
      </c>
      <c r="C287">
        <v>12641.3</v>
      </c>
      <c r="D287">
        <v>1351</v>
      </c>
      <c r="E287" s="1" t="s">
        <v>655</v>
      </c>
      <c r="F287" s="1" t="s">
        <v>15</v>
      </c>
      <c r="G287" s="1" t="s">
        <v>22</v>
      </c>
      <c r="H287">
        <v>64</v>
      </c>
      <c r="I287">
        <v>19</v>
      </c>
      <c r="J287">
        <v>56</v>
      </c>
      <c r="K287" s="1" t="s">
        <v>90</v>
      </c>
      <c r="L287" s="1" t="s">
        <v>24</v>
      </c>
      <c r="M287" s="1" t="s">
        <v>603</v>
      </c>
      <c r="N287" s="1" t="s">
        <v>656</v>
      </c>
    </row>
    <row r="288" spans="1:14" x14ac:dyDescent="0.35">
      <c r="A288">
        <v>3603168</v>
      </c>
      <c r="B288" s="1" t="s">
        <v>389</v>
      </c>
      <c r="C288">
        <v>12641.3</v>
      </c>
      <c r="D288">
        <v>1351</v>
      </c>
      <c r="E288" s="1" t="s">
        <v>657</v>
      </c>
      <c r="F288" s="1" t="s">
        <v>15</v>
      </c>
      <c r="G288" s="1" t="s">
        <v>22</v>
      </c>
      <c r="H288">
        <v>55</v>
      </c>
      <c r="I288">
        <v>29</v>
      </c>
      <c r="J288">
        <v>67</v>
      </c>
      <c r="K288" s="1" t="s">
        <v>84</v>
      </c>
      <c r="L288" s="1" t="s">
        <v>24</v>
      </c>
      <c r="M288" s="1" t="s">
        <v>603</v>
      </c>
      <c r="N288" s="1" t="s">
        <v>658</v>
      </c>
    </row>
    <row r="289" spans="1:14" x14ac:dyDescent="0.35">
      <c r="A289">
        <v>1701014</v>
      </c>
      <c r="B289" s="1" t="s">
        <v>659</v>
      </c>
      <c r="C289">
        <v>2163.3000000000002</v>
      </c>
      <c r="D289">
        <v>108</v>
      </c>
      <c r="E289" s="1" t="s">
        <v>660</v>
      </c>
      <c r="F289" s="1" t="s">
        <v>15</v>
      </c>
      <c r="G289" s="1" t="s">
        <v>32</v>
      </c>
      <c r="H289">
        <v>188</v>
      </c>
      <c r="I289">
        <v>28</v>
      </c>
      <c r="J289">
        <v>369</v>
      </c>
      <c r="K289" s="1" t="s">
        <v>17</v>
      </c>
      <c r="L289" s="1" t="s">
        <v>18</v>
      </c>
      <c r="M289" s="1" t="s">
        <v>661</v>
      </c>
      <c r="N289" s="1" t="s">
        <v>662</v>
      </c>
    </row>
    <row r="290" spans="1:14" x14ac:dyDescent="0.35">
      <c r="A290">
        <v>1701016</v>
      </c>
      <c r="B290" s="1" t="s">
        <v>659</v>
      </c>
      <c r="C290">
        <v>2163.3000000000002</v>
      </c>
      <c r="D290">
        <v>108</v>
      </c>
      <c r="E290" s="1" t="s">
        <v>663</v>
      </c>
      <c r="F290" s="1" t="s">
        <v>15</v>
      </c>
      <c r="G290" s="1" t="s">
        <v>22</v>
      </c>
      <c r="H290">
        <v>90</v>
      </c>
      <c r="I290">
        <v>36</v>
      </c>
      <c r="J290">
        <v>135</v>
      </c>
      <c r="K290" s="1" t="s">
        <v>23</v>
      </c>
      <c r="L290" s="1" t="s">
        <v>24</v>
      </c>
      <c r="M290" s="1" t="s">
        <v>661</v>
      </c>
      <c r="N290" s="1" t="s">
        <v>664</v>
      </c>
    </row>
    <row r="291" spans="1:14" x14ac:dyDescent="0.35">
      <c r="A291">
        <v>1709038</v>
      </c>
      <c r="B291" s="1" t="s">
        <v>659</v>
      </c>
      <c r="C291">
        <v>2163.3000000000002</v>
      </c>
      <c r="D291">
        <v>108</v>
      </c>
      <c r="E291" s="1" t="s">
        <v>665</v>
      </c>
      <c r="F291" s="1" t="s">
        <v>15</v>
      </c>
      <c r="G291" s="1" t="s">
        <v>22</v>
      </c>
      <c r="H291">
        <v>64</v>
      </c>
      <c r="I291">
        <v>31</v>
      </c>
      <c r="J291">
        <v>269</v>
      </c>
      <c r="K291" s="1" t="s">
        <v>17</v>
      </c>
      <c r="L291" s="1" t="s">
        <v>18</v>
      </c>
      <c r="M291" s="1" t="s">
        <v>666</v>
      </c>
      <c r="N291" s="1" t="s">
        <v>667</v>
      </c>
    </row>
    <row r="292" spans="1:14" x14ac:dyDescent="0.35">
      <c r="A292">
        <v>1703016</v>
      </c>
      <c r="B292" s="1" t="s">
        <v>659</v>
      </c>
      <c r="C292">
        <v>2163.3000000000002</v>
      </c>
      <c r="D292">
        <v>108</v>
      </c>
      <c r="E292" s="1" t="s">
        <v>668</v>
      </c>
      <c r="F292" s="1" t="s">
        <v>15</v>
      </c>
      <c r="G292" s="1" t="s">
        <v>32</v>
      </c>
      <c r="H292">
        <v>121</v>
      </c>
      <c r="I292">
        <v>22</v>
      </c>
      <c r="J292">
        <v>564</v>
      </c>
      <c r="K292" s="1" t="s">
        <v>17</v>
      </c>
      <c r="L292" s="1" t="s">
        <v>24</v>
      </c>
      <c r="M292" s="1" t="s">
        <v>669</v>
      </c>
      <c r="N292" s="1" t="s">
        <v>670</v>
      </c>
    </row>
    <row r="293" spans="1:14" x14ac:dyDescent="0.35">
      <c r="A293">
        <v>1703045</v>
      </c>
      <c r="B293" s="1" t="s">
        <v>659</v>
      </c>
      <c r="C293">
        <v>2163.3000000000002</v>
      </c>
      <c r="D293">
        <v>108</v>
      </c>
      <c r="E293" s="1" t="s">
        <v>671</v>
      </c>
      <c r="F293" s="1" t="s">
        <v>15</v>
      </c>
      <c r="G293" s="1" t="s">
        <v>22</v>
      </c>
      <c r="H293">
        <v>55</v>
      </c>
      <c r="I293">
        <v>26</v>
      </c>
      <c r="J293">
        <v>116</v>
      </c>
      <c r="K293" s="1" t="s">
        <v>572</v>
      </c>
      <c r="L293" s="1" t="s">
        <v>24</v>
      </c>
      <c r="M293" s="1" t="s">
        <v>669</v>
      </c>
      <c r="N293" s="1" t="s">
        <v>672</v>
      </c>
    </row>
    <row r="294" spans="1:14" x14ac:dyDescent="0.35">
      <c r="A294">
        <v>1703027</v>
      </c>
      <c r="B294" s="1" t="s">
        <v>659</v>
      </c>
      <c r="C294">
        <v>2163.3000000000002</v>
      </c>
      <c r="D294">
        <v>108</v>
      </c>
      <c r="E294" s="1" t="s">
        <v>673</v>
      </c>
      <c r="F294" s="1" t="s">
        <v>15</v>
      </c>
      <c r="G294" s="1" t="s">
        <v>22</v>
      </c>
      <c r="H294">
        <v>16</v>
      </c>
      <c r="I294">
        <v>22</v>
      </c>
      <c r="J294">
        <v>17</v>
      </c>
      <c r="K294" s="1" t="s">
        <v>17</v>
      </c>
      <c r="L294" s="1" t="s">
        <v>24</v>
      </c>
      <c r="M294" s="1" t="s">
        <v>669</v>
      </c>
      <c r="N294" s="1" t="s">
        <v>674</v>
      </c>
    </row>
    <row r="295" spans="1:14" x14ac:dyDescent="0.35">
      <c r="A295">
        <v>1703046</v>
      </c>
      <c r="B295" s="1" t="s">
        <v>659</v>
      </c>
      <c r="C295">
        <v>2163.3000000000002</v>
      </c>
      <c r="D295">
        <v>108</v>
      </c>
      <c r="E295" s="1" t="s">
        <v>675</v>
      </c>
      <c r="F295" s="1" t="s">
        <v>15</v>
      </c>
      <c r="G295" s="1" t="s">
        <v>22</v>
      </c>
      <c r="H295">
        <v>50</v>
      </c>
      <c r="I295">
        <v>33</v>
      </c>
      <c r="J295">
        <v>141</v>
      </c>
      <c r="K295" s="1" t="s">
        <v>17</v>
      </c>
      <c r="L295" s="1" t="s">
        <v>18</v>
      </c>
      <c r="M295" s="1" t="s">
        <v>669</v>
      </c>
      <c r="N295" s="1" t="s">
        <v>676</v>
      </c>
    </row>
    <row r="296" spans="1:14" x14ac:dyDescent="0.35">
      <c r="A296">
        <v>1704028</v>
      </c>
      <c r="B296" s="1" t="s">
        <v>659</v>
      </c>
      <c r="C296">
        <v>2163.3000000000002</v>
      </c>
      <c r="D296">
        <v>108</v>
      </c>
      <c r="E296" s="1" t="s">
        <v>677</v>
      </c>
      <c r="F296" s="1" t="s">
        <v>15</v>
      </c>
      <c r="G296" s="1" t="s">
        <v>32</v>
      </c>
      <c r="H296">
        <v>111</v>
      </c>
      <c r="I296">
        <v>20</v>
      </c>
      <c r="J296">
        <v>339</v>
      </c>
      <c r="K296" s="1" t="s">
        <v>17</v>
      </c>
      <c r="L296" s="1" t="s">
        <v>18</v>
      </c>
      <c r="M296" s="1" t="s">
        <v>678</v>
      </c>
      <c r="N296" s="1" t="s">
        <v>679</v>
      </c>
    </row>
    <row r="297" spans="1:14" x14ac:dyDescent="0.35">
      <c r="A297">
        <v>1708010</v>
      </c>
      <c r="B297" s="1" t="s">
        <v>659</v>
      </c>
      <c r="C297">
        <v>2163.3000000000002</v>
      </c>
      <c r="D297">
        <v>108</v>
      </c>
      <c r="E297" s="1" t="s">
        <v>680</v>
      </c>
      <c r="F297" s="1" t="s">
        <v>15</v>
      </c>
      <c r="G297" s="1" t="s">
        <v>32</v>
      </c>
      <c r="H297">
        <v>137</v>
      </c>
      <c r="I297">
        <v>35</v>
      </c>
      <c r="J297">
        <v>353</v>
      </c>
      <c r="K297" s="1" t="s">
        <v>17</v>
      </c>
      <c r="L297" s="1" t="s">
        <v>18</v>
      </c>
      <c r="M297" s="1" t="s">
        <v>681</v>
      </c>
      <c r="N297" s="1" t="s">
        <v>682</v>
      </c>
    </row>
    <row r="298" spans="1:14" x14ac:dyDescent="0.35">
      <c r="A298">
        <v>1771073</v>
      </c>
      <c r="B298" s="1" t="s">
        <v>659</v>
      </c>
      <c r="C298">
        <v>2163.3000000000002</v>
      </c>
      <c r="D298">
        <v>108</v>
      </c>
      <c r="E298" s="1" t="s">
        <v>683</v>
      </c>
      <c r="F298" s="1" t="s">
        <v>71</v>
      </c>
      <c r="G298" s="1" t="s">
        <v>32</v>
      </c>
      <c r="H298">
        <v>36</v>
      </c>
      <c r="I298">
        <v>20</v>
      </c>
      <c r="K298" s="1" t="s">
        <v>137</v>
      </c>
      <c r="L298" s="1" t="s">
        <v>24</v>
      </c>
      <c r="M298" s="1" t="s">
        <v>684</v>
      </c>
      <c r="N298" s="1" t="s">
        <v>685</v>
      </c>
    </row>
    <row r="299" spans="1:14" x14ac:dyDescent="0.35">
      <c r="A299">
        <v>1771025</v>
      </c>
      <c r="B299" s="1" t="s">
        <v>659</v>
      </c>
      <c r="C299">
        <v>2163.3000000000002</v>
      </c>
      <c r="D299">
        <v>108</v>
      </c>
      <c r="E299" s="1" t="s">
        <v>686</v>
      </c>
      <c r="F299" s="1" t="s">
        <v>129</v>
      </c>
      <c r="G299" s="1" t="s">
        <v>16</v>
      </c>
      <c r="H299">
        <v>194</v>
      </c>
      <c r="I299">
        <v>33</v>
      </c>
      <c r="J299">
        <v>356</v>
      </c>
      <c r="K299" s="1" t="s">
        <v>124</v>
      </c>
      <c r="L299" s="1" t="s">
        <v>18</v>
      </c>
      <c r="M299" s="1" t="s">
        <v>684</v>
      </c>
      <c r="N299" s="1" t="s">
        <v>687</v>
      </c>
    </row>
    <row r="300" spans="1:14" x14ac:dyDescent="0.35">
      <c r="A300">
        <v>1771014</v>
      </c>
      <c r="B300" s="1" t="s">
        <v>659</v>
      </c>
      <c r="C300">
        <v>2163.3000000000002</v>
      </c>
      <c r="D300">
        <v>108</v>
      </c>
      <c r="E300" s="1" t="s">
        <v>688</v>
      </c>
      <c r="F300" s="1" t="s">
        <v>15</v>
      </c>
      <c r="G300" s="1" t="s">
        <v>16</v>
      </c>
      <c r="H300">
        <v>240</v>
      </c>
      <c r="I300">
        <v>52</v>
      </c>
      <c r="J300">
        <v>699</v>
      </c>
      <c r="K300" s="1" t="s">
        <v>124</v>
      </c>
      <c r="L300" s="1" t="s">
        <v>18</v>
      </c>
      <c r="M300" s="1" t="s">
        <v>684</v>
      </c>
      <c r="N300" s="1" t="s">
        <v>689</v>
      </c>
    </row>
    <row r="301" spans="1:14" x14ac:dyDescent="0.35">
      <c r="A301">
        <v>1771062</v>
      </c>
      <c r="B301" s="1" t="s">
        <v>659</v>
      </c>
      <c r="C301">
        <v>2163.3000000000002</v>
      </c>
      <c r="D301">
        <v>108</v>
      </c>
      <c r="E301" s="1" t="s">
        <v>690</v>
      </c>
      <c r="F301" s="1" t="s">
        <v>15</v>
      </c>
      <c r="G301" s="1" t="s">
        <v>32</v>
      </c>
      <c r="H301">
        <v>135</v>
      </c>
      <c r="I301">
        <v>34</v>
      </c>
      <c r="J301">
        <v>326</v>
      </c>
      <c r="K301" s="1" t="s">
        <v>90</v>
      </c>
      <c r="L301" s="1" t="s">
        <v>24</v>
      </c>
      <c r="M301" s="1" t="s">
        <v>684</v>
      </c>
      <c r="N301" s="1" t="s">
        <v>691</v>
      </c>
    </row>
    <row r="302" spans="1:14" x14ac:dyDescent="0.35">
      <c r="A302">
        <v>1771009</v>
      </c>
      <c r="B302" s="1" t="s">
        <v>659</v>
      </c>
      <c r="C302">
        <v>2163.3000000000002</v>
      </c>
      <c r="D302">
        <v>108</v>
      </c>
      <c r="E302" s="1" t="s">
        <v>692</v>
      </c>
      <c r="F302" s="1" t="s">
        <v>15</v>
      </c>
      <c r="G302" s="1" t="s">
        <v>32</v>
      </c>
      <c r="H302">
        <v>115</v>
      </c>
      <c r="I302">
        <v>75</v>
      </c>
      <c r="J302">
        <v>104</v>
      </c>
      <c r="K302" s="1" t="s">
        <v>23</v>
      </c>
      <c r="L302" s="1" t="s">
        <v>24</v>
      </c>
      <c r="M302" s="1" t="s">
        <v>684</v>
      </c>
      <c r="N302" s="1" t="s">
        <v>693</v>
      </c>
    </row>
    <row r="303" spans="1:14" x14ac:dyDescent="0.35">
      <c r="A303">
        <v>1771007</v>
      </c>
      <c r="B303" s="1" t="s">
        <v>659</v>
      </c>
      <c r="C303">
        <v>2163.3000000000002</v>
      </c>
      <c r="D303">
        <v>108</v>
      </c>
      <c r="E303" s="1" t="s">
        <v>694</v>
      </c>
      <c r="F303" s="1" t="s">
        <v>15</v>
      </c>
      <c r="G303" s="1" t="s">
        <v>32</v>
      </c>
      <c r="H303">
        <v>119</v>
      </c>
      <c r="I303">
        <v>38</v>
      </c>
      <c r="J303">
        <v>267</v>
      </c>
      <c r="K303" s="1" t="s">
        <v>23</v>
      </c>
      <c r="L303" s="1" t="s">
        <v>24</v>
      </c>
      <c r="M303" s="1" t="s">
        <v>684</v>
      </c>
      <c r="N303" s="1" t="s">
        <v>695</v>
      </c>
    </row>
    <row r="304" spans="1:14" x14ac:dyDescent="0.35">
      <c r="A304">
        <v>1771051</v>
      </c>
      <c r="B304" s="1" t="s">
        <v>659</v>
      </c>
      <c r="C304">
        <v>2163.3000000000002</v>
      </c>
      <c r="D304">
        <v>108</v>
      </c>
      <c r="E304" s="1" t="s">
        <v>696</v>
      </c>
      <c r="F304" s="1" t="s">
        <v>15</v>
      </c>
      <c r="G304" s="1" t="s">
        <v>32</v>
      </c>
      <c r="H304">
        <v>100</v>
      </c>
      <c r="I304">
        <v>47</v>
      </c>
      <c r="J304">
        <v>458</v>
      </c>
      <c r="K304" s="1" t="s">
        <v>146</v>
      </c>
      <c r="L304" s="1" t="s">
        <v>120</v>
      </c>
      <c r="M304" s="1" t="s">
        <v>684</v>
      </c>
      <c r="N304" s="1" t="s">
        <v>697</v>
      </c>
    </row>
    <row r="305" spans="1:14" x14ac:dyDescent="0.35">
      <c r="A305">
        <v>1771036</v>
      </c>
      <c r="B305" s="1" t="s">
        <v>659</v>
      </c>
      <c r="C305">
        <v>2163.3000000000002</v>
      </c>
      <c r="D305">
        <v>108</v>
      </c>
      <c r="E305" s="1" t="s">
        <v>698</v>
      </c>
      <c r="F305" s="1" t="s">
        <v>15</v>
      </c>
      <c r="G305" s="1" t="s">
        <v>32</v>
      </c>
      <c r="H305">
        <v>100</v>
      </c>
      <c r="I305">
        <v>33</v>
      </c>
      <c r="J305">
        <v>266</v>
      </c>
      <c r="K305" s="1" t="s">
        <v>84</v>
      </c>
      <c r="L305" s="1" t="s">
        <v>24</v>
      </c>
      <c r="M305" s="1" t="s">
        <v>684</v>
      </c>
      <c r="N305" s="1" t="s">
        <v>699</v>
      </c>
    </row>
    <row r="306" spans="1:14" x14ac:dyDescent="0.35">
      <c r="A306">
        <v>1771002</v>
      </c>
      <c r="B306" s="1" t="s">
        <v>659</v>
      </c>
      <c r="C306">
        <v>2163.3000000000002</v>
      </c>
      <c r="D306">
        <v>108</v>
      </c>
      <c r="E306" s="1" t="s">
        <v>700</v>
      </c>
      <c r="F306" s="1" t="s">
        <v>15</v>
      </c>
      <c r="G306" s="1" t="s">
        <v>32</v>
      </c>
      <c r="H306">
        <v>138</v>
      </c>
      <c r="I306">
        <v>42</v>
      </c>
      <c r="J306">
        <v>335</v>
      </c>
      <c r="K306" s="1" t="s">
        <v>137</v>
      </c>
      <c r="L306" s="1" t="s">
        <v>18</v>
      </c>
      <c r="M306" s="1" t="s">
        <v>684</v>
      </c>
      <c r="N306" s="1" t="s">
        <v>701</v>
      </c>
    </row>
    <row r="307" spans="1:14" x14ac:dyDescent="0.35">
      <c r="A307">
        <v>1771040</v>
      </c>
      <c r="B307" s="1" t="s">
        <v>659</v>
      </c>
      <c r="C307">
        <v>2163.3000000000002</v>
      </c>
      <c r="D307">
        <v>108</v>
      </c>
      <c r="E307" s="1" t="s">
        <v>702</v>
      </c>
      <c r="F307" s="1" t="s">
        <v>15</v>
      </c>
      <c r="G307" s="1" t="s">
        <v>22</v>
      </c>
      <c r="H307">
        <v>53</v>
      </c>
      <c r="I307">
        <v>44</v>
      </c>
      <c r="J307">
        <v>237</v>
      </c>
      <c r="K307" s="1" t="s">
        <v>27</v>
      </c>
      <c r="L307" s="1" t="s">
        <v>24</v>
      </c>
      <c r="M307" s="1" t="s">
        <v>684</v>
      </c>
      <c r="N307" s="1" t="s">
        <v>703</v>
      </c>
    </row>
    <row r="308" spans="1:14" x14ac:dyDescent="0.35">
      <c r="A308">
        <v>1707026</v>
      </c>
      <c r="B308" s="1" t="s">
        <v>659</v>
      </c>
      <c r="C308">
        <v>2163.3000000000002</v>
      </c>
      <c r="D308">
        <v>108</v>
      </c>
      <c r="E308" s="1" t="s">
        <v>704</v>
      </c>
      <c r="F308" s="1" t="s">
        <v>15</v>
      </c>
      <c r="G308" s="1" t="s">
        <v>32</v>
      </c>
      <c r="H308">
        <v>102</v>
      </c>
      <c r="I308">
        <v>28</v>
      </c>
      <c r="J308">
        <v>158</v>
      </c>
      <c r="K308" s="1" t="s">
        <v>17</v>
      </c>
      <c r="L308" s="1" t="s">
        <v>18</v>
      </c>
      <c r="M308" s="1" t="s">
        <v>705</v>
      </c>
      <c r="N308" s="1" t="s">
        <v>706</v>
      </c>
    </row>
    <row r="309" spans="1:14" x14ac:dyDescent="0.35">
      <c r="A309">
        <v>1706020</v>
      </c>
      <c r="B309" s="1" t="s">
        <v>659</v>
      </c>
      <c r="C309">
        <v>2163.3000000000002</v>
      </c>
      <c r="D309">
        <v>108</v>
      </c>
      <c r="E309" s="1" t="s">
        <v>707</v>
      </c>
      <c r="F309" s="1" t="s">
        <v>71</v>
      </c>
      <c r="G309" s="1" t="s">
        <v>32</v>
      </c>
      <c r="H309">
        <v>28</v>
      </c>
      <c r="I309">
        <v>21</v>
      </c>
      <c r="J309">
        <v>48</v>
      </c>
      <c r="K309" s="1" t="s">
        <v>23</v>
      </c>
      <c r="L309" s="1" t="s">
        <v>24</v>
      </c>
      <c r="M309" s="1" t="s">
        <v>708</v>
      </c>
      <c r="N309" s="1" t="s">
        <v>709</v>
      </c>
    </row>
    <row r="310" spans="1:14" x14ac:dyDescent="0.35">
      <c r="A310">
        <v>1706019</v>
      </c>
      <c r="B310" s="1" t="s">
        <v>659</v>
      </c>
      <c r="C310">
        <v>2163.3000000000002</v>
      </c>
      <c r="D310">
        <v>108</v>
      </c>
      <c r="E310" s="1" t="s">
        <v>710</v>
      </c>
      <c r="F310" s="1" t="s">
        <v>15</v>
      </c>
      <c r="G310" s="1" t="s">
        <v>32</v>
      </c>
      <c r="H310">
        <v>165</v>
      </c>
      <c r="I310">
        <v>45</v>
      </c>
      <c r="J310">
        <v>491</v>
      </c>
      <c r="K310" s="1" t="s">
        <v>17</v>
      </c>
      <c r="L310" s="1" t="s">
        <v>18</v>
      </c>
      <c r="M310" s="1" t="s">
        <v>708</v>
      </c>
      <c r="N310" s="1" t="s">
        <v>711</v>
      </c>
    </row>
    <row r="311" spans="1:14" x14ac:dyDescent="0.35">
      <c r="A311">
        <v>1702015</v>
      </c>
      <c r="B311" s="1" t="s">
        <v>659</v>
      </c>
      <c r="C311">
        <v>2163.3000000000002</v>
      </c>
      <c r="D311">
        <v>108</v>
      </c>
      <c r="E311" s="1" t="s">
        <v>712</v>
      </c>
      <c r="F311" s="1" t="s">
        <v>15</v>
      </c>
      <c r="G311" s="1" t="s">
        <v>32</v>
      </c>
      <c r="H311">
        <v>122</v>
      </c>
      <c r="I311">
        <v>47</v>
      </c>
      <c r="J311">
        <v>528</v>
      </c>
      <c r="K311" s="1" t="s">
        <v>17</v>
      </c>
      <c r="L311" s="1" t="s">
        <v>18</v>
      </c>
      <c r="M311" s="1" t="s">
        <v>713</v>
      </c>
      <c r="N311" s="1" t="s">
        <v>714</v>
      </c>
    </row>
    <row r="312" spans="1:14" x14ac:dyDescent="0.35">
      <c r="A312">
        <v>1702047</v>
      </c>
      <c r="B312" s="1" t="s">
        <v>659</v>
      </c>
      <c r="C312">
        <v>2163.3000000000002</v>
      </c>
      <c r="D312">
        <v>108</v>
      </c>
      <c r="E312" s="1" t="s">
        <v>715</v>
      </c>
      <c r="F312" s="1" t="s">
        <v>15</v>
      </c>
      <c r="G312" s="1" t="s">
        <v>22</v>
      </c>
      <c r="H312">
        <v>67</v>
      </c>
      <c r="I312">
        <v>4</v>
      </c>
      <c r="K312" s="1" t="s">
        <v>23</v>
      </c>
      <c r="L312" s="1" t="s">
        <v>24</v>
      </c>
      <c r="M312" s="1" t="s">
        <v>713</v>
      </c>
      <c r="N312" s="1" t="s">
        <v>716</v>
      </c>
    </row>
    <row r="313" spans="1:14" x14ac:dyDescent="0.35">
      <c r="A313">
        <v>1702035</v>
      </c>
      <c r="B313" s="1" t="s">
        <v>659</v>
      </c>
      <c r="C313">
        <v>2163.3000000000002</v>
      </c>
      <c r="D313">
        <v>108</v>
      </c>
      <c r="E313" s="1" t="s">
        <v>717</v>
      </c>
      <c r="F313" s="1" t="s">
        <v>15</v>
      </c>
      <c r="G313" s="1" t="s">
        <v>22</v>
      </c>
      <c r="H313">
        <v>89</v>
      </c>
      <c r="I313">
        <v>13</v>
      </c>
      <c r="J313">
        <v>123</v>
      </c>
      <c r="K313" s="1" t="s">
        <v>23</v>
      </c>
      <c r="L313" s="1" t="s">
        <v>24</v>
      </c>
      <c r="M313" s="1" t="s">
        <v>713</v>
      </c>
      <c r="N313" s="1" t="s">
        <v>718</v>
      </c>
    </row>
    <row r="314" spans="1:14" x14ac:dyDescent="0.35">
      <c r="A314">
        <v>1705018</v>
      </c>
      <c r="B314" s="1" t="s">
        <v>659</v>
      </c>
      <c r="C314">
        <v>2163.3000000000002</v>
      </c>
      <c r="D314">
        <v>108</v>
      </c>
      <c r="E314" s="1" t="s">
        <v>719</v>
      </c>
      <c r="F314" s="1" t="s">
        <v>15</v>
      </c>
      <c r="G314" s="1" t="s">
        <v>32</v>
      </c>
      <c r="H314">
        <v>100</v>
      </c>
      <c r="I314">
        <v>23</v>
      </c>
      <c r="J314">
        <v>298</v>
      </c>
      <c r="K314" s="1" t="s">
        <v>17</v>
      </c>
      <c r="L314" s="1" t="s">
        <v>18</v>
      </c>
      <c r="M314" s="1" t="s">
        <v>720</v>
      </c>
      <c r="N314" s="1" t="s">
        <v>721</v>
      </c>
    </row>
    <row r="315" spans="1:14" x14ac:dyDescent="0.35">
      <c r="A315">
        <v>3101002</v>
      </c>
      <c r="B315" s="1" t="s">
        <v>722</v>
      </c>
      <c r="C315">
        <v>10669.7</v>
      </c>
      <c r="D315">
        <v>16129</v>
      </c>
      <c r="E315" s="1" t="s">
        <v>723</v>
      </c>
      <c r="F315" s="1" t="s">
        <v>724</v>
      </c>
      <c r="G315" s="1" t="s">
        <v>15</v>
      </c>
      <c r="I315">
        <v>50</v>
      </c>
      <c r="J315">
        <v>24</v>
      </c>
      <c r="K315" s="1" t="s">
        <v>18</v>
      </c>
      <c r="L315" s="1" t="s">
        <v>22</v>
      </c>
      <c r="M315" s="1" t="s">
        <v>725</v>
      </c>
      <c r="N315" s="1" t="s">
        <v>726</v>
      </c>
    </row>
    <row r="316" spans="1:14" x14ac:dyDescent="0.35">
      <c r="A316">
        <v>3174544</v>
      </c>
      <c r="B316" s="1" t="s">
        <v>722</v>
      </c>
      <c r="C316">
        <v>10669.7</v>
      </c>
      <c r="D316">
        <v>16129</v>
      </c>
      <c r="E316" s="1" t="s">
        <v>727</v>
      </c>
      <c r="F316" s="1" t="s">
        <v>728</v>
      </c>
      <c r="G316" s="1" t="s">
        <v>32</v>
      </c>
      <c r="H316">
        <v>26</v>
      </c>
      <c r="I316">
        <v>28</v>
      </c>
      <c r="K316" s="1" t="s">
        <v>49</v>
      </c>
      <c r="L316" s="1" t="s">
        <v>24</v>
      </c>
      <c r="M316" s="1" t="s">
        <v>729</v>
      </c>
      <c r="N316" s="1" t="s">
        <v>730</v>
      </c>
    </row>
    <row r="317" spans="1:14" x14ac:dyDescent="0.35">
      <c r="A317">
        <v>3174527</v>
      </c>
      <c r="B317" s="1" t="s">
        <v>722</v>
      </c>
      <c r="C317">
        <v>10669.7</v>
      </c>
      <c r="D317">
        <v>16129</v>
      </c>
      <c r="E317" s="1" t="s">
        <v>731</v>
      </c>
      <c r="F317" s="1" t="s">
        <v>119</v>
      </c>
      <c r="G317" s="1" t="s">
        <v>130</v>
      </c>
      <c r="H317">
        <v>14</v>
      </c>
      <c r="I317">
        <v>15</v>
      </c>
      <c r="J317">
        <v>234</v>
      </c>
      <c r="K317" s="1" t="s">
        <v>90</v>
      </c>
      <c r="L317" s="1" t="s">
        <v>24</v>
      </c>
      <c r="M317" s="1" t="s">
        <v>729</v>
      </c>
      <c r="N317" s="1" t="s">
        <v>732</v>
      </c>
    </row>
    <row r="318" spans="1:14" x14ac:dyDescent="0.35">
      <c r="A318">
        <v>3174260</v>
      </c>
      <c r="B318" s="1" t="s">
        <v>722</v>
      </c>
      <c r="C318">
        <v>10669.7</v>
      </c>
      <c r="D318">
        <v>16129</v>
      </c>
      <c r="E318" s="1" t="s">
        <v>733</v>
      </c>
      <c r="F318" s="1" t="s">
        <v>71</v>
      </c>
      <c r="G318" s="1" t="s">
        <v>130</v>
      </c>
      <c r="H318">
        <v>258</v>
      </c>
      <c r="I318">
        <v>52</v>
      </c>
      <c r="J318">
        <v>1418</v>
      </c>
      <c r="K318" s="1" t="s">
        <v>339</v>
      </c>
      <c r="L318" s="1" t="s">
        <v>120</v>
      </c>
      <c r="M318" s="1" t="s">
        <v>729</v>
      </c>
      <c r="N318" s="1" t="s">
        <v>734</v>
      </c>
    </row>
    <row r="319" spans="1:14" x14ac:dyDescent="0.35">
      <c r="A319">
        <v>3174497</v>
      </c>
      <c r="B319" s="1" t="s">
        <v>722</v>
      </c>
      <c r="C319">
        <v>10669.7</v>
      </c>
      <c r="D319">
        <v>16129</v>
      </c>
      <c r="E319" s="1" t="s">
        <v>735</v>
      </c>
      <c r="F319" s="1" t="s">
        <v>71</v>
      </c>
      <c r="G319" s="1" t="s">
        <v>32</v>
      </c>
      <c r="H319">
        <v>34</v>
      </c>
      <c r="I319">
        <v>19</v>
      </c>
      <c r="J319">
        <v>36</v>
      </c>
      <c r="K319" s="1" t="s">
        <v>23</v>
      </c>
      <c r="L319" s="1" t="s">
        <v>24</v>
      </c>
      <c r="M319" s="1" t="s">
        <v>729</v>
      </c>
      <c r="N319" s="1" t="s">
        <v>736</v>
      </c>
    </row>
    <row r="320" spans="1:14" x14ac:dyDescent="0.35">
      <c r="A320">
        <v>3174282</v>
      </c>
      <c r="B320" s="1" t="s">
        <v>722</v>
      </c>
      <c r="C320">
        <v>10669.7</v>
      </c>
      <c r="D320">
        <v>16129</v>
      </c>
      <c r="E320" s="1" t="s">
        <v>737</v>
      </c>
      <c r="F320" s="1" t="s">
        <v>738</v>
      </c>
      <c r="G320" s="1" t="s">
        <v>130</v>
      </c>
      <c r="H320">
        <v>403</v>
      </c>
      <c r="I320">
        <v>52</v>
      </c>
      <c r="J320">
        <v>2458</v>
      </c>
      <c r="K320" s="1" t="s">
        <v>339</v>
      </c>
      <c r="L320" s="1" t="s">
        <v>120</v>
      </c>
      <c r="M320" s="1" t="s">
        <v>729</v>
      </c>
      <c r="N320" s="1" t="s">
        <v>739</v>
      </c>
    </row>
    <row r="321" spans="1:14" x14ac:dyDescent="0.35">
      <c r="A321">
        <v>3174041</v>
      </c>
      <c r="B321" s="1" t="s">
        <v>722</v>
      </c>
      <c r="C321">
        <v>10669.7</v>
      </c>
      <c r="D321">
        <v>16129</v>
      </c>
      <c r="E321" s="1" t="s">
        <v>740</v>
      </c>
      <c r="F321" s="1" t="s">
        <v>129</v>
      </c>
      <c r="G321" s="1" t="s">
        <v>130</v>
      </c>
      <c r="H321">
        <v>3</v>
      </c>
      <c r="I321">
        <v>26</v>
      </c>
      <c r="J321">
        <v>398</v>
      </c>
      <c r="K321" s="1" t="s">
        <v>339</v>
      </c>
      <c r="L321" s="1" t="s">
        <v>120</v>
      </c>
      <c r="M321" s="1" t="s">
        <v>729</v>
      </c>
      <c r="N321" s="1" t="s">
        <v>741</v>
      </c>
    </row>
    <row r="322" spans="1:14" x14ac:dyDescent="0.35">
      <c r="A322">
        <v>3174063</v>
      </c>
      <c r="B322" s="1" t="s">
        <v>722</v>
      </c>
      <c r="C322">
        <v>10669.7</v>
      </c>
      <c r="D322">
        <v>16129</v>
      </c>
      <c r="E322" s="1" t="s">
        <v>742</v>
      </c>
      <c r="F322" s="1" t="s">
        <v>743</v>
      </c>
      <c r="G322" s="1" t="s">
        <v>130</v>
      </c>
      <c r="H322">
        <v>350</v>
      </c>
      <c r="I322">
        <v>96</v>
      </c>
      <c r="J322">
        <v>1268</v>
      </c>
      <c r="K322" s="1" t="s">
        <v>339</v>
      </c>
      <c r="L322" s="1" t="s">
        <v>120</v>
      </c>
      <c r="M322" s="1" t="s">
        <v>729</v>
      </c>
      <c r="N322" s="1" t="s">
        <v>744</v>
      </c>
    </row>
    <row r="323" spans="1:14" x14ac:dyDescent="0.35">
      <c r="A323">
        <v>3174515</v>
      </c>
      <c r="B323" s="1" t="s">
        <v>722</v>
      </c>
      <c r="C323">
        <v>10669.7</v>
      </c>
      <c r="D323">
        <v>16129</v>
      </c>
      <c r="E323" s="1" t="s">
        <v>745</v>
      </c>
      <c r="F323" s="1" t="s">
        <v>334</v>
      </c>
      <c r="G323" s="1" t="s">
        <v>130</v>
      </c>
      <c r="H323">
        <v>25</v>
      </c>
      <c r="I323">
        <v>31</v>
      </c>
      <c r="J323">
        <v>242</v>
      </c>
      <c r="K323" s="1" t="s">
        <v>90</v>
      </c>
      <c r="L323" s="1" t="s">
        <v>24</v>
      </c>
      <c r="M323" s="1" t="s">
        <v>729</v>
      </c>
      <c r="N323" s="1" t="s">
        <v>746</v>
      </c>
    </row>
    <row r="324" spans="1:14" x14ac:dyDescent="0.35">
      <c r="A324">
        <v>3174486</v>
      </c>
      <c r="B324" s="1" t="s">
        <v>722</v>
      </c>
      <c r="C324">
        <v>10669.7</v>
      </c>
      <c r="D324">
        <v>16129</v>
      </c>
      <c r="E324" s="1" t="s">
        <v>747</v>
      </c>
      <c r="F324" s="1" t="s">
        <v>15</v>
      </c>
      <c r="G324" s="1" t="s">
        <v>16</v>
      </c>
      <c r="H324">
        <v>220</v>
      </c>
      <c r="I324">
        <v>111</v>
      </c>
      <c r="J324">
        <v>571</v>
      </c>
      <c r="K324" s="1" t="s">
        <v>23</v>
      </c>
      <c r="L324" s="1" t="s">
        <v>24</v>
      </c>
      <c r="M324" s="1" t="s">
        <v>729</v>
      </c>
      <c r="N324" s="1" t="s">
        <v>748</v>
      </c>
    </row>
    <row r="325" spans="1:14" x14ac:dyDescent="0.35">
      <c r="A325">
        <v>3174052</v>
      </c>
      <c r="B325" s="1" t="s">
        <v>722</v>
      </c>
      <c r="C325">
        <v>10669.7</v>
      </c>
      <c r="D325">
        <v>16129</v>
      </c>
      <c r="E325" s="1" t="s">
        <v>749</v>
      </c>
      <c r="F325" s="1" t="s">
        <v>15</v>
      </c>
      <c r="G325" s="1" t="s">
        <v>16</v>
      </c>
      <c r="H325">
        <v>224</v>
      </c>
      <c r="I325">
        <v>123</v>
      </c>
      <c r="J325">
        <v>801</v>
      </c>
      <c r="K325" s="1" t="s">
        <v>90</v>
      </c>
      <c r="L325" s="1" t="s">
        <v>24</v>
      </c>
      <c r="M325" s="1" t="s">
        <v>729</v>
      </c>
      <c r="N325" s="1" t="s">
        <v>750</v>
      </c>
    </row>
    <row r="326" spans="1:14" x14ac:dyDescent="0.35">
      <c r="A326">
        <v>3174074</v>
      </c>
      <c r="B326" s="1" t="s">
        <v>722</v>
      </c>
      <c r="C326">
        <v>10669.7</v>
      </c>
      <c r="D326">
        <v>16129</v>
      </c>
      <c r="E326" s="1" t="s">
        <v>751</v>
      </c>
      <c r="F326" s="1" t="s">
        <v>15</v>
      </c>
      <c r="G326" s="1" t="s">
        <v>16</v>
      </c>
      <c r="H326">
        <v>410</v>
      </c>
      <c r="I326">
        <v>110</v>
      </c>
      <c r="J326">
        <v>1086</v>
      </c>
      <c r="K326" s="1" t="s">
        <v>124</v>
      </c>
      <c r="L326" s="1" t="s">
        <v>18</v>
      </c>
      <c r="M326" s="1" t="s">
        <v>729</v>
      </c>
      <c r="N326" s="1" t="s">
        <v>752</v>
      </c>
    </row>
    <row r="327" spans="1:14" x14ac:dyDescent="0.35">
      <c r="A327">
        <v>3174522</v>
      </c>
      <c r="B327" s="1" t="s">
        <v>722</v>
      </c>
      <c r="C327">
        <v>10669.7</v>
      </c>
      <c r="D327">
        <v>16129</v>
      </c>
      <c r="E327" s="1" t="s">
        <v>753</v>
      </c>
      <c r="F327" s="1" t="s">
        <v>15</v>
      </c>
      <c r="G327" s="1" t="s">
        <v>16</v>
      </c>
      <c r="H327">
        <v>200</v>
      </c>
      <c r="I327">
        <v>94</v>
      </c>
      <c r="J327">
        <v>245</v>
      </c>
      <c r="K327" s="1" t="s">
        <v>23</v>
      </c>
      <c r="L327" s="1" t="s">
        <v>24</v>
      </c>
      <c r="M327" s="1" t="s">
        <v>729</v>
      </c>
      <c r="N327" s="1" t="s">
        <v>754</v>
      </c>
    </row>
    <row r="328" spans="1:14" x14ac:dyDescent="0.35">
      <c r="A328">
        <v>3174351</v>
      </c>
      <c r="B328" s="1" t="s">
        <v>722</v>
      </c>
      <c r="C328">
        <v>10669.7</v>
      </c>
      <c r="D328">
        <v>16129</v>
      </c>
      <c r="E328" s="1" t="s">
        <v>755</v>
      </c>
      <c r="F328" s="1" t="s">
        <v>15</v>
      </c>
      <c r="G328" s="1" t="s">
        <v>16</v>
      </c>
      <c r="H328">
        <v>183</v>
      </c>
      <c r="I328">
        <v>99</v>
      </c>
      <c r="J328">
        <v>957</v>
      </c>
      <c r="K328" s="1" t="s">
        <v>23</v>
      </c>
      <c r="L328" s="1" t="s">
        <v>24</v>
      </c>
      <c r="M328" s="1" t="s">
        <v>729</v>
      </c>
      <c r="N328" s="1" t="s">
        <v>756</v>
      </c>
    </row>
    <row r="329" spans="1:14" x14ac:dyDescent="0.35">
      <c r="A329">
        <v>3174015</v>
      </c>
      <c r="B329" s="1" t="s">
        <v>722</v>
      </c>
      <c r="C329">
        <v>10669.7</v>
      </c>
      <c r="D329">
        <v>16129</v>
      </c>
      <c r="E329" s="1" t="s">
        <v>757</v>
      </c>
      <c r="F329" s="1" t="s">
        <v>15</v>
      </c>
      <c r="G329" s="1" t="s">
        <v>16</v>
      </c>
      <c r="H329">
        <v>206</v>
      </c>
      <c r="I329">
        <v>118</v>
      </c>
      <c r="J329">
        <v>627</v>
      </c>
      <c r="K329" s="1" t="s">
        <v>84</v>
      </c>
      <c r="L329" s="1" t="s">
        <v>24</v>
      </c>
      <c r="M329" s="1" t="s">
        <v>729</v>
      </c>
      <c r="N329" s="1" t="s">
        <v>758</v>
      </c>
    </row>
    <row r="330" spans="1:14" x14ac:dyDescent="0.35">
      <c r="A330">
        <v>3174026</v>
      </c>
      <c r="B330" s="1" t="s">
        <v>722</v>
      </c>
      <c r="C330">
        <v>10669.7</v>
      </c>
      <c r="D330">
        <v>16129</v>
      </c>
      <c r="E330" s="1" t="s">
        <v>759</v>
      </c>
      <c r="F330" s="1" t="s">
        <v>15</v>
      </c>
      <c r="G330" s="1" t="s">
        <v>16</v>
      </c>
      <c r="H330">
        <v>600</v>
      </c>
      <c r="I330">
        <v>117</v>
      </c>
      <c r="J330">
        <v>1335</v>
      </c>
      <c r="K330" s="1" t="s">
        <v>61</v>
      </c>
      <c r="L330" s="1" t="s">
        <v>24</v>
      </c>
      <c r="M330" s="1" t="s">
        <v>729</v>
      </c>
      <c r="N330" s="1" t="s">
        <v>760</v>
      </c>
    </row>
    <row r="331" spans="1:14" x14ac:dyDescent="0.35">
      <c r="A331">
        <v>3174431</v>
      </c>
      <c r="B331" s="1" t="s">
        <v>722</v>
      </c>
      <c r="C331">
        <v>10669.7</v>
      </c>
      <c r="D331">
        <v>16129</v>
      </c>
      <c r="E331" s="1" t="s">
        <v>761</v>
      </c>
      <c r="F331" s="1" t="s">
        <v>15</v>
      </c>
      <c r="G331" s="1" t="s">
        <v>16</v>
      </c>
      <c r="H331">
        <v>311</v>
      </c>
      <c r="I331">
        <v>95</v>
      </c>
      <c r="J331">
        <v>800</v>
      </c>
      <c r="K331" s="1" t="s">
        <v>23</v>
      </c>
      <c r="L331" s="1" t="s">
        <v>24</v>
      </c>
      <c r="M331" s="1" t="s">
        <v>729</v>
      </c>
      <c r="N331" s="1" t="s">
        <v>762</v>
      </c>
    </row>
    <row r="332" spans="1:14" x14ac:dyDescent="0.35">
      <c r="A332">
        <v>3174508</v>
      </c>
      <c r="B332" s="1" t="s">
        <v>722</v>
      </c>
      <c r="C332">
        <v>10669.7</v>
      </c>
      <c r="D332">
        <v>16129</v>
      </c>
      <c r="E332" s="1" t="s">
        <v>763</v>
      </c>
      <c r="F332" s="1" t="s">
        <v>15</v>
      </c>
      <c r="G332" s="1" t="s">
        <v>16</v>
      </c>
      <c r="H332">
        <v>200</v>
      </c>
      <c r="I332">
        <v>102</v>
      </c>
      <c r="J332">
        <v>247</v>
      </c>
      <c r="K332" s="1" t="s">
        <v>23</v>
      </c>
      <c r="L332" s="1" t="s">
        <v>24</v>
      </c>
      <c r="M332" s="1" t="s">
        <v>729</v>
      </c>
      <c r="N332" s="1" t="s">
        <v>764</v>
      </c>
    </row>
    <row r="333" spans="1:14" x14ac:dyDescent="0.35">
      <c r="A333">
        <v>3174531</v>
      </c>
      <c r="B333" s="1" t="s">
        <v>722</v>
      </c>
      <c r="C333">
        <v>10669.7</v>
      </c>
      <c r="D333">
        <v>16129</v>
      </c>
      <c r="E333" s="1" t="s">
        <v>765</v>
      </c>
      <c r="F333" s="1" t="s">
        <v>15</v>
      </c>
      <c r="G333" s="1" t="s">
        <v>32</v>
      </c>
      <c r="H333">
        <v>108</v>
      </c>
      <c r="I333">
        <v>32</v>
      </c>
      <c r="K333" s="1" t="s">
        <v>90</v>
      </c>
      <c r="L333" s="1" t="s">
        <v>24</v>
      </c>
      <c r="M333" s="1" t="s">
        <v>729</v>
      </c>
      <c r="N333" s="1" t="s">
        <v>766</v>
      </c>
    </row>
    <row r="334" spans="1:14" x14ac:dyDescent="0.35">
      <c r="A334">
        <v>3174518</v>
      </c>
      <c r="B334" s="1" t="s">
        <v>722</v>
      </c>
      <c r="C334">
        <v>10669.7</v>
      </c>
      <c r="D334">
        <v>16129</v>
      </c>
      <c r="E334" s="1" t="s">
        <v>767</v>
      </c>
      <c r="F334" s="1" t="s">
        <v>15</v>
      </c>
      <c r="G334" s="1" t="s">
        <v>32</v>
      </c>
      <c r="H334">
        <v>116</v>
      </c>
      <c r="I334">
        <v>34</v>
      </c>
      <c r="J334">
        <v>258</v>
      </c>
      <c r="K334" s="1" t="s">
        <v>124</v>
      </c>
      <c r="L334" s="1" t="s">
        <v>18</v>
      </c>
      <c r="M334" s="1" t="s">
        <v>729</v>
      </c>
      <c r="N334" s="1" t="s">
        <v>768</v>
      </c>
    </row>
    <row r="335" spans="1:14" x14ac:dyDescent="0.35">
      <c r="A335">
        <v>3174420</v>
      </c>
      <c r="B335" s="1" t="s">
        <v>722</v>
      </c>
      <c r="C335">
        <v>10669.7</v>
      </c>
      <c r="D335">
        <v>16129</v>
      </c>
      <c r="E335" s="1" t="s">
        <v>769</v>
      </c>
      <c r="F335" s="1" t="s">
        <v>15</v>
      </c>
      <c r="G335" s="1" t="s">
        <v>32</v>
      </c>
      <c r="H335">
        <v>102</v>
      </c>
      <c r="I335">
        <v>101</v>
      </c>
      <c r="J335">
        <v>212</v>
      </c>
      <c r="K335" s="1" t="s">
        <v>23</v>
      </c>
      <c r="L335" s="1" t="s">
        <v>24</v>
      </c>
      <c r="M335" s="1" t="s">
        <v>729</v>
      </c>
      <c r="N335" s="1" t="s">
        <v>770</v>
      </c>
    </row>
    <row r="336" spans="1:14" x14ac:dyDescent="0.35">
      <c r="A336">
        <v>3174030</v>
      </c>
      <c r="B336" s="1" t="s">
        <v>722</v>
      </c>
      <c r="C336">
        <v>10669.7</v>
      </c>
      <c r="D336">
        <v>16129</v>
      </c>
      <c r="E336" s="1" t="s">
        <v>771</v>
      </c>
      <c r="F336" s="1" t="s">
        <v>15</v>
      </c>
      <c r="G336" s="1" t="s">
        <v>32</v>
      </c>
      <c r="H336">
        <v>206</v>
      </c>
      <c r="I336">
        <v>34</v>
      </c>
      <c r="J336">
        <v>200</v>
      </c>
      <c r="K336" s="1" t="s">
        <v>84</v>
      </c>
      <c r="L336" s="1" t="s">
        <v>24</v>
      </c>
      <c r="M336" s="1" t="s">
        <v>729</v>
      </c>
      <c r="N336" s="1" t="s">
        <v>772</v>
      </c>
    </row>
    <row r="337" spans="1:14" x14ac:dyDescent="0.35">
      <c r="A337">
        <v>3174519</v>
      </c>
      <c r="B337" s="1" t="s">
        <v>722</v>
      </c>
      <c r="C337">
        <v>10669.7</v>
      </c>
      <c r="D337">
        <v>16129</v>
      </c>
      <c r="E337" s="1" t="s">
        <v>773</v>
      </c>
      <c r="F337" s="1" t="s">
        <v>15</v>
      </c>
      <c r="G337" s="1" t="s">
        <v>32</v>
      </c>
      <c r="H337">
        <v>92</v>
      </c>
      <c r="I337">
        <v>75</v>
      </c>
      <c r="J337">
        <v>465</v>
      </c>
      <c r="K337" s="1" t="s">
        <v>90</v>
      </c>
      <c r="L337" s="1" t="s">
        <v>24</v>
      </c>
      <c r="M337" s="1" t="s">
        <v>729</v>
      </c>
      <c r="N337" s="1" t="s">
        <v>774</v>
      </c>
    </row>
    <row r="338" spans="1:14" x14ac:dyDescent="0.35">
      <c r="A338">
        <v>3174453</v>
      </c>
      <c r="B338" s="1" t="s">
        <v>722</v>
      </c>
      <c r="C338">
        <v>10669.7</v>
      </c>
      <c r="D338">
        <v>16129</v>
      </c>
      <c r="E338" s="1" t="s">
        <v>775</v>
      </c>
      <c r="F338" s="1" t="s">
        <v>15</v>
      </c>
      <c r="G338" s="1" t="s">
        <v>32</v>
      </c>
      <c r="H338">
        <v>145</v>
      </c>
      <c r="I338">
        <v>36</v>
      </c>
      <c r="J338">
        <v>213</v>
      </c>
      <c r="K338" s="1" t="s">
        <v>84</v>
      </c>
      <c r="L338" s="1" t="s">
        <v>24</v>
      </c>
      <c r="M338" s="1" t="s">
        <v>729</v>
      </c>
      <c r="N338" s="1" t="s">
        <v>776</v>
      </c>
    </row>
    <row r="339" spans="1:14" x14ac:dyDescent="0.35">
      <c r="A339">
        <v>3174517</v>
      </c>
      <c r="B339" s="1" t="s">
        <v>722</v>
      </c>
      <c r="C339">
        <v>10669.7</v>
      </c>
      <c r="D339">
        <v>16129</v>
      </c>
      <c r="E339" s="1" t="s">
        <v>777</v>
      </c>
      <c r="F339" s="1" t="s">
        <v>15</v>
      </c>
      <c r="G339" s="1" t="s">
        <v>32</v>
      </c>
      <c r="H339">
        <v>98</v>
      </c>
      <c r="I339">
        <v>28</v>
      </c>
      <c r="J339">
        <v>147</v>
      </c>
      <c r="K339" s="1" t="s">
        <v>124</v>
      </c>
      <c r="L339" s="1" t="s">
        <v>24</v>
      </c>
      <c r="M339" s="1" t="s">
        <v>729</v>
      </c>
      <c r="N339" s="1" t="s">
        <v>778</v>
      </c>
    </row>
    <row r="340" spans="1:14" x14ac:dyDescent="0.35">
      <c r="A340">
        <v>3174416</v>
      </c>
      <c r="B340" s="1" t="s">
        <v>722</v>
      </c>
      <c r="C340">
        <v>10669.7</v>
      </c>
      <c r="D340">
        <v>16129</v>
      </c>
      <c r="E340" s="1" t="s">
        <v>779</v>
      </c>
      <c r="F340" s="1" t="s">
        <v>15</v>
      </c>
      <c r="G340" s="1" t="s">
        <v>32</v>
      </c>
      <c r="H340">
        <v>100</v>
      </c>
      <c r="I340">
        <v>62</v>
      </c>
      <c r="J340">
        <v>54</v>
      </c>
      <c r="K340" s="1" t="s">
        <v>84</v>
      </c>
      <c r="L340" s="1" t="s">
        <v>24</v>
      </c>
      <c r="M340" s="1" t="s">
        <v>729</v>
      </c>
      <c r="N340" s="1" t="s">
        <v>780</v>
      </c>
    </row>
    <row r="341" spans="1:14" x14ac:dyDescent="0.35">
      <c r="A341">
        <v>3174525</v>
      </c>
      <c r="B341" s="1" t="s">
        <v>722</v>
      </c>
      <c r="C341">
        <v>10669.7</v>
      </c>
      <c r="D341">
        <v>16129</v>
      </c>
      <c r="E341" s="1" t="s">
        <v>781</v>
      </c>
      <c r="F341" s="1" t="s">
        <v>15</v>
      </c>
      <c r="G341" s="1" t="s">
        <v>22</v>
      </c>
      <c r="H341">
        <v>54</v>
      </c>
      <c r="I341">
        <v>23</v>
      </c>
      <c r="J341">
        <v>268</v>
      </c>
      <c r="K341" s="1" t="s">
        <v>124</v>
      </c>
      <c r="L341" s="1" t="s">
        <v>18</v>
      </c>
      <c r="M341" s="1" t="s">
        <v>729</v>
      </c>
      <c r="N341" s="1" t="s">
        <v>782</v>
      </c>
    </row>
    <row r="342" spans="1:14" x14ac:dyDescent="0.35">
      <c r="A342">
        <v>3174510</v>
      </c>
      <c r="B342" s="1" t="s">
        <v>722</v>
      </c>
      <c r="C342">
        <v>10669.7</v>
      </c>
      <c r="D342">
        <v>16129</v>
      </c>
      <c r="E342" s="1" t="s">
        <v>783</v>
      </c>
      <c r="F342" s="1" t="s">
        <v>15</v>
      </c>
      <c r="G342" s="1" t="s">
        <v>22</v>
      </c>
      <c r="H342">
        <v>50</v>
      </c>
      <c r="I342">
        <v>33</v>
      </c>
      <c r="J342">
        <v>126</v>
      </c>
      <c r="K342" s="1" t="s">
        <v>23</v>
      </c>
      <c r="L342" s="1" t="s">
        <v>24</v>
      </c>
      <c r="M342" s="1" t="s">
        <v>729</v>
      </c>
      <c r="N342" s="1" t="s">
        <v>784</v>
      </c>
    </row>
    <row r="343" spans="1:14" x14ac:dyDescent="0.35">
      <c r="A343">
        <v>3174542</v>
      </c>
      <c r="B343" s="1" t="s">
        <v>722</v>
      </c>
      <c r="C343">
        <v>10669.7</v>
      </c>
      <c r="D343">
        <v>16129</v>
      </c>
      <c r="E343" s="1" t="s">
        <v>785</v>
      </c>
      <c r="F343" s="1" t="s">
        <v>15</v>
      </c>
      <c r="G343" s="1" t="s">
        <v>22</v>
      </c>
      <c r="H343">
        <v>59</v>
      </c>
      <c r="I343">
        <v>69</v>
      </c>
      <c r="K343" s="1" t="s">
        <v>23</v>
      </c>
      <c r="L343" s="1" t="s">
        <v>24</v>
      </c>
      <c r="M343" s="1" t="s">
        <v>729</v>
      </c>
      <c r="N343" s="1" t="s">
        <v>786</v>
      </c>
    </row>
    <row r="344" spans="1:14" x14ac:dyDescent="0.35">
      <c r="A344">
        <v>3173634</v>
      </c>
      <c r="B344" s="1" t="s">
        <v>722</v>
      </c>
      <c r="C344">
        <v>10669.7</v>
      </c>
      <c r="D344">
        <v>16129</v>
      </c>
      <c r="E344" s="1" t="s">
        <v>787</v>
      </c>
      <c r="F344" s="1" t="s">
        <v>220</v>
      </c>
      <c r="G344" s="1" t="s">
        <v>32</v>
      </c>
      <c r="H344">
        <v>25</v>
      </c>
      <c r="I344">
        <v>16</v>
      </c>
      <c r="J344">
        <v>27</v>
      </c>
      <c r="K344" s="1" t="s">
        <v>84</v>
      </c>
      <c r="L344" s="1" t="s">
        <v>24</v>
      </c>
      <c r="M344" s="1" t="s">
        <v>788</v>
      </c>
      <c r="N344" s="1" t="s">
        <v>789</v>
      </c>
    </row>
    <row r="345" spans="1:14" x14ac:dyDescent="0.35">
      <c r="A345">
        <v>3173671</v>
      </c>
      <c r="B345" s="1" t="s">
        <v>722</v>
      </c>
      <c r="C345">
        <v>10669.7</v>
      </c>
      <c r="D345">
        <v>16129</v>
      </c>
      <c r="E345" s="1" t="s">
        <v>790</v>
      </c>
      <c r="F345" s="1" t="s">
        <v>119</v>
      </c>
      <c r="G345" s="1" t="s">
        <v>130</v>
      </c>
      <c r="H345">
        <v>15</v>
      </c>
      <c r="I345">
        <v>22</v>
      </c>
      <c r="J345">
        <v>600</v>
      </c>
      <c r="K345" s="1" t="s">
        <v>49</v>
      </c>
      <c r="L345" s="1" t="s">
        <v>24</v>
      </c>
      <c r="M345" s="1" t="s">
        <v>788</v>
      </c>
      <c r="N345" s="1" t="s">
        <v>791</v>
      </c>
    </row>
    <row r="346" spans="1:14" x14ac:dyDescent="0.35">
      <c r="A346">
        <v>3173707</v>
      </c>
      <c r="B346" s="1" t="s">
        <v>722</v>
      </c>
      <c r="C346">
        <v>10669.7</v>
      </c>
      <c r="D346">
        <v>16129</v>
      </c>
      <c r="E346" s="1" t="s">
        <v>792</v>
      </c>
      <c r="F346" s="1" t="s">
        <v>119</v>
      </c>
      <c r="G346" s="1" t="s">
        <v>16</v>
      </c>
      <c r="H346">
        <v>12</v>
      </c>
      <c r="I346">
        <v>19</v>
      </c>
      <c r="J346">
        <v>74</v>
      </c>
      <c r="K346" s="1" t="s">
        <v>23</v>
      </c>
      <c r="L346" s="1" t="s">
        <v>24</v>
      </c>
      <c r="M346" s="1" t="s">
        <v>788</v>
      </c>
      <c r="N346" s="1" t="s">
        <v>793</v>
      </c>
    </row>
    <row r="347" spans="1:14" x14ac:dyDescent="0.35">
      <c r="A347">
        <v>3173697</v>
      </c>
      <c r="B347" s="1" t="s">
        <v>722</v>
      </c>
      <c r="C347">
        <v>10669.7</v>
      </c>
      <c r="D347">
        <v>16129</v>
      </c>
      <c r="E347" s="1" t="s">
        <v>794</v>
      </c>
      <c r="F347" s="1" t="s">
        <v>119</v>
      </c>
      <c r="G347" s="1" t="s">
        <v>16</v>
      </c>
      <c r="H347">
        <v>12</v>
      </c>
      <c r="I347">
        <v>20</v>
      </c>
      <c r="J347">
        <v>43</v>
      </c>
      <c r="K347" s="1" t="s">
        <v>191</v>
      </c>
      <c r="L347" s="1" t="s">
        <v>24</v>
      </c>
      <c r="M347" s="1" t="s">
        <v>788</v>
      </c>
      <c r="N347" s="1" t="s">
        <v>795</v>
      </c>
    </row>
    <row r="348" spans="1:14" x14ac:dyDescent="0.35">
      <c r="A348">
        <v>3173120</v>
      </c>
      <c r="B348" s="1" t="s">
        <v>722</v>
      </c>
      <c r="C348">
        <v>10669.7</v>
      </c>
      <c r="D348">
        <v>16129</v>
      </c>
      <c r="E348" s="1" t="s">
        <v>796</v>
      </c>
      <c r="F348" s="1" t="s">
        <v>71</v>
      </c>
      <c r="G348" s="1" t="s">
        <v>16</v>
      </c>
      <c r="H348">
        <v>61</v>
      </c>
      <c r="I348">
        <v>60</v>
      </c>
      <c r="J348">
        <v>463</v>
      </c>
      <c r="K348" s="1" t="s">
        <v>90</v>
      </c>
      <c r="L348" s="1" t="s">
        <v>24</v>
      </c>
      <c r="M348" s="1" t="s">
        <v>788</v>
      </c>
      <c r="N348" s="1" t="s">
        <v>797</v>
      </c>
    </row>
    <row r="349" spans="1:14" x14ac:dyDescent="0.35">
      <c r="A349">
        <v>3173695</v>
      </c>
      <c r="B349" s="1" t="s">
        <v>722</v>
      </c>
      <c r="C349">
        <v>10669.7</v>
      </c>
      <c r="D349">
        <v>16129</v>
      </c>
      <c r="E349" s="1" t="s">
        <v>798</v>
      </c>
      <c r="F349" s="1" t="s">
        <v>71</v>
      </c>
      <c r="G349" s="1" t="s">
        <v>32</v>
      </c>
      <c r="H349">
        <v>34</v>
      </c>
      <c r="I349">
        <v>30</v>
      </c>
      <c r="J349">
        <v>220</v>
      </c>
      <c r="K349" s="1" t="s">
        <v>23</v>
      </c>
      <c r="L349" s="1" t="s">
        <v>24</v>
      </c>
      <c r="M349" s="1" t="s">
        <v>788</v>
      </c>
      <c r="N349" s="1" t="s">
        <v>799</v>
      </c>
    </row>
    <row r="350" spans="1:14" x14ac:dyDescent="0.35">
      <c r="A350">
        <v>3173623</v>
      </c>
      <c r="B350" s="1" t="s">
        <v>722</v>
      </c>
      <c r="C350">
        <v>10669.7</v>
      </c>
      <c r="D350">
        <v>16129</v>
      </c>
      <c r="E350" s="1" t="s">
        <v>800</v>
      </c>
      <c r="F350" s="1" t="s">
        <v>334</v>
      </c>
      <c r="G350" s="1" t="s">
        <v>16</v>
      </c>
      <c r="H350">
        <v>18</v>
      </c>
      <c r="I350">
        <v>33</v>
      </c>
      <c r="J350">
        <v>263</v>
      </c>
      <c r="K350" s="1" t="s">
        <v>23</v>
      </c>
      <c r="L350" s="1" t="s">
        <v>24</v>
      </c>
      <c r="M350" s="1" t="s">
        <v>788</v>
      </c>
      <c r="N350" s="1" t="s">
        <v>801</v>
      </c>
    </row>
    <row r="351" spans="1:14" x14ac:dyDescent="0.35">
      <c r="A351">
        <v>3173532</v>
      </c>
      <c r="B351" s="1" t="s">
        <v>722</v>
      </c>
      <c r="C351">
        <v>10669.7</v>
      </c>
      <c r="D351">
        <v>16129</v>
      </c>
      <c r="E351" s="1" t="s">
        <v>802</v>
      </c>
      <c r="F351" s="1" t="s">
        <v>524</v>
      </c>
      <c r="G351" s="1" t="s">
        <v>16</v>
      </c>
      <c r="H351">
        <v>25</v>
      </c>
      <c r="I351">
        <v>30</v>
      </c>
      <c r="J351">
        <v>181</v>
      </c>
      <c r="K351" s="1" t="s">
        <v>23</v>
      </c>
      <c r="L351" s="1" t="s">
        <v>24</v>
      </c>
      <c r="M351" s="1" t="s">
        <v>788</v>
      </c>
      <c r="N351" s="1" t="s">
        <v>803</v>
      </c>
    </row>
    <row r="352" spans="1:14" x14ac:dyDescent="0.35">
      <c r="A352">
        <v>3173704</v>
      </c>
      <c r="B352" s="1" t="s">
        <v>722</v>
      </c>
      <c r="C352">
        <v>10669.7</v>
      </c>
      <c r="D352">
        <v>16129</v>
      </c>
      <c r="E352" s="1" t="s">
        <v>804</v>
      </c>
      <c r="F352" s="1" t="s">
        <v>524</v>
      </c>
      <c r="G352" s="1" t="s">
        <v>32</v>
      </c>
      <c r="H352">
        <v>19</v>
      </c>
      <c r="I352">
        <v>23</v>
      </c>
      <c r="J352">
        <v>25</v>
      </c>
      <c r="K352" s="1" t="s">
        <v>23</v>
      </c>
      <c r="L352" s="1" t="s">
        <v>24</v>
      </c>
      <c r="M352" s="1" t="s">
        <v>788</v>
      </c>
      <c r="N352" s="1" t="s">
        <v>805</v>
      </c>
    </row>
    <row r="353" spans="1:14" x14ac:dyDescent="0.35">
      <c r="A353">
        <v>3173612</v>
      </c>
      <c r="B353" s="1" t="s">
        <v>722</v>
      </c>
      <c r="C353">
        <v>10669.7</v>
      </c>
      <c r="D353">
        <v>16129</v>
      </c>
      <c r="E353" s="1" t="s">
        <v>806</v>
      </c>
      <c r="F353" s="1" t="s">
        <v>524</v>
      </c>
      <c r="G353" s="1" t="s">
        <v>32</v>
      </c>
      <c r="H353">
        <v>15</v>
      </c>
      <c r="I353">
        <v>13</v>
      </c>
      <c r="J353">
        <v>44</v>
      </c>
      <c r="K353" s="1" t="s">
        <v>23</v>
      </c>
      <c r="L353" s="1" t="s">
        <v>24</v>
      </c>
      <c r="M353" s="1" t="s">
        <v>788</v>
      </c>
      <c r="N353" s="1" t="s">
        <v>807</v>
      </c>
    </row>
    <row r="354" spans="1:14" x14ac:dyDescent="0.35">
      <c r="A354">
        <v>3173521</v>
      </c>
      <c r="B354" s="1" t="s">
        <v>722</v>
      </c>
      <c r="C354">
        <v>10669.7</v>
      </c>
      <c r="D354">
        <v>16129</v>
      </c>
      <c r="E354" s="1" t="s">
        <v>808</v>
      </c>
      <c r="F354" s="1" t="s">
        <v>15</v>
      </c>
      <c r="G354" s="1" t="s">
        <v>130</v>
      </c>
      <c r="H354">
        <v>437</v>
      </c>
      <c r="I354">
        <v>125</v>
      </c>
      <c r="J354">
        <v>1065</v>
      </c>
      <c r="K354" s="1" t="s">
        <v>124</v>
      </c>
      <c r="L354" s="1" t="s">
        <v>18</v>
      </c>
      <c r="M354" s="1" t="s">
        <v>788</v>
      </c>
      <c r="N354" s="1" t="s">
        <v>809</v>
      </c>
    </row>
    <row r="355" spans="1:14" x14ac:dyDescent="0.35">
      <c r="A355">
        <v>3173025</v>
      </c>
      <c r="B355" s="1" t="s">
        <v>722</v>
      </c>
      <c r="C355">
        <v>10669.7</v>
      </c>
      <c r="D355">
        <v>16129</v>
      </c>
      <c r="E355" s="1" t="s">
        <v>810</v>
      </c>
      <c r="F355" s="1" t="s">
        <v>15</v>
      </c>
      <c r="G355" s="1" t="s">
        <v>130</v>
      </c>
      <c r="H355">
        <v>568</v>
      </c>
      <c r="I355">
        <v>58</v>
      </c>
      <c r="J355">
        <v>2933</v>
      </c>
      <c r="K355" s="1" t="s">
        <v>27</v>
      </c>
      <c r="L355" s="1" t="s">
        <v>120</v>
      </c>
      <c r="M355" s="1" t="s">
        <v>788</v>
      </c>
      <c r="N355" s="1" t="s">
        <v>811</v>
      </c>
    </row>
    <row r="356" spans="1:14" x14ac:dyDescent="0.35">
      <c r="A356">
        <v>3173014</v>
      </c>
      <c r="B356" s="1" t="s">
        <v>722</v>
      </c>
      <c r="C356">
        <v>10669.7</v>
      </c>
      <c r="D356">
        <v>16129</v>
      </c>
      <c r="E356" s="1" t="s">
        <v>812</v>
      </c>
      <c r="F356" s="1" t="s">
        <v>15</v>
      </c>
      <c r="G356" s="1" t="s">
        <v>130</v>
      </c>
      <c r="H356">
        <v>1542</v>
      </c>
      <c r="I356">
        <v>81</v>
      </c>
      <c r="J356">
        <v>6325</v>
      </c>
      <c r="K356" s="1" t="s">
        <v>339</v>
      </c>
      <c r="L356" s="1" t="s">
        <v>120</v>
      </c>
      <c r="M356" s="1" t="s">
        <v>788</v>
      </c>
      <c r="N356" s="1" t="s">
        <v>813</v>
      </c>
    </row>
    <row r="357" spans="1:14" x14ac:dyDescent="0.35">
      <c r="A357">
        <v>3173712</v>
      </c>
      <c r="B357" s="1" t="s">
        <v>722</v>
      </c>
      <c r="C357">
        <v>10669.7</v>
      </c>
      <c r="D357">
        <v>16129</v>
      </c>
      <c r="E357" s="1" t="s">
        <v>814</v>
      </c>
      <c r="F357" s="1" t="s">
        <v>15</v>
      </c>
      <c r="G357" s="1" t="s">
        <v>16</v>
      </c>
      <c r="H357">
        <v>211</v>
      </c>
      <c r="I357">
        <v>160</v>
      </c>
      <c r="J357">
        <v>219</v>
      </c>
      <c r="K357" s="1" t="s">
        <v>90</v>
      </c>
      <c r="L357" s="1" t="s">
        <v>24</v>
      </c>
      <c r="M357" s="1" t="s">
        <v>788</v>
      </c>
      <c r="N357" s="1" t="s">
        <v>815</v>
      </c>
    </row>
    <row r="358" spans="1:14" x14ac:dyDescent="0.35">
      <c r="A358">
        <v>3173706</v>
      </c>
      <c r="B358" s="1" t="s">
        <v>722</v>
      </c>
      <c r="C358">
        <v>10669.7</v>
      </c>
      <c r="D358">
        <v>16129</v>
      </c>
      <c r="E358" s="1" t="s">
        <v>816</v>
      </c>
      <c r="F358" s="1" t="s">
        <v>15</v>
      </c>
      <c r="G358" s="1" t="s">
        <v>16</v>
      </c>
      <c r="H358">
        <v>145</v>
      </c>
      <c r="I358">
        <v>122</v>
      </c>
      <c r="J358">
        <v>2392</v>
      </c>
      <c r="K358" s="1" t="s">
        <v>23</v>
      </c>
      <c r="L358" s="1" t="s">
        <v>24</v>
      </c>
      <c r="M358" s="1" t="s">
        <v>788</v>
      </c>
      <c r="N358" s="1" t="s">
        <v>817</v>
      </c>
    </row>
    <row r="359" spans="1:14" x14ac:dyDescent="0.35">
      <c r="A359">
        <v>3173062</v>
      </c>
      <c r="B359" s="1" t="s">
        <v>722</v>
      </c>
      <c r="C359">
        <v>10669.7</v>
      </c>
      <c r="D359">
        <v>16129</v>
      </c>
      <c r="E359" s="1" t="s">
        <v>818</v>
      </c>
      <c r="F359" s="1" t="s">
        <v>15</v>
      </c>
      <c r="G359" s="1" t="s">
        <v>16</v>
      </c>
      <c r="H359">
        <v>206</v>
      </c>
      <c r="I359">
        <v>79</v>
      </c>
      <c r="J359">
        <v>678</v>
      </c>
      <c r="K359" s="1" t="s">
        <v>819</v>
      </c>
      <c r="L359" s="1" t="s">
        <v>24</v>
      </c>
      <c r="M359" s="1" t="s">
        <v>788</v>
      </c>
      <c r="N359" s="1" t="s">
        <v>820</v>
      </c>
    </row>
    <row r="360" spans="1:14" x14ac:dyDescent="0.35">
      <c r="A360">
        <v>3173506</v>
      </c>
      <c r="B360" s="1" t="s">
        <v>722</v>
      </c>
      <c r="C360">
        <v>10669.7</v>
      </c>
      <c r="D360">
        <v>16129</v>
      </c>
      <c r="E360" s="1" t="s">
        <v>821</v>
      </c>
      <c r="F360" s="1" t="s">
        <v>15</v>
      </c>
      <c r="G360" s="1" t="s">
        <v>16</v>
      </c>
      <c r="H360">
        <v>204</v>
      </c>
      <c r="I360">
        <v>189</v>
      </c>
      <c r="J360">
        <v>198</v>
      </c>
      <c r="K360" s="1" t="s">
        <v>84</v>
      </c>
      <c r="L360" s="1" t="s">
        <v>24</v>
      </c>
      <c r="M360" s="1" t="s">
        <v>788</v>
      </c>
      <c r="N360" s="1" t="s">
        <v>822</v>
      </c>
    </row>
    <row r="361" spans="1:14" x14ac:dyDescent="0.35">
      <c r="A361">
        <v>3173051</v>
      </c>
      <c r="B361" s="1" t="s">
        <v>722</v>
      </c>
      <c r="C361">
        <v>10669.7</v>
      </c>
      <c r="D361">
        <v>16129</v>
      </c>
      <c r="E361" s="1" t="s">
        <v>823</v>
      </c>
      <c r="F361" s="1" t="s">
        <v>15</v>
      </c>
      <c r="G361" s="1" t="s">
        <v>16</v>
      </c>
      <c r="H361">
        <v>250</v>
      </c>
      <c r="I361">
        <v>119</v>
      </c>
      <c r="J361">
        <v>304</v>
      </c>
      <c r="K361" s="1" t="s">
        <v>572</v>
      </c>
      <c r="L361" s="1" t="s">
        <v>24</v>
      </c>
      <c r="M361" s="1" t="s">
        <v>788</v>
      </c>
      <c r="N361" s="1" t="s">
        <v>824</v>
      </c>
    </row>
    <row r="362" spans="1:14" x14ac:dyDescent="0.35">
      <c r="A362">
        <v>3173040</v>
      </c>
      <c r="B362" s="1" t="s">
        <v>722</v>
      </c>
      <c r="C362">
        <v>10669.7</v>
      </c>
      <c r="D362">
        <v>16129</v>
      </c>
      <c r="E362" s="1" t="s">
        <v>825</v>
      </c>
      <c r="F362" s="1" t="s">
        <v>15</v>
      </c>
      <c r="G362" s="1" t="s">
        <v>16</v>
      </c>
      <c r="H362">
        <v>236</v>
      </c>
      <c r="I362">
        <v>125</v>
      </c>
      <c r="J362">
        <v>674</v>
      </c>
      <c r="K362" s="1" t="s">
        <v>23</v>
      </c>
      <c r="L362" s="1" t="s">
        <v>24</v>
      </c>
      <c r="M362" s="1" t="s">
        <v>788</v>
      </c>
      <c r="N362" s="1" t="s">
        <v>826</v>
      </c>
    </row>
    <row r="363" spans="1:14" x14ac:dyDescent="0.35">
      <c r="A363">
        <v>3173036</v>
      </c>
      <c r="B363" s="1" t="s">
        <v>722</v>
      </c>
      <c r="C363">
        <v>10669.7</v>
      </c>
      <c r="D363">
        <v>16129</v>
      </c>
      <c r="E363" s="1" t="s">
        <v>827</v>
      </c>
      <c r="F363" s="1" t="s">
        <v>15</v>
      </c>
      <c r="G363" s="1" t="s">
        <v>16</v>
      </c>
      <c r="H363">
        <v>217</v>
      </c>
      <c r="I363">
        <v>91</v>
      </c>
      <c r="J363">
        <v>705</v>
      </c>
      <c r="K363" s="1" t="s">
        <v>191</v>
      </c>
      <c r="L363" s="1" t="s">
        <v>120</v>
      </c>
      <c r="M363" s="1" t="s">
        <v>788</v>
      </c>
      <c r="N363" s="1" t="s">
        <v>828</v>
      </c>
    </row>
    <row r="364" spans="1:14" x14ac:dyDescent="0.35">
      <c r="A364">
        <v>3173656</v>
      </c>
      <c r="B364" s="1" t="s">
        <v>722</v>
      </c>
      <c r="C364">
        <v>10669.7</v>
      </c>
      <c r="D364">
        <v>16129</v>
      </c>
      <c r="E364" s="1" t="s">
        <v>829</v>
      </c>
      <c r="F364" s="1" t="s">
        <v>15</v>
      </c>
      <c r="G364" s="1" t="s">
        <v>16</v>
      </c>
      <c r="H364">
        <v>139</v>
      </c>
      <c r="I364">
        <v>74</v>
      </c>
      <c r="J364">
        <v>723</v>
      </c>
      <c r="K364" s="1" t="s">
        <v>23</v>
      </c>
      <c r="L364" s="1" t="s">
        <v>24</v>
      </c>
      <c r="M364" s="1" t="s">
        <v>788</v>
      </c>
      <c r="N364" s="1" t="s">
        <v>830</v>
      </c>
    </row>
    <row r="365" spans="1:14" x14ac:dyDescent="0.35">
      <c r="A365">
        <v>3173543</v>
      </c>
      <c r="B365" s="1" t="s">
        <v>722</v>
      </c>
      <c r="C365">
        <v>10669.7</v>
      </c>
      <c r="D365">
        <v>16129</v>
      </c>
      <c r="E365" s="1" t="s">
        <v>831</v>
      </c>
      <c r="F365" s="1" t="s">
        <v>15</v>
      </c>
      <c r="G365" s="1" t="s">
        <v>16</v>
      </c>
      <c r="H365">
        <v>109</v>
      </c>
      <c r="I365">
        <v>75</v>
      </c>
      <c r="J365">
        <v>58</v>
      </c>
      <c r="K365" s="1" t="s">
        <v>84</v>
      </c>
      <c r="L365" s="1" t="s">
        <v>24</v>
      </c>
      <c r="M365" s="1" t="s">
        <v>788</v>
      </c>
      <c r="N365" s="1" t="s">
        <v>832</v>
      </c>
    </row>
    <row r="366" spans="1:14" x14ac:dyDescent="0.35">
      <c r="A366">
        <v>3173073</v>
      </c>
      <c r="B366" s="1" t="s">
        <v>722</v>
      </c>
      <c r="C366">
        <v>10669.7</v>
      </c>
      <c r="D366">
        <v>16129</v>
      </c>
      <c r="E366" s="1" t="s">
        <v>833</v>
      </c>
      <c r="F366" s="1" t="s">
        <v>15</v>
      </c>
      <c r="G366" s="1" t="s">
        <v>16</v>
      </c>
      <c r="H366">
        <v>367</v>
      </c>
      <c r="I366">
        <v>114</v>
      </c>
      <c r="J366">
        <v>1054</v>
      </c>
      <c r="K366" s="1" t="s">
        <v>444</v>
      </c>
      <c r="L366" s="1" t="s">
        <v>24</v>
      </c>
      <c r="M366" s="1" t="s">
        <v>788</v>
      </c>
      <c r="N366" s="1" t="s">
        <v>834</v>
      </c>
    </row>
    <row r="367" spans="1:14" x14ac:dyDescent="0.35">
      <c r="A367">
        <v>3173696</v>
      </c>
      <c r="B367" s="1" t="s">
        <v>722</v>
      </c>
      <c r="C367">
        <v>10669.7</v>
      </c>
      <c r="D367">
        <v>16129</v>
      </c>
      <c r="E367" s="1" t="s">
        <v>835</v>
      </c>
      <c r="F367" s="1" t="s">
        <v>15</v>
      </c>
      <c r="G367" s="1" t="s">
        <v>32</v>
      </c>
      <c r="H367">
        <v>101</v>
      </c>
      <c r="I367">
        <v>65</v>
      </c>
      <c r="J367">
        <v>180</v>
      </c>
      <c r="K367" s="1" t="s">
        <v>90</v>
      </c>
      <c r="L367" s="1" t="s">
        <v>24</v>
      </c>
      <c r="M367" s="1" t="s">
        <v>788</v>
      </c>
      <c r="N367" s="1" t="s">
        <v>836</v>
      </c>
    </row>
    <row r="368" spans="1:14" x14ac:dyDescent="0.35">
      <c r="A368">
        <v>3173580</v>
      </c>
      <c r="B368" s="1" t="s">
        <v>722</v>
      </c>
      <c r="C368">
        <v>10669.7</v>
      </c>
      <c r="D368">
        <v>16129</v>
      </c>
      <c r="E368" s="1" t="s">
        <v>837</v>
      </c>
      <c r="F368" s="1" t="s">
        <v>15</v>
      </c>
      <c r="G368" s="1" t="s">
        <v>32</v>
      </c>
      <c r="H368">
        <v>120</v>
      </c>
      <c r="I368">
        <v>98</v>
      </c>
      <c r="J368">
        <v>323</v>
      </c>
      <c r="K368" s="1" t="s">
        <v>84</v>
      </c>
      <c r="L368" s="1" t="s">
        <v>24</v>
      </c>
      <c r="M368" s="1" t="s">
        <v>788</v>
      </c>
      <c r="N368" s="1" t="s">
        <v>838</v>
      </c>
    </row>
    <row r="369" spans="1:14" x14ac:dyDescent="0.35">
      <c r="A369">
        <v>3173441</v>
      </c>
      <c r="B369" s="1" t="s">
        <v>722</v>
      </c>
      <c r="C369">
        <v>10669.7</v>
      </c>
      <c r="D369">
        <v>16129</v>
      </c>
      <c r="E369" s="1" t="s">
        <v>839</v>
      </c>
      <c r="F369" s="1" t="s">
        <v>15</v>
      </c>
      <c r="G369" s="1" t="s">
        <v>32</v>
      </c>
      <c r="H369">
        <v>102</v>
      </c>
      <c r="I369">
        <v>76</v>
      </c>
      <c r="J369">
        <v>518</v>
      </c>
      <c r="K369" s="1" t="s">
        <v>84</v>
      </c>
      <c r="L369" s="1" t="s">
        <v>24</v>
      </c>
      <c r="M369" s="1" t="s">
        <v>788</v>
      </c>
      <c r="N369" s="1" t="s">
        <v>840</v>
      </c>
    </row>
    <row r="370" spans="1:14" x14ac:dyDescent="0.35">
      <c r="A370">
        <v>3173474</v>
      </c>
      <c r="B370" s="1" t="s">
        <v>722</v>
      </c>
      <c r="C370">
        <v>10669.7</v>
      </c>
      <c r="D370">
        <v>16129</v>
      </c>
      <c r="E370" s="1" t="s">
        <v>841</v>
      </c>
      <c r="F370" s="1" t="s">
        <v>15</v>
      </c>
      <c r="G370" s="1" t="s">
        <v>32</v>
      </c>
      <c r="H370">
        <v>100</v>
      </c>
      <c r="I370">
        <v>41</v>
      </c>
      <c r="J370">
        <v>268</v>
      </c>
      <c r="K370" s="1" t="s">
        <v>61</v>
      </c>
      <c r="L370" s="1" t="s">
        <v>24</v>
      </c>
      <c r="M370" s="1" t="s">
        <v>788</v>
      </c>
      <c r="N370" s="1" t="s">
        <v>842</v>
      </c>
    </row>
    <row r="371" spans="1:14" x14ac:dyDescent="0.35">
      <c r="A371">
        <v>3173645</v>
      </c>
      <c r="B371" s="1" t="s">
        <v>722</v>
      </c>
      <c r="C371">
        <v>10669.7</v>
      </c>
      <c r="D371">
        <v>16129</v>
      </c>
      <c r="E371" s="1" t="s">
        <v>843</v>
      </c>
      <c r="F371" s="1" t="s">
        <v>15</v>
      </c>
      <c r="G371" s="1" t="s">
        <v>32</v>
      </c>
      <c r="H371">
        <v>99</v>
      </c>
      <c r="I371">
        <v>30</v>
      </c>
      <c r="J371">
        <v>164</v>
      </c>
      <c r="K371" s="1" t="s">
        <v>23</v>
      </c>
      <c r="L371" s="1" t="s">
        <v>24</v>
      </c>
      <c r="M371" s="1" t="s">
        <v>788</v>
      </c>
      <c r="N371" s="1" t="s">
        <v>844</v>
      </c>
    </row>
    <row r="372" spans="1:14" x14ac:dyDescent="0.35">
      <c r="A372">
        <v>3173723</v>
      </c>
      <c r="B372" s="1" t="s">
        <v>722</v>
      </c>
      <c r="C372">
        <v>10669.7</v>
      </c>
      <c r="D372">
        <v>16129</v>
      </c>
      <c r="E372" s="1" t="s">
        <v>845</v>
      </c>
      <c r="F372" s="1" t="s">
        <v>15</v>
      </c>
      <c r="G372" s="1" t="s">
        <v>32</v>
      </c>
      <c r="H372">
        <v>100</v>
      </c>
      <c r="I372">
        <v>84</v>
      </c>
      <c r="K372" s="1" t="s">
        <v>23</v>
      </c>
      <c r="L372" s="1" t="s">
        <v>24</v>
      </c>
      <c r="M372" s="1" t="s">
        <v>788</v>
      </c>
      <c r="N372" s="1" t="s">
        <v>846</v>
      </c>
    </row>
    <row r="373" spans="1:14" x14ac:dyDescent="0.35">
      <c r="A373">
        <v>3171768</v>
      </c>
      <c r="B373" s="1" t="s">
        <v>722</v>
      </c>
      <c r="C373">
        <v>10669.7</v>
      </c>
      <c r="D373">
        <v>16129</v>
      </c>
      <c r="E373" s="1" t="s">
        <v>847</v>
      </c>
      <c r="F373" s="1" t="s">
        <v>15</v>
      </c>
      <c r="G373" s="1" t="s">
        <v>32</v>
      </c>
      <c r="H373">
        <v>114</v>
      </c>
      <c r="I373">
        <v>79</v>
      </c>
      <c r="J373">
        <v>205</v>
      </c>
      <c r="K373" s="1" t="s">
        <v>23</v>
      </c>
      <c r="L373" s="1" t="s">
        <v>24</v>
      </c>
      <c r="M373" s="1" t="s">
        <v>788</v>
      </c>
      <c r="N373" s="1" t="s">
        <v>848</v>
      </c>
    </row>
    <row r="374" spans="1:14" x14ac:dyDescent="0.35">
      <c r="A374">
        <v>3173105</v>
      </c>
      <c r="B374" s="1" t="s">
        <v>722</v>
      </c>
      <c r="C374">
        <v>10669.7</v>
      </c>
      <c r="D374">
        <v>16129</v>
      </c>
      <c r="E374" s="1" t="s">
        <v>849</v>
      </c>
      <c r="F374" s="1" t="s">
        <v>15</v>
      </c>
      <c r="G374" s="1" t="s">
        <v>32</v>
      </c>
      <c r="H374">
        <v>109</v>
      </c>
      <c r="I374">
        <v>40</v>
      </c>
      <c r="J374">
        <v>478</v>
      </c>
      <c r="K374" s="1" t="s">
        <v>84</v>
      </c>
      <c r="L374" s="1" t="s">
        <v>24</v>
      </c>
      <c r="M374" s="1" t="s">
        <v>788</v>
      </c>
      <c r="N374" s="1" t="s">
        <v>850</v>
      </c>
    </row>
    <row r="375" spans="1:14" x14ac:dyDescent="0.35">
      <c r="A375">
        <v>3173701</v>
      </c>
      <c r="B375" s="1" t="s">
        <v>722</v>
      </c>
      <c r="C375">
        <v>10669.7</v>
      </c>
      <c r="D375">
        <v>16129</v>
      </c>
      <c r="E375" s="1" t="s">
        <v>851</v>
      </c>
      <c r="F375" s="1" t="s">
        <v>15</v>
      </c>
      <c r="G375" s="1" t="s">
        <v>22</v>
      </c>
      <c r="H375">
        <v>50</v>
      </c>
      <c r="I375">
        <v>12</v>
      </c>
      <c r="J375">
        <v>113</v>
      </c>
      <c r="K375" s="1" t="s">
        <v>124</v>
      </c>
      <c r="L375" s="1" t="s">
        <v>18</v>
      </c>
      <c r="M375" s="1" t="s">
        <v>788</v>
      </c>
      <c r="N375" s="1" t="s">
        <v>852</v>
      </c>
    </row>
    <row r="376" spans="1:14" x14ac:dyDescent="0.35">
      <c r="A376">
        <v>3173699</v>
      </c>
      <c r="B376" s="1" t="s">
        <v>722</v>
      </c>
      <c r="C376">
        <v>10669.7</v>
      </c>
      <c r="D376">
        <v>16129</v>
      </c>
      <c r="E376" s="1" t="s">
        <v>853</v>
      </c>
      <c r="F376" s="1" t="s">
        <v>15</v>
      </c>
      <c r="G376" s="1" t="s">
        <v>22</v>
      </c>
      <c r="H376">
        <v>50</v>
      </c>
      <c r="I376">
        <v>26</v>
      </c>
      <c r="J376">
        <v>153</v>
      </c>
      <c r="K376" s="1" t="s">
        <v>124</v>
      </c>
      <c r="L376" s="1" t="s">
        <v>18</v>
      </c>
      <c r="M376" s="1" t="s">
        <v>788</v>
      </c>
      <c r="N376" s="1" t="s">
        <v>854</v>
      </c>
    </row>
    <row r="377" spans="1:14" x14ac:dyDescent="0.35">
      <c r="A377">
        <v>3173698</v>
      </c>
      <c r="B377" s="1" t="s">
        <v>722</v>
      </c>
      <c r="C377">
        <v>10669.7</v>
      </c>
      <c r="D377">
        <v>16129</v>
      </c>
      <c r="E377" s="1" t="s">
        <v>855</v>
      </c>
      <c r="F377" s="1" t="s">
        <v>15</v>
      </c>
      <c r="G377" s="1" t="s">
        <v>22</v>
      </c>
      <c r="H377">
        <v>60</v>
      </c>
      <c r="I377">
        <v>26</v>
      </c>
      <c r="J377">
        <v>210</v>
      </c>
      <c r="K377" s="1" t="s">
        <v>124</v>
      </c>
      <c r="L377" s="1" t="s">
        <v>18</v>
      </c>
      <c r="M377" s="1" t="s">
        <v>788</v>
      </c>
      <c r="N377" s="1" t="s">
        <v>856</v>
      </c>
    </row>
    <row r="378" spans="1:14" x14ac:dyDescent="0.35">
      <c r="A378">
        <v>3173700</v>
      </c>
      <c r="B378" s="1" t="s">
        <v>722</v>
      </c>
      <c r="C378">
        <v>10669.7</v>
      </c>
      <c r="D378">
        <v>16129</v>
      </c>
      <c r="E378" s="1" t="s">
        <v>857</v>
      </c>
      <c r="F378" s="1" t="s">
        <v>15</v>
      </c>
      <c r="G378" s="1" t="s">
        <v>22</v>
      </c>
      <c r="H378">
        <v>50</v>
      </c>
      <c r="I378">
        <v>28</v>
      </c>
      <c r="J378">
        <v>179</v>
      </c>
      <c r="K378" s="1" t="s">
        <v>124</v>
      </c>
      <c r="L378" s="1" t="s">
        <v>18</v>
      </c>
      <c r="M378" s="1" t="s">
        <v>788</v>
      </c>
      <c r="N378" s="1" t="s">
        <v>858</v>
      </c>
    </row>
    <row r="379" spans="1:14" x14ac:dyDescent="0.35">
      <c r="A379">
        <v>3173116</v>
      </c>
      <c r="B379" s="1" t="s">
        <v>722</v>
      </c>
      <c r="C379">
        <v>10669.7</v>
      </c>
      <c r="D379">
        <v>16129</v>
      </c>
      <c r="E379" s="1" t="s">
        <v>859</v>
      </c>
      <c r="F379" s="1" t="s">
        <v>15</v>
      </c>
      <c r="G379" s="1" t="s">
        <v>22</v>
      </c>
      <c r="H379">
        <v>51</v>
      </c>
      <c r="I379">
        <v>40</v>
      </c>
      <c r="J379">
        <v>212</v>
      </c>
      <c r="K379" s="1" t="s">
        <v>84</v>
      </c>
      <c r="L379" s="1" t="s">
        <v>24</v>
      </c>
      <c r="M379" s="1" t="s">
        <v>788</v>
      </c>
      <c r="N379" s="1" t="s">
        <v>860</v>
      </c>
    </row>
    <row r="380" spans="1:14" x14ac:dyDescent="0.35">
      <c r="A380">
        <v>3173705</v>
      </c>
      <c r="B380" s="1" t="s">
        <v>722</v>
      </c>
      <c r="C380">
        <v>10669.7</v>
      </c>
      <c r="D380">
        <v>16129</v>
      </c>
      <c r="E380" s="1" t="s">
        <v>861</v>
      </c>
      <c r="F380" s="1" t="s">
        <v>15</v>
      </c>
      <c r="G380" s="1" t="s">
        <v>22</v>
      </c>
      <c r="H380">
        <v>51</v>
      </c>
      <c r="I380">
        <v>27</v>
      </c>
      <c r="J380">
        <v>227</v>
      </c>
      <c r="K380" s="1" t="s">
        <v>124</v>
      </c>
      <c r="L380" s="1" t="s">
        <v>24</v>
      </c>
      <c r="M380" s="1" t="s">
        <v>788</v>
      </c>
      <c r="N380" s="1" t="s">
        <v>862</v>
      </c>
    </row>
    <row r="381" spans="1:14" x14ac:dyDescent="0.35">
      <c r="A381">
        <v>3171511</v>
      </c>
      <c r="B381" s="1" t="s">
        <v>722</v>
      </c>
      <c r="C381">
        <v>10669.7</v>
      </c>
      <c r="D381">
        <v>16129</v>
      </c>
      <c r="E381" s="1" t="s">
        <v>863</v>
      </c>
      <c r="F381" s="1" t="s">
        <v>220</v>
      </c>
      <c r="G381" s="1" t="s">
        <v>16</v>
      </c>
      <c r="H381">
        <v>79</v>
      </c>
      <c r="I381">
        <v>56</v>
      </c>
      <c r="J381">
        <v>324</v>
      </c>
      <c r="K381" s="1" t="s">
        <v>90</v>
      </c>
      <c r="L381" s="1" t="s">
        <v>24</v>
      </c>
      <c r="M381" s="1" t="s">
        <v>864</v>
      </c>
      <c r="N381" s="1" t="s">
        <v>865</v>
      </c>
    </row>
    <row r="382" spans="1:14" x14ac:dyDescent="0.35">
      <c r="A382">
        <v>3171802</v>
      </c>
      <c r="B382" s="1" t="s">
        <v>722</v>
      </c>
      <c r="C382">
        <v>10669.7</v>
      </c>
      <c r="D382">
        <v>16129</v>
      </c>
      <c r="E382" s="1" t="s">
        <v>866</v>
      </c>
      <c r="F382" s="1" t="s">
        <v>220</v>
      </c>
      <c r="G382" s="1" t="s">
        <v>32</v>
      </c>
      <c r="H382">
        <v>28</v>
      </c>
      <c r="I382">
        <v>21</v>
      </c>
      <c r="J382">
        <v>43</v>
      </c>
      <c r="K382" s="1" t="s">
        <v>90</v>
      </c>
      <c r="L382" s="1" t="s">
        <v>24</v>
      </c>
      <c r="M382" s="1" t="s">
        <v>864</v>
      </c>
      <c r="N382" s="1" t="s">
        <v>867</v>
      </c>
    </row>
    <row r="383" spans="1:14" x14ac:dyDescent="0.35">
      <c r="A383">
        <v>3171691</v>
      </c>
      <c r="B383" s="1" t="s">
        <v>722</v>
      </c>
      <c r="C383">
        <v>10669.7</v>
      </c>
      <c r="D383">
        <v>16129</v>
      </c>
      <c r="E383" s="1" t="s">
        <v>868</v>
      </c>
      <c r="F383" s="1" t="s">
        <v>119</v>
      </c>
      <c r="G383" s="1" t="s">
        <v>16</v>
      </c>
      <c r="H383">
        <v>3</v>
      </c>
      <c r="I383">
        <v>20</v>
      </c>
      <c r="J383">
        <v>75</v>
      </c>
      <c r="K383" s="1" t="s">
        <v>84</v>
      </c>
      <c r="L383" s="1" t="s">
        <v>24</v>
      </c>
      <c r="M383" s="1" t="s">
        <v>864</v>
      </c>
      <c r="N383" s="1" t="s">
        <v>869</v>
      </c>
    </row>
    <row r="384" spans="1:14" x14ac:dyDescent="0.35">
      <c r="A384">
        <v>3171783</v>
      </c>
      <c r="B384" s="1" t="s">
        <v>722</v>
      </c>
      <c r="C384">
        <v>10669.7</v>
      </c>
      <c r="D384">
        <v>16129</v>
      </c>
      <c r="E384" s="1" t="s">
        <v>870</v>
      </c>
      <c r="F384" s="1" t="s">
        <v>71</v>
      </c>
      <c r="G384" s="1" t="s">
        <v>16</v>
      </c>
      <c r="H384">
        <v>72</v>
      </c>
      <c r="I384">
        <v>42</v>
      </c>
      <c r="J384">
        <v>445</v>
      </c>
      <c r="K384" s="1" t="s">
        <v>90</v>
      </c>
      <c r="L384" s="1" t="s">
        <v>24</v>
      </c>
      <c r="M384" s="1" t="s">
        <v>864</v>
      </c>
      <c r="N384" s="1" t="s">
        <v>871</v>
      </c>
    </row>
    <row r="385" spans="1:14" x14ac:dyDescent="0.35">
      <c r="A385">
        <v>3171724</v>
      </c>
      <c r="B385" s="1" t="s">
        <v>722</v>
      </c>
      <c r="C385">
        <v>10669.7</v>
      </c>
      <c r="D385">
        <v>16129</v>
      </c>
      <c r="E385" s="1" t="s">
        <v>872</v>
      </c>
      <c r="F385" s="1" t="s">
        <v>71</v>
      </c>
      <c r="G385" s="1" t="s">
        <v>16</v>
      </c>
      <c r="H385">
        <v>75</v>
      </c>
      <c r="I385">
        <v>44</v>
      </c>
      <c r="J385">
        <v>282</v>
      </c>
      <c r="K385" s="1" t="s">
        <v>23</v>
      </c>
      <c r="L385" s="1" t="s">
        <v>24</v>
      </c>
      <c r="M385" s="1" t="s">
        <v>864</v>
      </c>
      <c r="N385" s="1" t="s">
        <v>873</v>
      </c>
    </row>
    <row r="386" spans="1:14" x14ac:dyDescent="0.35">
      <c r="A386">
        <v>3171911</v>
      </c>
      <c r="B386" s="1" t="s">
        <v>722</v>
      </c>
      <c r="C386">
        <v>10669.7</v>
      </c>
      <c r="D386">
        <v>16129</v>
      </c>
      <c r="E386" s="1" t="s">
        <v>874</v>
      </c>
      <c r="F386" s="1" t="s">
        <v>71</v>
      </c>
      <c r="G386" s="1" t="s">
        <v>32</v>
      </c>
      <c r="H386">
        <v>23</v>
      </c>
      <c r="I386">
        <v>29</v>
      </c>
      <c r="K386" s="1" t="s">
        <v>23</v>
      </c>
      <c r="L386" s="1" t="s">
        <v>24</v>
      </c>
      <c r="M386" s="1" t="s">
        <v>864</v>
      </c>
      <c r="N386" s="1" t="s">
        <v>875</v>
      </c>
    </row>
    <row r="387" spans="1:14" x14ac:dyDescent="0.35">
      <c r="A387">
        <v>3171757</v>
      </c>
      <c r="B387" s="1" t="s">
        <v>722</v>
      </c>
      <c r="C387">
        <v>10669.7</v>
      </c>
      <c r="D387">
        <v>16129</v>
      </c>
      <c r="E387" s="1" t="s">
        <v>876</v>
      </c>
      <c r="F387" s="1" t="s">
        <v>71</v>
      </c>
      <c r="G387" s="1" t="s">
        <v>32</v>
      </c>
      <c r="H387">
        <v>27</v>
      </c>
      <c r="I387">
        <v>33</v>
      </c>
      <c r="J387">
        <v>144</v>
      </c>
      <c r="K387" s="1" t="s">
        <v>23</v>
      </c>
      <c r="L387" s="1" t="s">
        <v>24</v>
      </c>
      <c r="M387" s="1" t="s">
        <v>864</v>
      </c>
      <c r="N387" s="1" t="s">
        <v>877</v>
      </c>
    </row>
    <row r="388" spans="1:14" x14ac:dyDescent="0.35">
      <c r="A388">
        <v>3171413</v>
      </c>
      <c r="B388" s="1" t="s">
        <v>722</v>
      </c>
      <c r="C388">
        <v>10669.7</v>
      </c>
      <c r="D388">
        <v>16129</v>
      </c>
      <c r="E388" s="1" t="s">
        <v>878</v>
      </c>
      <c r="F388" s="1" t="s">
        <v>71</v>
      </c>
      <c r="G388" s="1" t="s">
        <v>32</v>
      </c>
      <c r="H388">
        <v>37</v>
      </c>
      <c r="I388">
        <v>31</v>
      </c>
      <c r="J388">
        <v>42</v>
      </c>
      <c r="K388" s="1" t="s">
        <v>90</v>
      </c>
      <c r="L388" s="1" t="s">
        <v>24</v>
      </c>
      <c r="M388" s="1" t="s">
        <v>864</v>
      </c>
      <c r="N388" s="1" t="s">
        <v>879</v>
      </c>
    </row>
    <row r="389" spans="1:14" x14ac:dyDescent="0.35">
      <c r="A389">
        <v>3171912</v>
      </c>
      <c r="B389" s="1" t="s">
        <v>722</v>
      </c>
      <c r="C389">
        <v>10669.7</v>
      </c>
      <c r="D389">
        <v>16129</v>
      </c>
      <c r="E389" s="1" t="s">
        <v>880</v>
      </c>
      <c r="F389" s="1" t="s">
        <v>738</v>
      </c>
      <c r="G389" s="1" t="s">
        <v>32</v>
      </c>
      <c r="H389">
        <v>31</v>
      </c>
      <c r="I389">
        <v>33</v>
      </c>
      <c r="K389" s="1" t="s">
        <v>23</v>
      </c>
      <c r="L389" s="1" t="s">
        <v>24</v>
      </c>
      <c r="M389" s="1" t="s">
        <v>864</v>
      </c>
      <c r="N389" s="1" t="s">
        <v>881</v>
      </c>
    </row>
    <row r="390" spans="1:14" x14ac:dyDescent="0.35">
      <c r="A390">
        <v>3171060</v>
      </c>
      <c r="B390" s="1" t="s">
        <v>722</v>
      </c>
      <c r="C390">
        <v>10669.7</v>
      </c>
      <c r="D390">
        <v>16129</v>
      </c>
      <c r="E390" s="1" t="s">
        <v>882</v>
      </c>
      <c r="F390" s="1" t="s">
        <v>129</v>
      </c>
      <c r="G390" s="1" t="s">
        <v>32</v>
      </c>
      <c r="H390">
        <v>30</v>
      </c>
      <c r="I390">
        <v>13</v>
      </c>
      <c r="J390">
        <v>90</v>
      </c>
      <c r="K390" s="1" t="s">
        <v>84</v>
      </c>
      <c r="L390" s="1" t="s">
        <v>24</v>
      </c>
      <c r="M390" s="1" t="s">
        <v>864</v>
      </c>
      <c r="N390" s="1" t="s">
        <v>883</v>
      </c>
    </row>
    <row r="391" spans="1:14" x14ac:dyDescent="0.35">
      <c r="A391">
        <v>3171056</v>
      </c>
      <c r="B391" s="1" t="s">
        <v>722</v>
      </c>
      <c r="C391">
        <v>10669.7</v>
      </c>
      <c r="D391">
        <v>16129</v>
      </c>
      <c r="E391" s="1" t="s">
        <v>884</v>
      </c>
      <c r="F391" s="1" t="s">
        <v>743</v>
      </c>
      <c r="G391" s="1" t="s">
        <v>130</v>
      </c>
      <c r="H391">
        <v>186</v>
      </c>
      <c r="I391">
        <v>89</v>
      </c>
      <c r="J391">
        <v>260</v>
      </c>
      <c r="K391" s="1" t="s">
        <v>90</v>
      </c>
      <c r="L391" s="1" t="s">
        <v>24</v>
      </c>
      <c r="M391" s="1" t="s">
        <v>864</v>
      </c>
      <c r="N391" s="1" t="s">
        <v>885</v>
      </c>
    </row>
    <row r="392" spans="1:14" x14ac:dyDescent="0.35">
      <c r="A392">
        <v>3171804</v>
      </c>
      <c r="B392" s="1" t="s">
        <v>722</v>
      </c>
      <c r="C392">
        <v>10669.7</v>
      </c>
      <c r="D392">
        <v>16129</v>
      </c>
      <c r="E392" s="1" t="s">
        <v>886</v>
      </c>
      <c r="F392" s="1" t="s">
        <v>334</v>
      </c>
      <c r="G392" s="1" t="s">
        <v>32</v>
      </c>
      <c r="H392">
        <v>25</v>
      </c>
      <c r="I392">
        <v>27</v>
      </c>
      <c r="J392">
        <v>92</v>
      </c>
      <c r="K392" s="1" t="s">
        <v>23</v>
      </c>
      <c r="L392" s="1" t="s">
        <v>24</v>
      </c>
      <c r="M392" s="1" t="s">
        <v>864</v>
      </c>
      <c r="N392" s="1" t="s">
        <v>887</v>
      </c>
    </row>
    <row r="393" spans="1:14" x14ac:dyDescent="0.35">
      <c r="A393">
        <v>3171643</v>
      </c>
      <c r="B393" s="1" t="s">
        <v>722</v>
      </c>
      <c r="C393">
        <v>10669.7</v>
      </c>
      <c r="D393">
        <v>16129</v>
      </c>
      <c r="E393" s="1" t="s">
        <v>888</v>
      </c>
      <c r="F393" s="1" t="s">
        <v>889</v>
      </c>
      <c r="G393" s="1" t="s">
        <v>32</v>
      </c>
      <c r="H393">
        <v>34</v>
      </c>
      <c r="I393">
        <v>45</v>
      </c>
      <c r="J393">
        <v>206</v>
      </c>
      <c r="K393" s="1" t="s">
        <v>84</v>
      </c>
      <c r="L393" s="1" t="s">
        <v>24</v>
      </c>
      <c r="M393" s="1" t="s">
        <v>864</v>
      </c>
      <c r="N393" s="1" t="s">
        <v>890</v>
      </c>
    </row>
    <row r="394" spans="1:14" x14ac:dyDescent="0.35">
      <c r="A394">
        <v>3171012</v>
      </c>
      <c r="B394" s="1" t="s">
        <v>722</v>
      </c>
      <c r="C394">
        <v>10669.7</v>
      </c>
      <c r="D394">
        <v>16129</v>
      </c>
      <c r="E394" s="1" t="s">
        <v>891</v>
      </c>
      <c r="F394" s="1" t="s">
        <v>15</v>
      </c>
      <c r="G394" s="1" t="s">
        <v>130</v>
      </c>
      <c r="H394">
        <v>854</v>
      </c>
      <c r="I394">
        <v>87</v>
      </c>
      <c r="J394">
        <v>3736</v>
      </c>
      <c r="K394" s="1" t="s">
        <v>339</v>
      </c>
      <c r="L394" s="1" t="s">
        <v>120</v>
      </c>
      <c r="M394" s="1" t="s">
        <v>864</v>
      </c>
      <c r="N394" s="1" t="s">
        <v>892</v>
      </c>
    </row>
    <row r="395" spans="1:14" x14ac:dyDescent="0.35">
      <c r="A395">
        <v>3171072</v>
      </c>
      <c r="B395" s="1" t="s">
        <v>722</v>
      </c>
      <c r="C395">
        <v>10669.7</v>
      </c>
      <c r="D395">
        <v>16129</v>
      </c>
      <c r="E395" s="1" t="s">
        <v>893</v>
      </c>
      <c r="F395" s="1" t="s">
        <v>15</v>
      </c>
      <c r="G395" s="1" t="s">
        <v>130</v>
      </c>
      <c r="H395">
        <v>267</v>
      </c>
      <c r="I395">
        <v>69</v>
      </c>
      <c r="J395">
        <v>867</v>
      </c>
      <c r="K395" s="1" t="s">
        <v>49</v>
      </c>
      <c r="L395" s="1" t="s">
        <v>120</v>
      </c>
      <c r="M395" s="1" t="s">
        <v>864</v>
      </c>
      <c r="N395" s="1" t="s">
        <v>894</v>
      </c>
    </row>
    <row r="396" spans="1:14" x14ac:dyDescent="0.35">
      <c r="A396">
        <v>3171034</v>
      </c>
      <c r="B396" s="1" t="s">
        <v>722</v>
      </c>
      <c r="C396">
        <v>10669.7</v>
      </c>
      <c r="D396">
        <v>16129</v>
      </c>
      <c r="E396" s="1" t="s">
        <v>895</v>
      </c>
      <c r="F396" s="1" t="s">
        <v>15</v>
      </c>
      <c r="G396" s="1" t="s">
        <v>16</v>
      </c>
      <c r="H396">
        <v>198</v>
      </c>
      <c r="I396">
        <v>93</v>
      </c>
      <c r="J396">
        <v>766</v>
      </c>
      <c r="K396" s="1" t="s">
        <v>191</v>
      </c>
      <c r="L396" s="1" t="s">
        <v>120</v>
      </c>
      <c r="M396" s="1" t="s">
        <v>864</v>
      </c>
      <c r="N396" s="1" t="s">
        <v>896</v>
      </c>
    </row>
    <row r="397" spans="1:14" x14ac:dyDescent="0.35">
      <c r="A397">
        <v>3171789</v>
      </c>
      <c r="B397" s="1" t="s">
        <v>722</v>
      </c>
      <c r="C397">
        <v>10669.7</v>
      </c>
      <c r="D397">
        <v>16129</v>
      </c>
      <c r="E397" s="1" t="s">
        <v>897</v>
      </c>
      <c r="F397" s="1" t="s">
        <v>15</v>
      </c>
      <c r="G397" s="1" t="s">
        <v>16</v>
      </c>
      <c r="H397">
        <v>206</v>
      </c>
      <c r="I397">
        <v>114</v>
      </c>
      <c r="J397">
        <v>452</v>
      </c>
      <c r="K397" s="1" t="s">
        <v>90</v>
      </c>
      <c r="L397" s="1" t="s">
        <v>24</v>
      </c>
      <c r="M397" s="1" t="s">
        <v>864</v>
      </c>
      <c r="N397" s="1" t="s">
        <v>898</v>
      </c>
    </row>
    <row r="398" spans="1:14" x14ac:dyDescent="0.35">
      <c r="A398">
        <v>3171504</v>
      </c>
      <c r="B398" s="1" t="s">
        <v>722</v>
      </c>
      <c r="C398">
        <v>10669.7</v>
      </c>
      <c r="D398">
        <v>16129</v>
      </c>
      <c r="E398" s="1" t="s">
        <v>899</v>
      </c>
      <c r="F398" s="1" t="s">
        <v>15</v>
      </c>
      <c r="G398" s="1" t="s">
        <v>16</v>
      </c>
      <c r="H398">
        <v>230</v>
      </c>
      <c r="I398">
        <v>138</v>
      </c>
      <c r="J398">
        <v>960</v>
      </c>
      <c r="K398" s="1" t="s">
        <v>23</v>
      </c>
      <c r="L398" s="1" t="s">
        <v>24</v>
      </c>
      <c r="M398" s="1" t="s">
        <v>864</v>
      </c>
      <c r="N398" s="1" t="s">
        <v>900</v>
      </c>
    </row>
    <row r="399" spans="1:14" x14ac:dyDescent="0.35">
      <c r="A399">
        <v>3171786</v>
      </c>
      <c r="B399" s="1" t="s">
        <v>722</v>
      </c>
      <c r="C399">
        <v>10669.7</v>
      </c>
      <c r="D399">
        <v>16129</v>
      </c>
      <c r="E399" s="1" t="s">
        <v>901</v>
      </c>
      <c r="F399" s="1" t="s">
        <v>15</v>
      </c>
      <c r="G399" s="1" t="s">
        <v>16</v>
      </c>
      <c r="H399">
        <v>260</v>
      </c>
      <c r="I399">
        <v>41</v>
      </c>
      <c r="J399">
        <v>959</v>
      </c>
      <c r="K399" s="1" t="s">
        <v>90</v>
      </c>
      <c r="L399" s="1" t="s">
        <v>24</v>
      </c>
      <c r="M399" s="1" t="s">
        <v>864</v>
      </c>
      <c r="N399" s="1" t="s">
        <v>902</v>
      </c>
    </row>
    <row r="400" spans="1:14" x14ac:dyDescent="0.35">
      <c r="A400">
        <v>3171461</v>
      </c>
      <c r="B400" s="1" t="s">
        <v>722</v>
      </c>
      <c r="C400">
        <v>10669.7</v>
      </c>
      <c r="D400">
        <v>16129</v>
      </c>
      <c r="E400" s="1" t="s">
        <v>903</v>
      </c>
      <c r="F400" s="1" t="s">
        <v>15</v>
      </c>
      <c r="G400" s="1" t="s">
        <v>16</v>
      </c>
      <c r="H400">
        <v>203</v>
      </c>
      <c r="I400">
        <v>66</v>
      </c>
      <c r="J400">
        <v>142</v>
      </c>
      <c r="K400" s="1" t="s">
        <v>84</v>
      </c>
      <c r="L400" s="1" t="s">
        <v>24</v>
      </c>
      <c r="M400" s="1" t="s">
        <v>864</v>
      </c>
      <c r="N400" s="1" t="s">
        <v>904</v>
      </c>
    </row>
    <row r="401" spans="1:14" x14ac:dyDescent="0.35">
      <c r="A401">
        <v>3171795</v>
      </c>
      <c r="B401" s="1" t="s">
        <v>722</v>
      </c>
      <c r="C401">
        <v>10669.7</v>
      </c>
      <c r="D401">
        <v>16129</v>
      </c>
      <c r="E401" s="1" t="s">
        <v>905</v>
      </c>
      <c r="F401" s="1" t="s">
        <v>15</v>
      </c>
      <c r="G401" s="1" t="s">
        <v>16</v>
      </c>
      <c r="H401">
        <v>401</v>
      </c>
      <c r="I401">
        <v>94</v>
      </c>
      <c r="J401">
        <v>869</v>
      </c>
      <c r="K401" s="1" t="s">
        <v>124</v>
      </c>
      <c r="L401" s="1" t="s">
        <v>18</v>
      </c>
      <c r="M401" s="1" t="s">
        <v>864</v>
      </c>
      <c r="N401" s="1" t="s">
        <v>906</v>
      </c>
    </row>
    <row r="402" spans="1:14" x14ac:dyDescent="0.35">
      <c r="A402">
        <v>3171665</v>
      </c>
      <c r="B402" s="1" t="s">
        <v>722</v>
      </c>
      <c r="C402">
        <v>10669.7</v>
      </c>
      <c r="D402">
        <v>16129</v>
      </c>
      <c r="E402" s="1" t="s">
        <v>907</v>
      </c>
      <c r="F402" s="1" t="s">
        <v>15</v>
      </c>
      <c r="G402" s="1" t="s">
        <v>16</v>
      </c>
      <c r="H402">
        <v>215</v>
      </c>
      <c r="I402">
        <v>113</v>
      </c>
      <c r="J402">
        <v>437</v>
      </c>
      <c r="K402" s="1" t="s">
        <v>23</v>
      </c>
      <c r="L402" s="1" t="s">
        <v>24</v>
      </c>
      <c r="M402" s="1" t="s">
        <v>864</v>
      </c>
      <c r="N402" s="1" t="s">
        <v>908</v>
      </c>
    </row>
    <row r="403" spans="1:14" x14ac:dyDescent="0.35">
      <c r="A403">
        <v>3171515</v>
      </c>
      <c r="B403" s="1" t="s">
        <v>722</v>
      </c>
      <c r="C403">
        <v>10669.7</v>
      </c>
      <c r="D403">
        <v>16129</v>
      </c>
      <c r="E403" s="1" t="s">
        <v>909</v>
      </c>
      <c r="F403" s="1" t="s">
        <v>15</v>
      </c>
      <c r="G403" s="1" t="s">
        <v>16</v>
      </c>
      <c r="H403">
        <v>203</v>
      </c>
      <c r="I403">
        <v>122</v>
      </c>
      <c r="K403" s="1" t="s">
        <v>23</v>
      </c>
      <c r="L403" s="1" t="s">
        <v>24</v>
      </c>
      <c r="M403" s="1" t="s">
        <v>864</v>
      </c>
      <c r="N403" s="1" t="s">
        <v>910</v>
      </c>
    </row>
    <row r="404" spans="1:14" x14ac:dyDescent="0.35">
      <c r="A404">
        <v>3171023</v>
      </c>
      <c r="B404" s="1" t="s">
        <v>722</v>
      </c>
      <c r="C404">
        <v>10669.7</v>
      </c>
      <c r="D404">
        <v>16129</v>
      </c>
      <c r="E404" s="1" t="s">
        <v>911</v>
      </c>
      <c r="F404" s="1" t="s">
        <v>15</v>
      </c>
      <c r="G404" s="1" t="s">
        <v>16</v>
      </c>
      <c r="H404">
        <v>228</v>
      </c>
      <c r="I404">
        <v>65</v>
      </c>
      <c r="J404">
        <v>962</v>
      </c>
      <c r="K404" s="1" t="s">
        <v>61</v>
      </c>
      <c r="L404" s="1" t="s">
        <v>24</v>
      </c>
      <c r="M404" s="1" t="s">
        <v>864</v>
      </c>
      <c r="N404" s="1" t="s">
        <v>912</v>
      </c>
    </row>
    <row r="405" spans="1:14" x14ac:dyDescent="0.35">
      <c r="A405">
        <v>3171632</v>
      </c>
      <c r="B405" s="1" t="s">
        <v>722</v>
      </c>
      <c r="C405">
        <v>10669.7</v>
      </c>
      <c r="D405">
        <v>16129</v>
      </c>
      <c r="E405" s="1" t="s">
        <v>913</v>
      </c>
      <c r="F405" s="1" t="s">
        <v>15</v>
      </c>
      <c r="G405" s="1" t="s">
        <v>32</v>
      </c>
      <c r="H405">
        <v>113</v>
      </c>
      <c r="I405">
        <v>34</v>
      </c>
      <c r="J405">
        <v>33</v>
      </c>
      <c r="K405" s="1" t="s">
        <v>84</v>
      </c>
      <c r="L405" s="1" t="s">
        <v>24</v>
      </c>
      <c r="M405" s="1" t="s">
        <v>864</v>
      </c>
      <c r="N405" s="1" t="s">
        <v>914</v>
      </c>
    </row>
    <row r="406" spans="1:14" x14ac:dyDescent="0.35">
      <c r="A406">
        <v>3171791</v>
      </c>
      <c r="B406" s="1" t="s">
        <v>722</v>
      </c>
      <c r="C406">
        <v>10669.7</v>
      </c>
      <c r="D406">
        <v>16129</v>
      </c>
      <c r="E406" s="1" t="s">
        <v>915</v>
      </c>
      <c r="F406" s="1" t="s">
        <v>15</v>
      </c>
      <c r="G406" s="1" t="s">
        <v>32</v>
      </c>
      <c r="H406">
        <v>100</v>
      </c>
      <c r="I406">
        <v>37</v>
      </c>
      <c r="J406">
        <v>192</v>
      </c>
      <c r="K406" s="1" t="s">
        <v>124</v>
      </c>
      <c r="L406" s="1" t="s">
        <v>18</v>
      </c>
      <c r="M406" s="1" t="s">
        <v>864</v>
      </c>
      <c r="N406" s="1" t="s">
        <v>916</v>
      </c>
    </row>
    <row r="407" spans="1:14" x14ac:dyDescent="0.35">
      <c r="A407">
        <v>3171746</v>
      </c>
      <c r="B407" s="1" t="s">
        <v>722</v>
      </c>
      <c r="C407">
        <v>10669.7</v>
      </c>
      <c r="D407">
        <v>16129</v>
      </c>
      <c r="E407" s="1" t="s">
        <v>917</v>
      </c>
      <c r="F407" s="1" t="s">
        <v>15</v>
      </c>
      <c r="G407" s="1" t="s">
        <v>32</v>
      </c>
      <c r="H407">
        <v>101</v>
      </c>
      <c r="I407">
        <v>24</v>
      </c>
      <c r="J407">
        <v>122</v>
      </c>
      <c r="K407" s="1" t="s">
        <v>23</v>
      </c>
      <c r="L407" s="1" t="s">
        <v>24</v>
      </c>
      <c r="M407" s="1" t="s">
        <v>864</v>
      </c>
      <c r="N407" s="1" t="s">
        <v>918</v>
      </c>
    </row>
    <row r="408" spans="1:14" x14ac:dyDescent="0.35">
      <c r="A408">
        <v>3171798</v>
      </c>
      <c r="B408" s="1" t="s">
        <v>722</v>
      </c>
      <c r="C408">
        <v>10669.7</v>
      </c>
      <c r="D408">
        <v>16129</v>
      </c>
      <c r="E408" s="1" t="s">
        <v>919</v>
      </c>
      <c r="F408" s="1" t="s">
        <v>15</v>
      </c>
      <c r="G408" s="1" t="s">
        <v>32</v>
      </c>
      <c r="H408">
        <v>103</v>
      </c>
      <c r="I408">
        <v>34</v>
      </c>
      <c r="J408">
        <v>98</v>
      </c>
      <c r="K408" s="1" t="s">
        <v>95</v>
      </c>
      <c r="L408" s="1" t="s">
        <v>24</v>
      </c>
      <c r="M408" s="1" t="s">
        <v>864</v>
      </c>
      <c r="N408" s="1" t="s">
        <v>920</v>
      </c>
    </row>
    <row r="409" spans="1:14" x14ac:dyDescent="0.35">
      <c r="A409">
        <v>3171790</v>
      </c>
      <c r="B409" s="1" t="s">
        <v>722</v>
      </c>
      <c r="C409">
        <v>10669.7</v>
      </c>
      <c r="D409">
        <v>16129</v>
      </c>
      <c r="E409" s="1" t="s">
        <v>921</v>
      </c>
      <c r="F409" s="1" t="s">
        <v>15</v>
      </c>
      <c r="G409" s="1" t="s">
        <v>32</v>
      </c>
      <c r="H409">
        <v>100</v>
      </c>
      <c r="I409">
        <v>26</v>
      </c>
      <c r="J409">
        <v>262</v>
      </c>
      <c r="K409" s="1" t="s">
        <v>124</v>
      </c>
      <c r="L409" s="1" t="s">
        <v>18</v>
      </c>
      <c r="M409" s="1" t="s">
        <v>864</v>
      </c>
      <c r="N409" s="1" t="s">
        <v>922</v>
      </c>
    </row>
    <row r="410" spans="1:14" x14ac:dyDescent="0.35">
      <c r="A410">
        <v>3171680</v>
      </c>
      <c r="B410" s="1" t="s">
        <v>722</v>
      </c>
      <c r="C410">
        <v>10669.7</v>
      </c>
      <c r="D410">
        <v>16129</v>
      </c>
      <c r="E410" s="1" t="s">
        <v>923</v>
      </c>
      <c r="F410" s="1" t="s">
        <v>15</v>
      </c>
      <c r="G410" s="1" t="s">
        <v>32</v>
      </c>
      <c r="H410">
        <v>38</v>
      </c>
      <c r="I410">
        <v>34</v>
      </c>
      <c r="J410">
        <v>212</v>
      </c>
      <c r="K410" s="1" t="s">
        <v>23</v>
      </c>
      <c r="L410" s="1" t="s">
        <v>24</v>
      </c>
      <c r="M410" s="1" t="s">
        <v>864</v>
      </c>
      <c r="N410" s="1" t="s">
        <v>924</v>
      </c>
    </row>
    <row r="411" spans="1:14" x14ac:dyDescent="0.35">
      <c r="A411">
        <v>3171782</v>
      </c>
      <c r="B411" s="1" t="s">
        <v>722</v>
      </c>
      <c r="C411">
        <v>10669.7</v>
      </c>
      <c r="D411">
        <v>16129</v>
      </c>
      <c r="E411" s="1" t="s">
        <v>925</v>
      </c>
      <c r="F411" s="1" t="s">
        <v>15</v>
      </c>
      <c r="G411" s="1" t="s">
        <v>32</v>
      </c>
      <c r="H411">
        <v>114</v>
      </c>
      <c r="I411">
        <v>32</v>
      </c>
      <c r="J411">
        <v>132</v>
      </c>
      <c r="K411" s="1" t="s">
        <v>84</v>
      </c>
      <c r="L411" s="1" t="s">
        <v>24</v>
      </c>
      <c r="M411" s="1" t="s">
        <v>864</v>
      </c>
      <c r="N411" s="1" t="s">
        <v>926</v>
      </c>
    </row>
    <row r="412" spans="1:14" x14ac:dyDescent="0.35">
      <c r="A412">
        <v>3171735</v>
      </c>
      <c r="B412" s="1" t="s">
        <v>722</v>
      </c>
      <c r="C412">
        <v>10669.7</v>
      </c>
      <c r="D412">
        <v>16129</v>
      </c>
      <c r="E412" s="1" t="s">
        <v>927</v>
      </c>
      <c r="F412" s="1" t="s">
        <v>15</v>
      </c>
      <c r="G412" s="1" t="s">
        <v>32</v>
      </c>
      <c r="H412">
        <v>51</v>
      </c>
      <c r="I412">
        <v>46</v>
      </c>
      <c r="J412">
        <v>348</v>
      </c>
      <c r="K412" s="1" t="s">
        <v>23</v>
      </c>
      <c r="L412" s="1" t="s">
        <v>24</v>
      </c>
      <c r="M412" s="1" t="s">
        <v>864</v>
      </c>
      <c r="N412" s="1" t="s">
        <v>928</v>
      </c>
    </row>
    <row r="413" spans="1:14" x14ac:dyDescent="0.35">
      <c r="A413">
        <v>3171702</v>
      </c>
      <c r="B413" s="1" t="s">
        <v>722</v>
      </c>
      <c r="C413">
        <v>10669.7</v>
      </c>
      <c r="D413">
        <v>16129</v>
      </c>
      <c r="E413" s="1" t="s">
        <v>929</v>
      </c>
      <c r="F413" s="1" t="s">
        <v>15</v>
      </c>
      <c r="G413" s="1" t="s">
        <v>32</v>
      </c>
      <c r="H413">
        <v>128</v>
      </c>
      <c r="I413">
        <v>71</v>
      </c>
      <c r="J413">
        <v>355</v>
      </c>
      <c r="K413" s="1" t="s">
        <v>23</v>
      </c>
      <c r="L413" s="1" t="s">
        <v>24</v>
      </c>
      <c r="M413" s="1" t="s">
        <v>864</v>
      </c>
      <c r="N413" s="1" t="s">
        <v>930</v>
      </c>
    </row>
    <row r="414" spans="1:14" x14ac:dyDescent="0.35">
      <c r="A414">
        <v>3171574</v>
      </c>
      <c r="B414" s="1" t="s">
        <v>722</v>
      </c>
      <c r="C414">
        <v>10669.7</v>
      </c>
      <c r="D414">
        <v>16129</v>
      </c>
      <c r="E414" s="1" t="s">
        <v>931</v>
      </c>
      <c r="F414" s="1" t="s">
        <v>15</v>
      </c>
      <c r="G414" s="1" t="s">
        <v>32</v>
      </c>
      <c r="H414">
        <v>111</v>
      </c>
      <c r="I414">
        <v>72</v>
      </c>
      <c r="J414">
        <v>221</v>
      </c>
      <c r="K414" s="1" t="s">
        <v>84</v>
      </c>
      <c r="L414" s="1" t="s">
        <v>24</v>
      </c>
      <c r="M414" s="1" t="s">
        <v>864</v>
      </c>
      <c r="N414" s="1" t="s">
        <v>932</v>
      </c>
    </row>
    <row r="415" spans="1:14" x14ac:dyDescent="0.35">
      <c r="A415">
        <v>3171713</v>
      </c>
      <c r="B415" s="1" t="s">
        <v>722</v>
      </c>
      <c r="C415">
        <v>10669.7</v>
      </c>
      <c r="D415">
        <v>16129</v>
      </c>
      <c r="E415" s="1" t="s">
        <v>933</v>
      </c>
      <c r="F415" s="1" t="s">
        <v>15</v>
      </c>
      <c r="G415" s="1" t="s">
        <v>32</v>
      </c>
      <c r="H415">
        <v>111</v>
      </c>
      <c r="I415">
        <v>23</v>
      </c>
      <c r="J415">
        <v>243</v>
      </c>
      <c r="K415" s="1" t="s">
        <v>23</v>
      </c>
      <c r="L415" s="1" t="s">
        <v>24</v>
      </c>
      <c r="M415" s="1" t="s">
        <v>864</v>
      </c>
      <c r="N415" s="1" t="s">
        <v>934</v>
      </c>
    </row>
    <row r="416" spans="1:14" x14ac:dyDescent="0.35">
      <c r="A416">
        <v>3171045</v>
      </c>
      <c r="B416" s="1" t="s">
        <v>722</v>
      </c>
      <c r="C416">
        <v>10669.7</v>
      </c>
      <c r="D416">
        <v>16129</v>
      </c>
      <c r="E416" s="1" t="s">
        <v>935</v>
      </c>
      <c r="F416" s="1" t="s">
        <v>15</v>
      </c>
      <c r="G416" s="1" t="s">
        <v>32</v>
      </c>
      <c r="H416">
        <v>132</v>
      </c>
      <c r="I416">
        <v>97</v>
      </c>
      <c r="J416">
        <v>520</v>
      </c>
      <c r="K416" s="1" t="s">
        <v>84</v>
      </c>
      <c r="L416" s="1" t="s">
        <v>24</v>
      </c>
      <c r="M416" s="1" t="s">
        <v>864</v>
      </c>
      <c r="N416" s="1" t="s">
        <v>936</v>
      </c>
    </row>
    <row r="417" spans="1:14" x14ac:dyDescent="0.35">
      <c r="A417">
        <v>3171450</v>
      </c>
      <c r="B417" s="1" t="s">
        <v>722</v>
      </c>
      <c r="C417">
        <v>10669.7</v>
      </c>
      <c r="D417">
        <v>16129</v>
      </c>
      <c r="E417" s="1" t="s">
        <v>937</v>
      </c>
      <c r="F417" s="1" t="s">
        <v>15</v>
      </c>
      <c r="G417" s="1" t="s">
        <v>32</v>
      </c>
      <c r="H417">
        <v>105</v>
      </c>
      <c r="I417">
        <v>75</v>
      </c>
      <c r="J417">
        <v>260</v>
      </c>
      <c r="K417" s="1" t="s">
        <v>84</v>
      </c>
      <c r="L417" s="1" t="s">
        <v>24</v>
      </c>
      <c r="M417" s="1" t="s">
        <v>864</v>
      </c>
      <c r="N417" s="1" t="s">
        <v>938</v>
      </c>
    </row>
    <row r="418" spans="1:14" x14ac:dyDescent="0.35">
      <c r="A418">
        <v>3171805</v>
      </c>
      <c r="B418" s="1" t="s">
        <v>722</v>
      </c>
      <c r="C418">
        <v>10669.7</v>
      </c>
      <c r="D418">
        <v>16129</v>
      </c>
      <c r="E418" s="1" t="s">
        <v>939</v>
      </c>
      <c r="F418" s="1" t="s">
        <v>15</v>
      </c>
      <c r="G418" s="1" t="s">
        <v>32</v>
      </c>
      <c r="H418">
        <v>108</v>
      </c>
      <c r="I418">
        <v>59</v>
      </c>
      <c r="K418" s="1" t="s">
        <v>90</v>
      </c>
      <c r="L418" s="1" t="s">
        <v>24</v>
      </c>
      <c r="M418" s="1" t="s">
        <v>864</v>
      </c>
      <c r="N418" s="1" t="s">
        <v>940</v>
      </c>
    </row>
    <row r="419" spans="1:14" x14ac:dyDescent="0.35">
      <c r="A419">
        <v>3171807</v>
      </c>
      <c r="B419" s="1" t="s">
        <v>722</v>
      </c>
      <c r="C419">
        <v>10669.7</v>
      </c>
      <c r="D419">
        <v>16129</v>
      </c>
      <c r="E419" s="1" t="s">
        <v>941</v>
      </c>
      <c r="F419" s="1" t="s">
        <v>15</v>
      </c>
      <c r="G419" s="1" t="s">
        <v>32</v>
      </c>
      <c r="H419">
        <v>101</v>
      </c>
      <c r="I419">
        <v>43</v>
      </c>
      <c r="K419" s="1" t="s">
        <v>23</v>
      </c>
      <c r="L419" s="1" t="s">
        <v>24</v>
      </c>
      <c r="M419" s="1" t="s">
        <v>864</v>
      </c>
      <c r="N419" s="1" t="s">
        <v>942</v>
      </c>
    </row>
    <row r="420" spans="1:14" x14ac:dyDescent="0.35">
      <c r="A420">
        <v>3171785</v>
      </c>
      <c r="B420" s="1" t="s">
        <v>722</v>
      </c>
      <c r="C420">
        <v>10669.7</v>
      </c>
      <c r="D420">
        <v>16129</v>
      </c>
      <c r="E420" s="1" t="s">
        <v>943</v>
      </c>
      <c r="F420" s="1" t="s">
        <v>15</v>
      </c>
      <c r="G420" s="1" t="s">
        <v>32</v>
      </c>
      <c r="H420">
        <v>4</v>
      </c>
      <c r="I420">
        <v>55</v>
      </c>
      <c r="J420">
        <v>248</v>
      </c>
      <c r="K420" s="1" t="s">
        <v>146</v>
      </c>
      <c r="L420" s="1" t="s">
        <v>120</v>
      </c>
      <c r="M420" s="1" t="s">
        <v>864</v>
      </c>
      <c r="N420" s="1" t="s">
        <v>944</v>
      </c>
    </row>
    <row r="421" spans="1:14" x14ac:dyDescent="0.35">
      <c r="A421">
        <v>3171781</v>
      </c>
      <c r="B421" s="1" t="s">
        <v>722</v>
      </c>
      <c r="C421">
        <v>10669.7</v>
      </c>
      <c r="D421">
        <v>16129</v>
      </c>
      <c r="E421" s="1" t="s">
        <v>945</v>
      </c>
      <c r="F421" s="1" t="s">
        <v>15</v>
      </c>
      <c r="G421" s="1" t="s">
        <v>32</v>
      </c>
      <c r="H421">
        <v>111</v>
      </c>
      <c r="I421">
        <v>33</v>
      </c>
      <c r="J421">
        <v>21</v>
      </c>
      <c r="K421" s="1" t="s">
        <v>444</v>
      </c>
      <c r="L421" s="1" t="s">
        <v>24</v>
      </c>
      <c r="M421" s="1" t="s">
        <v>864</v>
      </c>
      <c r="N421" s="1" t="s">
        <v>946</v>
      </c>
    </row>
    <row r="422" spans="1:14" x14ac:dyDescent="0.35">
      <c r="A422">
        <v>3171784</v>
      </c>
      <c r="B422" s="1" t="s">
        <v>722</v>
      </c>
      <c r="C422">
        <v>10669.7</v>
      </c>
      <c r="D422">
        <v>16129</v>
      </c>
      <c r="E422" s="1" t="s">
        <v>947</v>
      </c>
      <c r="F422" s="1" t="s">
        <v>15</v>
      </c>
      <c r="G422" s="1" t="s">
        <v>32</v>
      </c>
      <c r="H422">
        <v>101</v>
      </c>
      <c r="I422">
        <v>27</v>
      </c>
      <c r="J422">
        <v>138</v>
      </c>
      <c r="K422" s="1" t="s">
        <v>90</v>
      </c>
      <c r="L422" s="1" t="s">
        <v>24</v>
      </c>
      <c r="M422" s="1" t="s">
        <v>864</v>
      </c>
      <c r="N422" s="1" t="s">
        <v>948</v>
      </c>
    </row>
    <row r="423" spans="1:14" x14ac:dyDescent="0.35">
      <c r="A423">
        <v>3171800</v>
      </c>
      <c r="B423" s="1" t="s">
        <v>722</v>
      </c>
      <c r="C423">
        <v>10669.7</v>
      </c>
      <c r="D423">
        <v>16129</v>
      </c>
      <c r="E423" s="1" t="s">
        <v>949</v>
      </c>
      <c r="F423" s="1" t="s">
        <v>15</v>
      </c>
      <c r="G423" s="1" t="s">
        <v>22</v>
      </c>
      <c r="H423">
        <v>70</v>
      </c>
      <c r="I423">
        <v>25</v>
      </c>
      <c r="J423">
        <v>137</v>
      </c>
      <c r="K423" s="1" t="s">
        <v>124</v>
      </c>
      <c r="L423" s="1" t="s">
        <v>24</v>
      </c>
      <c r="M423" s="1" t="s">
        <v>864</v>
      </c>
      <c r="N423" s="1" t="s">
        <v>950</v>
      </c>
    </row>
    <row r="424" spans="1:14" x14ac:dyDescent="0.35">
      <c r="A424">
        <v>3171793</v>
      </c>
      <c r="B424" s="1" t="s">
        <v>722</v>
      </c>
      <c r="C424">
        <v>10669.7</v>
      </c>
      <c r="D424">
        <v>16129</v>
      </c>
      <c r="E424" s="1" t="s">
        <v>951</v>
      </c>
      <c r="F424" s="1" t="s">
        <v>15</v>
      </c>
      <c r="G424" s="1" t="s">
        <v>22</v>
      </c>
      <c r="H424">
        <v>57</v>
      </c>
      <c r="I424">
        <v>38</v>
      </c>
      <c r="J424">
        <v>196</v>
      </c>
      <c r="K424" s="1" t="s">
        <v>124</v>
      </c>
      <c r="L424" s="1" t="s">
        <v>18</v>
      </c>
      <c r="M424" s="1" t="s">
        <v>864</v>
      </c>
      <c r="N424" s="1" t="s">
        <v>952</v>
      </c>
    </row>
    <row r="425" spans="1:14" x14ac:dyDescent="0.35">
      <c r="A425">
        <v>3171621</v>
      </c>
      <c r="B425" s="1" t="s">
        <v>722</v>
      </c>
      <c r="C425">
        <v>10669.7</v>
      </c>
      <c r="D425">
        <v>16129</v>
      </c>
      <c r="E425" s="1" t="s">
        <v>953</v>
      </c>
      <c r="F425" s="1" t="s">
        <v>15</v>
      </c>
      <c r="G425" s="1" t="s">
        <v>22</v>
      </c>
      <c r="H425">
        <v>58</v>
      </c>
      <c r="I425">
        <v>35</v>
      </c>
      <c r="J425">
        <v>213</v>
      </c>
      <c r="K425" s="1" t="s">
        <v>23</v>
      </c>
      <c r="L425" s="1" t="s">
        <v>24</v>
      </c>
      <c r="M425" s="1" t="s">
        <v>864</v>
      </c>
      <c r="N425" s="1" t="s">
        <v>954</v>
      </c>
    </row>
    <row r="426" spans="1:14" x14ac:dyDescent="0.35">
      <c r="A426">
        <v>3171803</v>
      </c>
      <c r="B426" s="1" t="s">
        <v>722</v>
      </c>
      <c r="C426">
        <v>10669.7</v>
      </c>
      <c r="D426">
        <v>16129</v>
      </c>
      <c r="E426" s="1" t="s">
        <v>955</v>
      </c>
      <c r="F426" s="1" t="s">
        <v>15</v>
      </c>
      <c r="G426" s="1" t="s">
        <v>22</v>
      </c>
      <c r="H426">
        <v>62</v>
      </c>
      <c r="I426">
        <v>29</v>
      </c>
      <c r="J426">
        <v>210</v>
      </c>
      <c r="K426" s="1" t="s">
        <v>124</v>
      </c>
      <c r="L426" s="1" t="s">
        <v>18</v>
      </c>
      <c r="M426" s="1" t="s">
        <v>864</v>
      </c>
      <c r="N426" s="1" t="s">
        <v>956</v>
      </c>
    </row>
    <row r="427" spans="1:14" x14ac:dyDescent="0.35">
      <c r="A427">
        <v>3171796</v>
      </c>
      <c r="B427" s="1" t="s">
        <v>722</v>
      </c>
      <c r="C427">
        <v>10669.7</v>
      </c>
      <c r="D427">
        <v>16129</v>
      </c>
      <c r="E427" s="1" t="s">
        <v>957</v>
      </c>
      <c r="F427" s="1" t="s">
        <v>15</v>
      </c>
      <c r="G427" s="1" t="s">
        <v>22</v>
      </c>
      <c r="H427">
        <v>50</v>
      </c>
      <c r="I427">
        <v>23</v>
      </c>
      <c r="J427">
        <v>131</v>
      </c>
      <c r="K427" s="1" t="s">
        <v>23</v>
      </c>
      <c r="L427" s="1" t="s">
        <v>24</v>
      </c>
      <c r="M427" s="1" t="s">
        <v>864</v>
      </c>
      <c r="N427" s="1" t="s">
        <v>958</v>
      </c>
    </row>
    <row r="428" spans="1:14" x14ac:dyDescent="0.35">
      <c r="A428">
        <v>3171801</v>
      </c>
      <c r="B428" s="1" t="s">
        <v>722</v>
      </c>
      <c r="C428">
        <v>10669.7</v>
      </c>
      <c r="D428">
        <v>16129</v>
      </c>
      <c r="E428" s="1" t="s">
        <v>959</v>
      </c>
      <c r="F428" s="1" t="s">
        <v>15</v>
      </c>
      <c r="G428" s="1" t="s">
        <v>22</v>
      </c>
      <c r="H428">
        <v>58</v>
      </c>
      <c r="I428">
        <v>16</v>
      </c>
      <c r="J428">
        <v>215</v>
      </c>
      <c r="K428" s="1" t="s">
        <v>124</v>
      </c>
      <c r="L428" s="1" t="s">
        <v>18</v>
      </c>
      <c r="M428" s="1" t="s">
        <v>864</v>
      </c>
      <c r="N428" s="1" t="s">
        <v>960</v>
      </c>
    </row>
    <row r="429" spans="1:14" x14ac:dyDescent="0.35">
      <c r="A429">
        <v>3171792</v>
      </c>
      <c r="B429" s="1" t="s">
        <v>722</v>
      </c>
      <c r="C429">
        <v>10669.7</v>
      </c>
      <c r="D429">
        <v>16129</v>
      </c>
      <c r="E429" s="1" t="s">
        <v>961</v>
      </c>
      <c r="F429" s="1" t="s">
        <v>15</v>
      </c>
      <c r="G429" s="1" t="s">
        <v>22</v>
      </c>
      <c r="H429">
        <v>50</v>
      </c>
      <c r="I429">
        <v>47</v>
      </c>
      <c r="J429">
        <v>87</v>
      </c>
      <c r="K429" s="1" t="s">
        <v>124</v>
      </c>
      <c r="L429" s="1" t="s">
        <v>18</v>
      </c>
      <c r="M429" s="1" t="s">
        <v>864</v>
      </c>
      <c r="N429" s="1" t="s">
        <v>962</v>
      </c>
    </row>
    <row r="430" spans="1:14" x14ac:dyDescent="0.35">
      <c r="A430">
        <v>3171806</v>
      </c>
      <c r="B430" s="1" t="s">
        <v>722</v>
      </c>
      <c r="C430">
        <v>10669.7</v>
      </c>
      <c r="D430">
        <v>16129</v>
      </c>
      <c r="E430" s="1" t="s">
        <v>963</v>
      </c>
      <c r="F430" s="1" t="s">
        <v>15</v>
      </c>
      <c r="G430" s="1" t="s">
        <v>22</v>
      </c>
      <c r="H430">
        <v>103</v>
      </c>
      <c r="I430">
        <v>128</v>
      </c>
      <c r="J430">
        <v>312</v>
      </c>
      <c r="K430" s="1" t="s">
        <v>23</v>
      </c>
      <c r="L430" s="1" t="s">
        <v>24</v>
      </c>
      <c r="M430" s="1" t="s">
        <v>864</v>
      </c>
      <c r="N430" s="1" t="s">
        <v>964</v>
      </c>
    </row>
    <row r="431" spans="1:14" x14ac:dyDescent="0.35">
      <c r="A431">
        <v>3171435</v>
      </c>
      <c r="B431" s="1" t="s">
        <v>722</v>
      </c>
      <c r="C431">
        <v>10669.7</v>
      </c>
      <c r="D431">
        <v>16129</v>
      </c>
      <c r="E431" s="1" t="s">
        <v>965</v>
      </c>
      <c r="F431" s="1" t="s">
        <v>966</v>
      </c>
      <c r="G431" s="1" t="s">
        <v>16</v>
      </c>
      <c r="H431">
        <v>185</v>
      </c>
      <c r="I431">
        <v>25</v>
      </c>
      <c r="J431">
        <v>327</v>
      </c>
      <c r="K431" s="1" t="s">
        <v>339</v>
      </c>
      <c r="L431" s="1" t="s">
        <v>120</v>
      </c>
      <c r="M431" s="1" t="s">
        <v>967</v>
      </c>
      <c r="N431" s="1" t="s">
        <v>968</v>
      </c>
    </row>
    <row r="432" spans="1:14" x14ac:dyDescent="0.35">
      <c r="A432">
        <v>3172758</v>
      </c>
      <c r="B432" s="1" t="s">
        <v>722</v>
      </c>
      <c r="C432">
        <v>10669.7</v>
      </c>
      <c r="D432">
        <v>16129</v>
      </c>
      <c r="E432" s="1" t="s">
        <v>969</v>
      </c>
      <c r="F432" s="1" t="s">
        <v>220</v>
      </c>
      <c r="G432" s="1" t="s">
        <v>130</v>
      </c>
      <c r="H432">
        <v>154</v>
      </c>
      <c r="I432">
        <v>79</v>
      </c>
      <c r="J432">
        <v>300</v>
      </c>
      <c r="K432" s="1" t="s">
        <v>90</v>
      </c>
      <c r="L432" s="1" t="s">
        <v>24</v>
      </c>
      <c r="M432" s="1" t="s">
        <v>967</v>
      </c>
      <c r="N432" s="1" t="s">
        <v>970</v>
      </c>
    </row>
    <row r="433" spans="1:14" x14ac:dyDescent="0.35">
      <c r="A433">
        <v>3172301</v>
      </c>
      <c r="B433" s="1" t="s">
        <v>722</v>
      </c>
      <c r="C433">
        <v>10669.7</v>
      </c>
      <c r="D433">
        <v>16129</v>
      </c>
      <c r="E433" s="1" t="s">
        <v>971</v>
      </c>
      <c r="F433" s="1" t="s">
        <v>220</v>
      </c>
      <c r="G433" s="1" t="s">
        <v>32</v>
      </c>
      <c r="H433">
        <v>35</v>
      </c>
      <c r="I433">
        <v>21</v>
      </c>
      <c r="J433">
        <v>81</v>
      </c>
      <c r="K433" s="1" t="s">
        <v>84</v>
      </c>
      <c r="L433" s="1" t="s">
        <v>24</v>
      </c>
      <c r="M433" s="1" t="s">
        <v>967</v>
      </c>
      <c r="N433" s="1" t="s">
        <v>972</v>
      </c>
    </row>
    <row r="434" spans="1:14" x14ac:dyDescent="0.35">
      <c r="A434">
        <v>3172751</v>
      </c>
      <c r="B434" s="1" t="s">
        <v>722</v>
      </c>
      <c r="C434">
        <v>10669.7</v>
      </c>
      <c r="D434">
        <v>16129</v>
      </c>
      <c r="E434" s="1" t="s">
        <v>973</v>
      </c>
      <c r="F434" s="1" t="s">
        <v>119</v>
      </c>
      <c r="G434" s="1" t="s">
        <v>16</v>
      </c>
      <c r="H434">
        <v>12</v>
      </c>
      <c r="I434">
        <v>18</v>
      </c>
      <c r="J434">
        <v>85</v>
      </c>
      <c r="K434" s="1" t="s">
        <v>974</v>
      </c>
      <c r="L434" s="1" t="s">
        <v>24</v>
      </c>
      <c r="M434" s="1" t="s">
        <v>967</v>
      </c>
      <c r="N434" s="1" t="s">
        <v>975</v>
      </c>
    </row>
    <row r="435" spans="1:14" x14ac:dyDescent="0.35">
      <c r="A435">
        <v>3172756</v>
      </c>
      <c r="B435" s="1" t="s">
        <v>722</v>
      </c>
      <c r="C435">
        <v>10669.7</v>
      </c>
      <c r="D435">
        <v>16129</v>
      </c>
      <c r="E435" s="1" t="s">
        <v>976</v>
      </c>
      <c r="F435" s="1" t="s">
        <v>71</v>
      </c>
      <c r="G435" s="1" t="s">
        <v>32</v>
      </c>
      <c r="H435">
        <v>20</v>
      </c>
      <c r="I435">
        <v>27</v>
      </c>
      <c r="J435">
        <v>56</v>
      </c>
      <c r="K435" s="1" t="s">
        <v>90</v>
      </c>
      <c r="L435" s="1" t="s">
        <v>24</v>
      </c>
      <c r="M435" s="1" t="s">
        <v>967</v>
      </c>
      <c r="N435" s="1" t="s">
        <v>977</v>
      </c>
    </row>
    <row r="436" spans="1:14" x14ac:dyDescent="0.35">
      <c r="A436">
        <v>3172137</v>
      </c>
      <c r="B436" s="1" t="s">
        <v>722</v>
      </c>
      <c r="C436">
        <v>10669.7</v>
      </c>
      <c r="D436">
        <v>16129</v>
      </c>
      <c r="E436" s="1" t="s">
        <v>978</v>
      </c>
      <c r="F436" s="1" t="s">
        <v>71</v>
      </c>
      <c r="G436" s="1" t="s">
        <v>32</v>
      </c>
      <c r="H436">
        <v>40</v>
      </c>
      <c r="I436">
        <v>26</v>
      </c>
      <c r="J436">
        <v>49</v>
      </c>
      <c r="K436" s="1" t="s">
        <v>23</v>
      </c>
      <c r="L436" s="1" t="s">
        <v>24</v>
      </c>
      <c r="M436" s="1" t="s">
        <v>967</v>
      </c>
      <c r="N436" s="1" t="s">
        <v>979</v>
      </c>
    </row>
    <row r="437" spans="1:14" x14ac:dyDescent="0.35">
      <c r="A437">
        <v>3172750</v>
      </c>
      <c r="B437" s="1" t="s">
        <v>722</v>
      </c>
      <c r="C437">
        <v>10669.7</v>
      </c>
      <c r="D437">
        <v>16129</v>
      </c>
      <c r="E437" s="1" t="s">
        <v>980</v>
      </c>
      <c r="F437" s="1" t="s">
        <v>71</v>
      </c>
      <c r="G437" s="1" t="s">
        <v>32</v>
      </c>
      <c r="H437">
        <v>75</v>
      </c>
      <c r="I437">
        <v>18</v>
      </c>
      <c r="J437">
        <v>56</v>
      </c>
      <c r="K437" s="1" t="s">
        <v>90</v>
      </c>
      <c r="L437" s="1" t="s">
        <v>24</v>
      </c>
      <c r="M437" s="1" t="s">
        <v>967</v>
      </c>
      <c r="N437" s="1" t="s">
        <v>981</v>
      </c>
    </row>
    <row r="438" spans="1:14" x14ac:dyDescent="0.35">
      <c r="A438">
        <v>3172765</v>
      </c>
      <c r="B438" s="1" t="s">
        <v>722</v>
      </c>
      <c r="C438">
        <v>10669.7</v>
      </c>
      <c r="D438">
        <v>16129</v>
      </c>
      <c r="E438" s="1" t="s">
        <v>982</v>
      </c>
      <c r="F438" s="1" t="s">
        <v>71</v>
      </c>
      <c r="G438" s="1" t="s">
        <v>32</v>
      </c>
      <c r="H438">
        <v>41</v>
      </c>
      <c r="I438">
        <v>23</v>
      </c>
      <c r="J438">
        <v>13</v>
      </c>
      <c r="K438" s="1" t="s">
        <v>23</v>
      </c>
      <c r="L438" s="1" t="s">
        <v>24</v>
      </c>
      <c r="M438" s="1" t="s">
        <v>967</v>
      </c>
      <c r="N438" s="1" t="s">
        <v>983</v>
      </c>
    </row>
    <row r="439" spans="1:14" x14ac:dyDescent="0.35">
      <c r="A439">
        <v>3172755</v>
      </c>
      <c r="B439" s="1" t="s">
        <v>722</v>
      </c>
      <c r="C439">
        <v>10669.7</v>
      </c>
      <c r="D439">
        <v>16129</v>
      </c>
      <c r="E439" s="1" t="s">
        <v>984</v>
      </c>
      <c r="F439" s="1" t="s">
        <v>738</v>
      </c>
      <c r="G439" s="1" t="s">
        <v>16</v>
      </c>
      <c r="H439">
        <v>81</v>
      </c>
      <c r="I439">
        <v>50</v>
      </c>
      <c r="J439">
        <v>233</v>
      </c>
      <c r="K439" s="1" t="s">
        <v>90</v>
      </c>
      <c r="L439" s="1" t="s">
        <v>24</v>
      </c>
      <c r="M439" s="1" t="s">
        <v>967</v>
      </c>
      <c r="N439" s="1" t="s">
        <v>985</v>
      </c>
    </row>
    <row r="440" spans="1:14" x14ac:dyDescent="0.35">
      <c r="A440">
        <v>3172752</v>
      </c>
      <c r="B440" s="1" t="s">
        <v>722</v>
      </c>
      <c r="C440">
        <v>10669.7</v>
      </c>
      <c r="D440">
        <v>16129</v>
      </c>
      <c r="E440" s="1" t="s">
        <v>986</v>
      </c>
      <c r="F440" s="1" t="s">
        <v>738</v>
      </c>
      <c r="G440" s="1" t="s">
        <v>32</v>
      </c>
      <c r="H440">
        <v>21</v>
      </c>
      <c r="I440">
        <v>42</v>
      </c>
      <c r="J440">
        <v>82</v>
      </c>
      <c r="K440" s="1" t="s">
        <v>90</v>
      </c>
      <c r="L440" s="1" t="s">
        <v>24</v>
      </c>
      <c r="M440" s="1" t="s">
        <v>967</v>
      </c>
      <c r="N440" s="1" t="s">
        <v>987</v>
      </c>
    </row>
    <row r="441" spans="1:14" x14ac:dyDescent="0.35">
      <c r="A441">
        <v>3172746</v>
      </c>
      <c r="B441" s="1" t="s">
        <v>722</v>
      </c>
      <c r="C441">
        <v>10669.7</v>
      </c>
      <c r="D441">
        <v>16129</v>
      </c>
      <c r="E441" s="1" t="s">
        <v>988</v>
      </c>
      <c r="F441" s="1" t="s">
        <v>129</v>
      </c>
      <c r="G441" s="1" t="s">
        <v>130</v>
      </c>
      <c r="H441">
        <v>534</v>
      </c>
      <c r="I441">
        <v>53</v>
      </c>
      <c r="J441">
        <v>422</v>
      </c>
      <c r="K441" s="1" t="s">
        <v>124</v>
      </c>
      <c r="L441" s="1" t="s">
        <v>18</v>
      </c>
      <c r="M441" s="1" t="s">
        <v>967</v>
      </c>
      <c r="N441" s="1" t="s">
        <v>989</v>
      </c>
    </row>
    <row r="442" spans="1:14" x14ac:dyDescent="0.35">
      <c r="A442">
        <v>3172735</v>
      </c>
      <c r="B442" s="1" t="s">
        <v>722</v>
      </c>
      <c r="C442">
        <v>10669.7</v>
      </c>
      <c r="D442">
        <v>16129</v>
      </c>
      <c r="E442" s="1" t="s">
        <v>990</v>
      </c>
      <c r="F442" s="1" t="s">
        <v>129</v>
      </c>
      <c r="G442" s="1" t="s">
        <v>32</v>
      </c>
      <c r="H442">
        <v>37</v>
      </c>
      <c r="I442">
        <v>19</v>
      </c>
      <c r="J442">
        <v>11</v>
      </c>
      <c r="K442" s="1" t="s">
        <v>444</v>
      </c>
      <c r="L442" s="1" t="s">
        <v>24</v>
      </c>
      <c r="M442" s="1" t="s">
        <v>967</v>
      </c>
      <c r="N442" s="1" t="s">
        <v>991</v>
      </c>
    </row>
    <row r="443" spans="1:14" x14ac:dyDescent="0.35">
      <c r="A443">
        <v>3172749</v>
      </c>
      <c r="B443" s="1" t="s">
        <v>722</v>
      </c>
      <c r="C443">
        <v>10669.7</v>
      </c>
      <c r="D443">
        <v>16129</v>
      </c>
      <c r="E443" s="1" t="s">
        <v>992</v>
      </c>
      <c r="F443" s="1" t="s">
        <v>993</v>
      </c>
      <c r="G443" s="1" t="s">
        <v>130</v>
      </c>
      <c r="H443">
        <v>287</v>
      </c>
      <c r="I443">
        <v>61</v>
      </c>
      <c r="J443">
        <v>1673</v>
      </c>
      <c r="K443" s="1" t="s">
        <v>339</v>
      </c>
      <c r="L443" s="1" t="s">
        <v>120</v>
      </c>
      <c r="M443" s="1" t="s">
        <v>967</v>
      </c>
      <c r="N443" s="1" t="s">
        <v>994</v>
      </c>
    </row>
    <row r="444" spans="1:14" x14ac:dyDescent="0.35">
      <c r="A444">
        <v>3172013</v>
      </c>
      <c r="B444" s="1" t="s">
        <v>722</v>
      </c>
      <c r="C444">
        <v>10669.7</v>
      </c>
      <c r="D444">
        <v>16129</v>
      </c>
      <c r="E444" s="1" t="s">
        <v>995</v>
      </c>
      <c r="F444" s="1" t="s">
        <v>15</v>
      </c>
      <c r="G444" s="1" t="s">
        <v>130</v>
      </c>
      <c r="H444">
        <v>514</v>
      </c>
      <c r="I444">
        <v>131</v>
      </c>
      <c r="J444">
        <v>2216</v>
      </c>
      <c r="K444" s="1" t="s">
        <v>339</v>
      </c>
      <c r="L444" s="1" t="s">
        <v>120</v>
      </c>
      <c r="M444" s="1" t="s">
        <v>967</v>
      </c>
      <c r="N444" s="1" t="s">
        <v>996</v>
      </c>
    </row>
    <row r="445" spans="1:14" x14ac:dyDescent="0.35">
      <c r="A445">
        <v>3172072</v>
      </c>
      <c r="B445" s="1" t="s">
        <v>722</v>
      </c>
      <c r="C445">
        <v>10669.7</v>
      </c>
      <c r="D445">
        <v>16129</v>
      </c>
      <c r="E445" s="1" t="s">
        <v>997</v>
      </c>
      <c r="F445" s="1" t="s">
        <v>15</v>
      </c>
      <c r="G445" s="1" t="s">
        <v>130</v>
      </c>
      <c r="H445">
        <v>766</v>
      </c>
      <c r="I445">
        <v>132</v>
      </c>
      <c r="J445">
        <v>2696</v>
      </c>
      <c r="K445" s="1" t="s">
        <v>146</v>
      </c>
      <c r="L445" s="1" t="s">
        <v>120</v>
      </c>
      <c r="M445" s="1" t="s">
        <v>967</v>
      </c>
      <c r="N445" s="1" t="s">
        <v>998</v>
      </c>
    </row>
    <row r="446" spans="1:14" x14ac:dyDescent="0.35">
      <c r="A446">
        <v>3172024</v>
      </c>
      <c r="B446" s="1" t="s">
        <v>722</v>
      </c>
      <c r="C446">
        <v>10669.7</v>
      </c>
      <c r="D446">
        <v>16129</v>
      </c>
      <c r="E446" s="1" t="s">
        <v>999</v>
      </c>
      <c r="F446" s="1" t="s">
        <v>15</v>
      </c>
      <c r="G446" s="1" t="s">
        <v>16</v>
      </c>
      <c r="H446">
        <v>299</v>
      </c>
      <c r="I446">
        <v>78</v>
      </c>
      <c r="J446">
        <v>315</v>
      </c>
      <c r="K446" s="1" t="s">
        <v>124</v>
      </c>
      <c r="L446" s="1" t="s">
        <v>18</v>
      </c>
      <c r="M446" s="1" t="s">
        <v>967</v>
      </c>
      <c r="N446" s="1" t="s">
        <v>1000</v>
      </c>
    </row>
    <row r="447" spans="1:14" x14ac:dyDescent="0.35">
      <c r="A447">
        <v>3172724</v>
      </c>
      <c r="B447" s="1" t="s">
        <v>722</v>
      </c>
      <c r="C447">
        <v>10669.7</v>
      </c>
      <c r="D447">
        <v>16129</v>
      </c>
      <c r="E447" s="1" t="s">
        <v>1001</v>
      </c>
      <c r="F447" s="1" t="s">
        <v>15</v>
      </c>
      <c r="G447" s="1" t="s">
        <v>16</v>
      </c>
      <c r="H447">
        <v>230</v>
      </c>
      <c r="I447">
        <v>82</v>
      </c>
      <c r="J447">
        <v>810</v>
      </c>
      <c r="K447" s="1" t="s">
        <v>90</v>
      </c>
      <c r="L447" s="1" t="s">
        <v>120</v>
      </c>
      <c r="M447" s="1" t="s">
        <v>967</v>
      </c>
      <c r="N447" s="1" t="s">
        <v>1002</v>
      </c>
    </row>
    <row r="448" spans="1:14" x14ac:dyDescent="0.35">
      <c r="A448">
        <v>3172061</v>
      </c>
      <c r="B448" s="1" t="s">
        <v>722</v>
      </c>
      <c r="C448">
        <v>10669.7</v>
      </c>
      <c r="D448">
        <v>16129</v>
      </c>
      <c r="E448" s="1" t="s">
        <v>1003</v>
      </c>
      <c r="F448" s="1" t="s">
        <v>15</v>
      </c>
      <c r="G448" s="1" t="s">
        <v>16</v>
      </c>
      <c r="H448">
        <v>203</v>
      </c>
      <c r="I448">
        <v>122</v>
      </c>
      <c r="J448">
        <v>725</v>
      </c>
      <c r="K448" s="1" t="s">
        <v>974</v>
      </c>
      <c r="L448" s="1" t="s">
        <v>120</v>
      </c>
      <c r="M448" s="1" t="s">
        <v>967</v>
      </c>
      <c r="N448" s="1" t="s">
        <v>1004</v>
      </c>
    </row>
    <row r="449" spans="1:14" x14ac:dyDescent="0.35">
      <c r="A449">
        <v>3172505</v>
      </c>
      <c r="B449" s="1" t="s">
        <v>722</v>
      </c>
      <c r="C449">
        <v>10669.7</v>
      </c>
      <c r="D449">
        <v>16129</v>
      </c>
      <c r="E449" s="1" t="s">
        <v>1005</v>
      </c>
      <c r="F449" s="1" t="s">
        <v>15</v>
      </c>
      <c r="G449" s="1" t="s">
        <v>16</v>
      </c>
      <c r="H449">
        <v>202</v>
      </c>
      <c r="I449">
        <v>115</v>
      </c>
      <c r="J449">
        <v>446</v>
      </c>
      <c r="K449" s="1" t="s">
        <v>444</v>
      </c>
      <c r="L449" s="1" t="s">
        <v>24</v>
      </c>
      <c r="M449" s="1" t="s">
        <v>967</v>
      </c>
      <c r="N449" s="1" t="s">
        <v>1006</v>
      </c>
    </row>
    <row r="450" spans="1:14" x14ac:dyDescent="0.35">
      <c r="A450">
        <v>3172094</v>
      </c>
      <c r="B450" s="1" t="s">
        <v>722</v>
      </c>
      <c r="C450">
        <v>10669.7</v>
      </c>
      <c r="D450">
        <v>16129</v>
      </c>
      <c r="E450" s="1" t="s">
        <v>1007</v>
      </c>
      <c r="F450" s="1" t="s">
        <v>15</v>
      </c>
      <c r="G450" s="1" t="s">
        <v>16</v>
      </c>
      <c r="H450">
        <v>201</v>
      </c>
      <c r="I450">
        <v>128</v>
      </c>
      <c r="J450">
        <v>433</v>
      </c>
      <c r="K450" s="1" t="s">
        <v>819</v>
      </c>
      <c r="L450" s="1" t="s">
        <v>24</v>
      </c>
      <c r="M450" s="1" t="s">
        <v>967</v>
      </c>
      <c r="N450" s="1" t="s">
        <v>1008</v>
      </c>
    </row>
    <row r="451" spans="1:14" x14ac:dyDescent="0.35">
      <c r="A451">
        <v>3172126</v>
      </c>
      <c r="B451" s="1" t="s">
        <v>722</v>
      </c>
      <c r="C451">
        <v>10669.7</v>
      </c>
      <c r="D451">
        <v>16129</v>
      </c>
      <c r="E451" s="1" t="s">
        <v>1009</v>
      </c>
      <c r="F451" s="1" t="s">
        <v>15</v>
      </c>
      <c r="G451" s="1" t="s">
        <v>16</v>
      </c>
      <c r="H451">
        <v>295</v>
      </c>
      <c r="I451">
        <v>55</v>
      </c>
      <c r="J451">
        <v>387</v>
      </c>
      <c r="K451" s="1" t="s">
        <v>124</v>
      </c>
      <c r="L451" s="1" t="s">
        <v>18</v>
      </c>
      <c r="M451" s="1" t="s">
        <v>967</v>
      </c>
      <c r="N451" s="1" t="s">
        <v>1010</v>
      </c>
    </row>
    <row r="452" spans="1:14" x14ac:dyDescent="0.35">
      <c r="A452">
        <v>3172757</v>
      </c>
      <c r="B452" s="1" t="s">
        <v>722</v>
      </c>
      <c r="C452">
        <v>10669.7</v>
      </c>
      <c r="D452">
        <v>16129</v>
      </c>
      <c r="E452" s="1" t="s">
        <v>1011</v>
      </c>
      <c r="F452" s="1" t="s">
        <v>15</v>
      </c>
      <c r="G452" s="1" t="s">
        <v>16</v>
      </c>
      <c r="H452">
        <v>222</v>
      </c>
      <c r="I452">
        <v>62</v>
      </c>
      <c r="J452">
        <v>269</v>
      </c>
      <c r="K452" s="1" t="s">
        <v>49</v>
      </c>
      <c r="L452" s="1" t="s">
        <v>120</v>
      </c>
      <c r="M452" s="1" t="s">
        <v>967</v>
      </c>
      <c r="N452" s="1" t="s">
        <v>1012</v>
      </c>
    </row>
    <row r="453" spans="1:14" x14ac:dyDescent="0.35">
      <c r="A453">
        <v>3173084</v>
      </c>
      <c r="B453" s="1" t="s">
        <v>722</v>
      </c>
      <c r="C453">
        <v>10669.7</v>
      </c>
      <c r="D453">
        <v>16129</v>
      </c>
      <c r="E453" s="1" t="s">
        <v>1013</v>
      </c>
      <c r="F453" s="1" t="s">
        <v>15</v>
      </c>
      <c r="G453" s="1" t="s">
        <v>16</v>
      </c>
      <c r="H453">
        <v>251</v>
      </c>
      <c r="I453">
        <v>34</v>
      </c>
      <c r="J453">
        <v>435</v>
      </c>
      <c r="K453" s="1" t="s">
        <v>27</v>
      </c>
      <c r="L453" s="1" t="s">
        <v>120</v>
      </c>
      <c r="M453" s="1" t="s">
        <v>967</v>
      </c>
      <c r="N453" s="1" t="s">
        <v>1014</v>
      </c>
    </row>
    <row r="454" spans="1:14" x14ac:dyDescent="0.35">
      <c r="A454">
        <v>3172495</v>
      </c>
      <c r="B454" s="1" t="s">
        <v>722</v>
      </c>
      <c r="C454">
        <v>10669.7</v>
      </c>
      <c r="D454">
        <v>16129</v>
      </c>
      <c r="E454" s="1" t="s">
        <v>1015</v>
      </c>
      <c r="F454" s="1" t="s">
        <v>15</v>
      </c>
      <c r="G454" s="1" t="s">
        <v>16</v>
      </c>
      <c r="H454">
        <v>200</v>
      </c>
      <c r="I454">
        <v>133</v>
      </c>
      <c r="J454">
        <v>533</v>
      </c>
      <c r="K454" s="1" t="s">
        <v>23</v>
      </c>
      <c r="L454" s="1" t="s">
        <v>24</v>
      </c>
      <c r="M454" s="1" t="s">
        <v>967</v>
      </c>
      <c r="N454" s="1" t="s">
        <v>1016</v>
      </c>
    </row>
    <row r="455" spans="1:14" x14ac:dyDescent="0.35">
      <c r="A455">
        <v>3172206</v>
      </c>
      <c r="B455" s="1" t="s">
        <v>722</v>
      </c>
      <c r="C455">
        <v>10669.7</v>
      </c>
      <c r="D455">
        <v>16129</v>
      </c>
      <c r="E455" s="1" t="s">
        <v>1017</v>
      </c>
      <c r="F455" s="1" t="s">
        <v>15</v>
      </c>
      <c r="G455" s="1" t="s">
        <v>16</v>
      </c>
      <c r="H455">
        <v>214</v>
      </c>
      <c r="I455">
        <v>81</v>
      </c>
      <c r="J455">
        <v>860</v>
      </c>
      <c r="K455" s="1" t="s">
        <v>23</v>
      </c>
      <c r="L455" s="1" t="s">
        <v>24</v>
      </c>
      <c r="M455" s="1" t="s">
        <v>967</v>
      </c>
      <c r="N455" s="1" t="s">
        <v>1018</v>
      </c>
    </row>
    <row r="456" spans="1:14" x14ac:dyDescent="0.35">
      <c r="A456">
        <v>3172553</v>
      </c>
      <c r="B456" s="1" t="s">
        <v>722</v>
      </c>
      <c r="C456">
        <v>10669.7</v>
      </c>
      <c r="D456">
        <v>16129</v>
      </c>
      <c r="E456" s="1" t="s">
        <v>1019</v>
      </c>
      <c r="F456" s="1" t="s">
        <v>15</v>
      </c>
      <c r="G456" s="1" t="s">
        <v>16</v>
      </c>
      <c r="H456">
        <v>200</v>
      </c>
      <c r="I456">
        <v>106</v>
      </c>
      <c r="J456">
        <v>107</v>
      </c>
      <c r="K456" s="1" t="s">
        <v>23</v>
      </c>
      <c r="L456" s="1" t="s">
        <v>24</v>
      </c>
      <c r="M456" s="1" t="s">
        <v>967</v>
      </c>
      <c r="N456" s="1" t="s">
        <v>1020</v>
      </c>
    </row>
    <row r="457" spans="1:14" x14ac:dyDescent="0.35">
      <c r="A457">
        <v>3172243</v>
      </c>
      <c r="B457" s="1" t="s">
        <v>722</v>
      </c>
      <c r="C457">
        <v>10669.7</v>
      </c>
      <c r="D457">
        <v>16129</v>
      </c>
      <c r="E457" s="1" t="s">
        <v>1021</v>
      </c>
      <c r="F457" s="1" t="s">
        <v>15</v>
      </c>
      <c r="G457" s="1" t="s">
        <v>16</v>
      </c>
      <c r="H457">
        <v>277</v>
      </c>
      <c r="I457">
        <v>110</v>
      </c>
      <c r="J457">
        <v>745</v>
      </c>
      <c r="K457" s="1" t="s">
        <v>23</v>
      </c>
      <c r="L457" s="1" t="s">
        <v>24</v>
      </c>
      <c r="M457" s="1" t="s">
        <v>967</v>
      </c>
      <c r="N457" s="1" t="s">
        <v>1022</v>
      </c>
    </row>
    <row r="458" spans="1:14" x14ac:dyDescent="0.35">
      <c r="A458">
        <v>3172050</v>
      </c>
      <c r="B458" s="1" t="s">
        <v>722</v>
      </c>
      <c r="C458">
        <v>10669.7</v>
      </c>
      <c r="D458">
        <v>16129</v>
      </c>
      <c r="E458" s="1" t="s">
        <v>1023</v>
      </c>
      <c r="F458" s="1" t="s">
        <v>15</v>
      </c>
      <c r="G458" s="1" t="s">
        <v>32</v>
      </c>
      <c r="H458">
        <v>126</v>
      </c>
      <c r="I458">
        <v>33</v>
      </c>
      <c r="J458">
        <v>198</v>
      </c>
      <c r="K458" s="1" t="s">
        <v>27</v>
      </c>
      <c r="L458" s="1" t="s">
        <v>24</v>
      </c>
      <c r="M458" s="1" t="s">
        <v>967</v>
      </c>
      <c r="N458" s="1" t="s">
        <v>1024</v>
      </c>
    </row>
    <row r="459" spans="1:14" x14ac:dyDescent="0.35">
      <c r="A459">
        <v>3172761</v>
      </c>
      <c r="B459" s="1" t="s">
        <v>722</v>
      </c>
      <c r="C459">
        <v>10669.7</v>
      </c>
      <c r="D459">
        <v>16129</v>
      </c>
      <c r="E459" s="1" t="s">
        <v>1025</v>
      </c>
      <c r="F459" s="1" t="s">
        <v>15</v>
      </c>
      <c r="G459" s="1" t="s">
        <v>32</v>
      </c>
      <c r="H459">
        <v>86</v>
      </c>
      <c r="I459">
        <v>21</v>
      </c>
      <c r="J459">
        <v>194</v>
      </c>
      <c r="K459" s="1" t="s">
        <v>124</v>
      </c>
      <c r="L459" s="1" t="s">
        <v>18</v>
      </c>
      <c r="M459" s="1" t="s">
        <v>967</v>
      </c>
      <c r="N459" s="1" t="s">
        <v>1026</v>
      </c>
    </row>
    <row r="460" spans="1:14" x14ac:dyDescent="0.35">
      <c r="A460">
        <v>3172520</v>
      </c>
      <c r="B460" s="1" t="s">
        <v>722</v>
      </c>
      <c r="C460">
        <v>10669.7</v>
      </c>
      <c r="D460">
        <v>16129</v>
      </c>
      <c r="E460" s="1" t="s">
        <v>1027</v>
      </c>
      <c r="F460" s="1" t="s">
        <v>15</v>
      </c>
      <c r="G460" s="1" t="s">
        <v>32</v>
      </c>
      <c r="H460">
        <v>100</v>
      </c>
      <c r="I460">
        <v>31</v>
      </c>
      <c r="J460">
        <v>125</v>
      </c>
      <c r="K460" s="1" t="s">
        <v>84</v>
      </c>
      <c r="L460" s="1" t="s">
        <v>24</v>
      </c>
      <c r="M460" s="1" t="s">
        <v>967</v>
      </c>
      <c r="N460" s="1" t="s">
        <v>1028</v>
      </c>
    </row>
    <row r="461" spans="1:14" x14ac:dyDescent="0.35">
      <c r="A461">
        <v>3172516</v>
      </c>
      <c r="B461" s="1" t="s">
        <v>722</v>
      </c>
      <c r="C461">
        <v>10669.7</v>
      </c>
      <c r="D461">
        <v>16129</v>
      </c>
      <c r="E461" s="1" t="s">
        <v>1029</v>
      </c>
      <c r="F461" s="1" t="s">
        <v>15</v>
      </c>
      <c r="G461" s="1" t="s">
        <v>32</v>
      </c>
      <c r="H461">
        <v>140</v>
      </c>
      <c r="I461">
        <v>53</v>
      </c>
      <c r="J461">
        <v>272</v>
      </c>
      <c r="K461" s="1" t="s">
        <v>84</v>
      </c>
      <c r="L461" s="1" t="s">
        <v>24</v>
      </c>
      <c r="M461" s="1" t="s">
        <v>967</v>
      </c>
      <c r="N461" s="1" t="s">
        <v>1030</v>
      </c>
    </row>
    <row r="462" spans="1:14" x14ac:dyDescent="0.35">
      <c r="A462">
        <v>3172753</v>
      </c>
      <c r="B462" s="1" t="s">
        <v>722</v>
      </c>
      <c r="C462">
        <v>10669.7</v>
      </c>
      <c r="D462">
        <v>16129</v>
      </c>
      <c r="E462" s="1" t="s">
        <v>1031</v>
      </c>
      <c r="F462" s="1" t="s">
        <v>15</v>
      </c>
      <c r="G462" s="1" t="s">
        <v>32</v>
      </c>
      <c r="H462">
        <v>110</v>
      </c>
      <c r="I462">
        <v>91</v>
      </c>
      <c r="J462">
        <v>349</v>
      </c>
      <c r="K462" s="1" t="s">
        <v>23</v>
      </c>
      <c r="L462" s="1" t="s">
        <v>24</v>
      </c>
      <c r="M462" s="1" t="s">
        <v>967</v>
      </c>
      <c r="N462" s="1" t="s">
        <v>1032</v>
      </c>
    </row>
    <row r="463" spans="1:14" x14ac:dyDescent="0.35">
      <c r="A463">
        <v>3172769</v>
      </c>
      <c r="B463" s="1" t="s">
        <v>722</v>
      </c>
      <c r="C463">
        <v>10669.7</v>
      </c>
      <c r="D463">
        <v>16129</v>
      </c>
      <c r="E463" s="1" t="s">
        <v>1033</v>
      </c>
      <c r="F463" s="1" t="s">
        <v>15</v>
      </c>
      <c r="G463" s="1" t="s">
        <v>32</v>
      </c>
      <c r="H463">
        <v>95</v>
      </c>
      <c r="I463">
        <v>25</v>
      </c>
      <c r="J463">
        <v>31</v>
      </c>
      <c r="K463" s="1" t="s">
        <v>90</v>
      </c>
      <c r="L463" s="1" t="s">
        <v>24</v>
      </c>
      <c r="M463" s="1" t="s">
        <v>967</v>
      </c>
      <c r="N463" s="1" t="s">
        <v>1034</v>
      </c>
    </row>
    <row r="464" spans="1:14" x14ac:dyDescent="0.35">
      <c r="A464">
        <v>3172083</v>
      </c>
      <c r="B464" s="1" t="s">
        <v>722</v>
      </c>
      <c r="C464">
        <v>10669.7</v>
      </c>
      <c r="D464">
        <v>16129</v>
      </c>
      <c r="E464" s="1" t="s">
        <v>1035</v>
      </c>
      <c r="F464" s="1" t="s">
        <v>15</v>
      </c>
      <c r="G464" s="1" t="s">
        <v>32</v>
      </c>
      <c r="H464">
        <v>100</v>
      </c>
      <c r="I464">
        <v>27</v>
      </c>
      <c r="J464">
        <v>88</v>
      </c>
      <c r="K464" s="1" t="s">
        <v>27</v>
      </c>
      <c r="L464" s="1" t="s">
        <v>24</v>
      </c>
      <c r="M464" s="1" t="s">
        <v>967</v>
      </c>
      <c r="N464" s="1" t="s">
        <v>1036</v>
      </c>
    </row>
    <row r="465" spans="1:14" x14ac:dyDescent="0.35">
      <c r="A465">
        <v>3172759</v>
      </c>
      <c r="B465" s="1" t="s">
        <v>722</v>
      </c>
      <c r="C465">
        <v>10669.7</v>
      </c>
      <c r="D465">
        <v>16129</v>
      </c>
      <c r="E465" s="1" t="s">
        <v>1037</v>
      </c>
      <c r="F465" s="1" t="s">
        <v>15</v>
      </c>
      <c r="G465" s="1" t="s">
        <v>32</v>
      </c>
      <c r="H465">
        <v>119</v>
      </c>
      <c r="I465">
        <v>41</v>
      </c>
      <c r="J465">
        <v>626</v>
      </c>
      <c r="K465" s="1" t="s">
        <v>23</v>
      </c>
      <c r="L465" s="1" t="s">
        <v>24</v>
      </c>
      <c r="M465" s="1" t="s">
        <v>967</v>
      </c>
      <c r="N465" s="1" t="s">
        <v>1038</v>
      </c>
    </row>
    <row r="466" spans="1:14" x14ac:dyDescent="0.35">
      <c r="A466">
        <v>3172590</v>
      </c>
      <c r="B466" s="1" t="s">
        <v>722</v>
      </c>
      <c r="C466">
        <v>10669.7</v>
      </c>
      <c r="D466">
        <v>16129</v>
      </c>
      <c r="E466" s="1" t="s">
        <v>1039</v>
      </c>
      <c r="F466" s="1" t="s">
        <v>15</v>
      </c>
      <c r="G466" s="1" t="s">
        <v>32</v>
      </c>
      <c r="H466">
        <v>100</v>
      </c>
      <c r="I466">
        <v>31</v>
      </c>
      <c r="J466">
        <v>177</v>
      </c>
      <c r="K466" s="1" t="s">
        <v>84</v>
      </c>
      <c r="L466" s="1" t="s">
        <v>24</v>
      </c>
      <c r="M466" s="1" t="s">
        <v>967</v>
      </c>
      <c r="N466" s="1" t="s">
        <v>1040</v>
      </c>
    </row>
    <row r="467" spans="1:14" x14ac:dyDescent="0.35">
      <c r="A467">
        <v>3172531</v>
      </c>
      <c r="B467" s="1" t="s">
        <v>722</v>
      </c>
      <c r="C467">
        <v>10669.7</v>
      </c>
      <c r="D467">
        <v>16129</v>
      </c>
      <c r="E467" s="1" t="s">
        <v>1041</v>
      </c>
      <c r="F467" s="1" t="s">
        <v>15</v>
      </c>
      <c r="G467" s="1" t="s">
        <v>32</v>
      </c>
      <c r="H467">
        <v>100</v>
      </c>
      <c r="I467">
        <v>21</v>
      </c>
      <c r="J467">
        <v>221</v>
      </c>
      <c r="K467" s="1" t="s">
        <v>84</v>
      </c>
      <c r="L467" s="1" t="s">
        <v>24</v>
      </c>
      <c r="M467" s="1" t="s">
        <v>967</v>
      </c>
      <c r="N467" s="1" t="s">
        <v>1042</v>
      </c>
    </row>
    <row r="468" spans="1:14" x14ac:dyDescent="0.35">
      <c r="A468">
        <v>3172702</v>
      </c>
      <c r="B468" s="1" t="s">
        <v>722</v>
      </c>
      <c r="C468">
        <v>10669.7</v>
      </c>
      <c r="D468">
        <v>16129</v>
      </c>
      <c r="E468" s="1" t="s">
        <v>1043</v>
      </c>
      <c r="F468" s="1" t="s">
        <v>15</v>
      </c>
      <c r="G468" s="1" t="s">
        <v>32</v>
      </c>
      <c r="H468">
        <v>101</v>
      </c>
      <c r="I468">
        <v>43</v>
      </c>
      <c r="J468">
        <v>72</v>
      </c>
      <c r="K468" s="1" t="s">
        <v>23</v>
      </c>
      <c r="L468" s="1" t="s">
        <v>24</v>
      </c>
      <c r="M468" s="1" t="s">
        <v>967</v>
      </c>
      <c r="N468" s="1" t="s">
        <v>1044</v>
      </c>
    </row>
    <row r="469" spans="1:14" x14ac:dyDescent="0.35">
      <c r="A469">
        <v>3172748</v>
      </c>
      <c r="B469" s="1" t="s">
        <v>722</v>
      </c>
      <c r="C469">
        <v>10669.7</v>
      </c>
      <c r="D469">
        <v>16129</v>
      </c>
      <c r="E469" s="1" t="s">
        <v>1045</v>
      </c>
      <c r="F469" s="1" t="s">
        <v>15</v>
      </c>
      <c r="G469" s="1" t="s">
        <v>32</v>
      </c>
      <c r="H469">
        <v>100</v>
      </c>
      <c r="I469">
        <v>40</v>
      </c>
      <c r="J469">
        <v>326</v>
      </c>
      <c r="K469" s="1" t="s">
        <v>90</v>
      </c>
      <c r="L469" s="1" t="s">
        <v>24</v>
      </c>
      <c r="M469" s="1" t="s">
        <v>967</v>
      </c>
      <c r="N469" s="1" t="s">
        <v>1046</v>
      </c>
    </row>
    <row r="470" spans="1:14" x14ac:dyDescent="0.35">
      <c r="A470">
        <v>3174523</v>
      </c>
      <c r="B470" s="1" t="s">
        <v>722</v>
      </c>
      <c r="C470">
        <v>10669.7</v>
      </c>
      <c r="D470">
        <v>16129</v>
      </c>
      <c r="E470" s="1" t="s">
        <v>1047</v>
      </c>
      <c r="F470" s="1" t="s">
        <v>15</v>
      </c>
      <c r="G470" s="1" t="s">
        <v>22</v>
      </c>
      <c r="H470">
        <v>50</v>
      </c>
      <c r="I470">
        <v>26</v>
      </c>
      <c r="J470">
        <v>195</v>
      </c>
      <c r="K470" s="1" t="s">
        <v>124</v>
      </c>
      <c r="L470" s="1" t="s">
        <v>24</v>
      </c>
      <c r="M470" s="1" t="s">
        <v>967</v>
      </c>
      <c r="N470" s="1" t="s">
        <v>1048</v>
      </c>
    </row>
    <row r="471" spans="1:14" x14ac:dyDescent="0.35">
      <c r="A471">
        <v>3172771</v>
      </c>
      <c r="B471" s="1" t="s">
        <v>722</v>
      </c>
      <c r="C471">
        <v>10669.7</v>
      </c>
      <c r="D471">
        <v>16129</v>
      </c>
      <c r="E471" s="1" t="s">
        <v>1049</v>
      </c>
      <c r="F471" s="1" t="s">
        <v>15</v>
      </c>
      <c r="G471" s="1" t="s">
        <v>22</v>
      </c>
      <c r="H471">
        <v>56</v>
      </c>
      <c r="I471">
        <v>25</v>
      </c>
      <c r="J471">
        <v>237</v>
      </c>
      <c r="K471" s="1" t="s">
        <v>124</v>
      </c>
      <c r="L471" s="1" t="s">
        <v>18</v>
      </c>
      <c r="M471" s="1" t="s">
        <v>967</v>
      </c>
      <c r="N471" s="1" t="s">
        <v>1050</v>
      </c>
    </row>
    <row r="472" spans="1:14" x14ac:dyDescent="0.35">
      <c r="A472">
        <v>3172762</v>
      </c>
      <c r="B472" s="1" t="s">
        <v>722</v>
      </c>
      <c r="C472">
        <v>10669.7</v>
      </c>
      <c r="D472">
        <v>16129</v>
      </c>
      <c r="E472" s="1" t="s">
        <v>1051</v>
      </c>
      <c r="F472" s="1" t="s">
        <v>15</v>
      </c>
      <c r="G472" s="1" t="s">
        <v>22</v>
      </c>
      <c r="H472">
        <v>54</v>
      </c>
      <c r="I472">
        <v>23</v>
      </c>
      <c r="J472">
        <v>264</v>
      </c>
      <c r="K472" s="1" t="s">
        <v>124</v>
      </c>
      <c r="L472" s="1" t="s">
        <v>24</v>
      </c>
      <c r="M472" s="1" t="s">
        <v>967</v>
      </c>
      <c r="N472" s="1" t="s">
        <v>1052</v>
      </c>
    </row>
    <row r="473" spans="1:14" x14ac:dyDescent="0.35">
      <c r="A473">
        <v>3172766</v>
      </c>
      <c r="B473" s="1" t="s">
        <v>722</v>
      </c>
      <c r="C473">
        <v>10669.7</v>
      </c>
      <c r="D473">
        <v>16129</v>
      </c>
      <c r="E473" s="1" t="s">
        <v>1053</v>
      </c>
      <c r="F473" s="1" t="s">
        <v>15</v>
      </c>
      <c r="G473" s="1" t="s">
        <v>22</v>
      </c>
      <c r="H473">
        <v>50</v>
      </c>
      <c r="I473">
        <v>26</v>
      </c>
      <c r="J473">
        <v>130</v>
      </c>
      <c r="K473" s="1" t="s">
        <v>49</v>
      </c>
      <c r="L473" s="1" t="s">
        <v>24</v>
      </c>
      <c r="M473" s="1" t="s">
        <v>967</v>
      </c>
      <c r="N473" s="1" t="s">
        <v>1054</v>
      </c>
    </row>
    <row r="474" spans="1:14" x14ac:dyDescent="0.35">
      <c r="A474">
        <v>3172035</v>
      </c>
      <c r="B474" s="1" t="s">
        <v>722</v>
      </c>
      <c r="C474">
        <v>10669.7</v>
      </c>
      <c r="D474">
        <v>16129</v>
      </c>
      <c r="E474" s="1" t="s">
        <v>1055</v>
      </c>
      <c r="F474" s="1" t="s">
        <v>15</v>
      </c>
      <c r="G474" s="1" t="s">
        <v>22</v>
      </c>
      <c r="H474">
        <v>154</v>
      </c>
      <c r="I474">
        <v>26</v>
      </c>
      <c r="J474">
        <v>144</v>
      </c>
      <c r="K474" s="1" t="s">
        <v>49</v>
      </c>
      <c r="L474" s="1" t="s">
        <v>24</v>
      </c>
      <c r="M474" s="1" t="s">
        <v>967</v>
      </c>
      <c r="N474" s="1" t="s">
        <v>1056</v>
      </c>
    </row>
    <row r="475" spans="1:14" x14ac:dyDescent="0.35">
      <c r="A475">
        <v>3174509</v>
      </c>
      <c r="B475" s="1" t="s">
        <v>722</v>
      </c>
      <c r="C475">
        <v>10669.7</v>
      </c>
      <c r="D475">
        <v>16129</v>
      </c>
      <c r="E475" s="1" t="s">
        <v>1057</v>
      </c>
      <c r="F475" s="1" t="s">
        <v>71</v>
      </c>
      <c r="G475" s="1" t="s">
        <v>32</v>
      </c>
      <c r="H475">
        <v>41</v>
      </c>
      <c r="I475">
        <v>14</v>
      </c>
      <c r="J475">
        <v>129</v>
      </c>
      <c r="K475" s="1" t="s">
        <v>572</v>
      </c>
      <c r="L475" s="1" t="s">
        <v>24</v>
      </c>
      <c r="M475" s="1" t="s">
        <v>1058</v>
      </c>
      <c r="N475" s="1" t="s">
        <v>1059</v>
      </c>
    </row>
    <row r="476" spans="1:14" x14ac:dyDescent="0.35">
      <c r="A476">
        <v>3175409</v>
      </c>
      <c r="B476" s="1" t="s">
        <v>722</v>
      </c>
      <c r="C476">
        <v>10669.7</v>
      </c>
      <c r="D476">
        <v>16129</v>
      </c>
      <c r="E476" s="1" t="s">
        <v>1060</v>
      </c>
      <c r="F476" s="1" t="s">
        <v>71</v>
      </c>
      <c r="G476" s="1" t="s">
        <v>32</v>
      </c>
      <c r="H476">
        <v>66</v>
      </c>
      <c r="I476">
        <v>21</v>
      </c>
      <c r="J476">
        <v>179</v>
      </c>
      <c r="K476" s="1" t="s">
        <v>90</v>
      </c>
      <c r="L476" s="1" t="s">
        <v>24</v>
      </c>
      <c r="M476" s="1" t="s">
        <v>1058</v>
      </c>
      <c r="N476" s="1" t="s">
        <v>1061</v>
      </c>
    </row>
    <row r="477" spans="1:14" x14ac:dyDescent="0.35">
      <c r="A477">
        <v>3175363</v>
      </c>
      <c r="B477" s="1" t="s">
        <v>722</v>
      </c>
      <c r="C477">
        <v>10669.7</v>
      </c>
      <c r="D477">
        <v>16129</v>
      </c>
      <c r="E477" s="1" t="s">
        <v>1062</v>
      </c>
      <c r="F477" s="1" t="s">
        <v>71</v>
      </c>
      <c r="G477" s="1" t="s">
        <v>32</v>
      </c>
      <c r="H477">
        <v>59</v>
      </c>
      <c r="I477">
        <v>24</v>
      </c>
      <c r="J477">
        <v>44</v>
      </c>
      <c r="K477" s="1" t="s">
        <v>23</v>
      </c>
      <c r="L477" s="1" t="s">
        <v>24</v>
      </c>
      <c r="M477" s="1" t="s">
        <v>1058</v>
      </c>
      <c r="N477" s="1" t="s">
        <v>1063</v>
      </c>
    </row>
    <row r="478" spans="1:14" x14ac:dyDescent="0.35">
      <c r="A478">
        <v>3175064</v>
      </c>
      <c r="B478" s="1" t="s">
        <v>722</v>
      </c>
      <c r="C478">
        <v>10669.7</v>
      </c>
      <c r="D478">
        <v>16129</v>
      </c>
      <c r="E478" s="1" t="s">
        <v>1064</v>
      </c>
      <c r="F478" s="1" t="s">
        <v>1065</v>
      </c>
      <c r="G478" s="1" t="s">
        <v>130</v>
      </c>
      <c r="H478">
        <v>146</v>
      </c>
      <c r="I478">
        <v>37</v>
      </c>
      <c r="J478">
        <v>743</v>
      </c>
      <c r="K478" s="1" t="s">
        <v>339</v>
      </c>
      <c r="L478" s="1" t="s">
        <v>120</v>
      </c>
      <c r="M478" s="1" t="s">
        <v>1058</v>
      </c>
      <c r="N478" s="1" t="s">
        <v>1066</v>
      </c>
    </row>
    <row r="479" spans="1:14" x14ac:dyDescent="0.35">
      <c r="A479">
        <v>3175417</v>
      </c>
      <c r="B479" s="1" t="s">
        <v>722</v>
      </c>
      <c r="C479">
        <v>10669.7</v>
      </c>
      <c r="D479">
        <v>16129</v>
      </c>
      <c r="E479" s="1" t="s">
        <v>1067</v>
      </c>
      <c r="F479" s="1" t="s">
        <v>334</v>
      </c>
      <c r="G479" s="1" t="s">
        <v>32</v>
      </c>
      <c r="H479">
        <v>24</v>
      </c>
      <c r="I479">
        <v>18</v>
      </c>
      <c r="J479">
        <v>63</v>
      </c>
      <c r="K479" s="1" t="s">
        <v>95</v>
      </c>
      <c r="L479" s="1" t="s">
        <v>24</v>
      </c>
      <c r="M479" s="1" t="s">
        <v>1058</v>
      </c>
      <c r="N479" s="1" t="s">
        <v>1068</v>
      </c>
    </row>
    <row r="480" spans="1:14" x14ac:dyDescent="0.35">
      <c r="A480">
        <v>3175031</v>
      </c>
      <c r="B480" s="1" t="s">
        <v>722</v>
      </c>
      <c r="C480">
        <v>10669.7</v>
      </c>
      <c r="D480">
        <v>16129</v>
      </c>
      <c r="E480" s="1" t="s">
        <v>1069</v>
      </c>
      <c r="F480" s="1" t="s">
        <v>15</v>
      </c>
      <c r="G480" s="1" t="s">
        <v>16</v>
      </c>
      <c r="H480">
        <v>202</v>
      </c>
      <c r="I480">
        <v>48</v>
      </c>
      <c r="J480">
        <v>259</v>
      </c>
      <c r="K480" s="1" t="s">
        <v>572</v>
      </c>
      <c r="L480" s="1" t="s">
        <v>24</v>
      </c>
      <c r="M480" s="1" t="s">
        <v>1058</v>
      </c>
      <c r="N480" s="1" t="s">
        <v>1070</v>
      </c>
    </row>
    <row r="481" spans="1:14" x14ac:dyDescent="0.35">
      <c r="A481">
        <v>3175341</v>
      </c>
      <c r="B481" s="1" t="s">
        <v>722</v>
      </c>
      <c r="C481">
        <v>10669.7</v>
      </c>
      <c r="D481">
        <v>16129</v>
      </c>
      <c r="E481" s="1" t="s">
        <v>1071</v>
      </c>
      <c r="F481" s="1" t="s">
        <v>15</v>
      </c>
      <c r="G481" s="1" t="s">
        <v>16</v>
      </c>
      <c r="H481">
        <v>206</v>
      </c>
      <c r="I481">
        <v>61</v>
      </c>
      <c r="J481">
        <v>719</v>
      </c>
      <c r="K481" s="1" t="s">
        <v>23</v>
      </c>
      <c r="L481" s="1" t="s">
        <v>24</v>
      </c>
      <c r="M481" s="1" t="s">
        <v>1058</v>
      </c>
      <c r="N481" s="1" t="s">
        <v>1072</v>
      </c>
    </row>
    <row r="482" spans="1:14" x14ac:dyDescent="0.35">
      <c r="A482">
        <v>3175418</v>
      </c>
      <c r="B482" s="1" t="s">
        <v>722</v>
      </c>
      <c r="C482">
        <v>10669.7</v>
      </c>
      <c r="D482">
        <v>16129</v>
      </c>
      <c r="E482" s="1" t="s">
        <v>1073</v>
      </c>
      <c r="F482" s="1" t="s">
        <v>15</v>
      </c>
      <c r="G482" s="1" t="s">
        <v>16</v>
      </c>
      <c r="H482">
        <v>136</v>
      </c>
      <c r="I482">
        <v>36</v>
      </c>
      <c r="J482">
        <v>1</v>
      </c>
      <c r="K482" s="1" t="s">
        <v>1074</v>
      </c>
      <c r="L482" s="1" t="s">
        <v>24</v>
      </c>
      <c r="M482" s="1" t="s">
        <v>1058</v>
      </c>
      <c r="N482" s="1" t="s">
        <v>1075</v>
      </c>
    </row>
    <row r="483" spans="1:14" x14ac:dyDescent="0.35">
      <c r="A483">
        <v>3175016</v>
      </c>
      <c r="B483" s="1" t="s">
        <v>722</v>
      </c>
      <c r="C483">
        <v>10669.7</v>
      </c>
      <c r="D483">
        <v>16129</v>
      </c>
      <c r="E483" s="1" t="s">
        <v>1076</v>
      </c>
      <c r="F483" s="1" t="s">
        <v>15</v>
      </c>
      <c r="G483" s="1" t="s">
        <v>16</v>
      </c>
      <c r="H483">
        <v>818</v>
      </c>
      <c r="I483">
        <v>85</v>
      </c>
      <c r="J483">
        <v>1773</v>
      </c>
      <c r="K483" s="1" t="s">
        <v>124</v>
      </c>
      <c r="L483" s="1" t="s">
        <v>24</v>
      </c>
      <c r="M483" s="1" t="s">
        <v>1058</v>
      </c>
      <c r="N483" s="1" t="s">
        <v>1077</v>
      </c>
    </row>
    <row r="484" spans="1:14" x14ac:dyDescent="0.35">
      <c r="A484">
        <v>3175385</v>
      </c>
      <c r="B484" s="1" t="s">
        <v>722</v>
      </c>
      <c r="C484">
        <v>10669.7</v>
      </c>
      <c r="D484">
        <v>16129</v>
      </c>
      <c r="E484" s="1" t="s">
        <v>1078</v>
      </c>
      <c r="F484" s="1" t="s">
        <v>15</v>
      </c>
      <c r="G484" s="1" t="s">
        <v>16</v>
      </c>
      <c r="H484">
        <v>151</v>
      </c>
      <c r="I484">
        <v>121</v>
      </c>
      <c r="J484">
        <v>954</v>
      </c>
      <c r="K484" s="1" t="s">
        <v>23</v>
      </c>
      <c r="L484" s="1" t="s">
        <v>24</v>
      </c>
      <c r="M484" s="1" t="s">
        <v>1058</v>
      </c>
      <c r="N484" s="1" t="s">
        <v>1079</v>
      </c>
    </row>
    <row r="485" spans="1:14" x14ac:dyDescent="0.35">
      <c r="A485">
        <v>3175330</v>
      </c>
      <c r="B485" s="1" t="s">
        <v>722</v>
      </c>
      <c r="C485">
        <v>10669.7</v>
      </c>
      <c r="D485">
        <v>16129</v>
      </c>
      <c r="E485" s="1" t="s">
        <v>1080</v>
      </c>
      <c r="F485" s="1" t="s">
        <v>15</v>
      </c>
      <c r="G485" s="1" t="s">
        <v>16</v>
      </c>
      <c r="H485">
        <v>200</v>
      </c>
      <c r="I485">
        <v>121</v>
      </c>
      <c r="J485">
        <v>553</v>
      </c>
      <c r="K485" s="1" t="s">
        <v>84</v>
      </c>
      <c r="L485" s="1" t="s">
        <v>24</v>
      </c>
      <c r="M485" s="1" t="s">
        <v>1058</v>
      </c>
      <c r="N485" s="1" t="s">
        <v>1081</v>
      </c>
    </row>
    <row r="486" spans="1:14" x14ac:dyDescent="0.35">
      <c r="A486">
        <v>3175352</v>
      </c>
      <c r="B486" s="1" t="s">
        <v>722</v>
      </c>
      <c r="C486">
        <v>10669.7</v>
      </c>
      <c r="D486">
        <v>16129</v>
      </c>
      <c r="E486" s="1" t="s">
        <v>1082</v>
      </c>
      <c r="F486" s="1" t="s">
        <v>15</v>
      </c>
      <c r="G486" s="1" t="s">
        <v>16</v>
      </c>
      <c r="H486">
        <v>200</v>
      </c>
      <c r="I486">
        <v>98</v>
      </c>
      <c r="J486">
        <v>1158</v>
      </c>
      <c r="K486" s="1" t="s">
        <v>23</v>
      </c>
      <c r="L486" s="1" t="s">
        <v>24</v>
      </c>
      <c r="M486" s="1" t="s">
        <v>1058</v>
      </c>
      <c r="N486" s="1" t="s">
        <v>1083</v>
      </c>
    </row>
    <row r="487" spans="1:14" x14ac:dyDescent="0.35">
      <c r="A487">
        <v>3175407</v>
      </c>
      <c r="B487" s="1" t="s">
        <v>722</v>
      </c>
      <c r="C487">
        <v>10669.7</v>
      </c>
      <c r="D487">
        <v>16129</v>
      </c>
      <c r="E487" s="1" t="s">
        <v>1084</v>
      </c>
      <c r="F487" s="1" t="s">
        <v>15</v>
      </c>
      <c r="G487" s="1" t="s">
        <v>16</v>
      </c>
      <c r="H487">
        <v>194</v>
      </c>
      <c r="I487">
        <v>109</v>
      </c>
      <c r="J487">
        <v>428</v>
      </c>
      <c r="K487" s="1" t="s">
        <v>23</v>
      </c>
      <c r="L487" s="1" t="s">
        <v>24</v>
      </c>
      <c r="M487" s="1" t="s">
        <v>1058</v>
      </c>
      <c r="N487" s="1" t="s">
        <v>1085</v>
      </c>
    </row>
    <row r="488" spans="1:14" x14ac:dyDescent="0.35">
      <c r="A488">
        <v>3175326</v>
      </c>
      <c r="B488" s="1" t="s">
        <v>722</v>
      </c>
      <c r="C488">
        <v>10669.7</v>
      </c>
      <c r="D488">
        <v>16129</v>
      </c>
      <c r="E488" s="1" t="s">
        <v>1086</v>
      </c>
      <c r="F488" s="1" t="s">
        <v>15</v>
      </c>
      <c r="G488" s="1" t="s">
        <v>32</v>
      </c>
      <c r="H488">
        <v>188</v>
      </c>
      <c r="I488">
        <v>66</v>
      </c>
      <c r="J488">
        <v>669</v>
      </c>
      <c r="K488" s="1" t="s">
        <v>84</v>
      </c>
      <c r="L488" s="1" t="s">
        <v>24</v>
      </c>
      <c r="M488" s="1" t="s">
        <v>1058</v>
      </c>
      <c r="N488" s="1" t="s">
        <v>1087</v>
      </c>
    </row>
    <row r="489" spans="1:14" x14ac:dyDescent="0.35">
      <c r="A489">
        <v>3175408</v>
      </c>
      <c r="B489" s="1" t="s">
        <v>722</v>
      </c>
      <c r="C489">
        <v>10669.7</v>
      </c>
      <c r="D489">
        <v>16129</v>
      </c>
      <c r="E489" s="1" t="s">
        <v>1088</v>
      </c>
      <c r="F489" s="1" t="s">
        <v>15</v>
      </c>
      <c r="G489" s="1" t="s">
        <v>32</v>
      </c>
      <c r="H489">
        <v>137</v>
      </c>
      <c r="I489">
        <v>35</v>
      </c>
      <c r="J489">
        <v>176</v>
      </c>
      <c r="K489" s="1" t="s">
        <v>90</v>
      </c>
      <c r="L489" s="1" t="s">
        <v>24</v>
      </c>
      <c r="M489" s="1" t="s">
        <v>1058</v>
      </c>
      <c r="N489" s="1" t="s">
        <v>1089</v>
      </c>
    </row>
    <row r="490" spans="1:14" x14ac:dyDescent="0.35">
      <c r="A490">
        <v>3175414</v>
      </c>
      <c r="B490" s="1" t="s">
        <v>722</v>
      </c>
      <c r="C490">
        <v>10669.7</v>
      </c>
      <c r="D490">
        <v>16129</v>
      </c>
      <c r="E490" s="1" t="s">
        <v>1090</v>
      </c>
      <c r="F490" s="1" t="s">
        <v>15</v>
      </c>
      <c r="G490" s="1" t="s">
        <v>32</v>
      </c>
      <c r="H490">
        <v>102</v>
      </c>
      <c r="I490">
        <v>51</v>
      </c>
      <c r="J490">
        <v>233</v>
      </c>
      <c r="K490" s="1" t="s">
        <v>124</v>
      </c>
      <c r="L490" s="1" t="s">
        <v>18</v>
      </c>
      <c r="M490" s="1" t="s">
        <v>1058</v>
      </c>
      <c r="N490" s="1" t="s">
        <v>1091</v>
      </c>
    </row>
    <row r="491" spans="1:14" x14ac:dyDescent="0.35">
      <c r="A491">
        <v>3175075</v>
      </c>
      <c r="B491" s="1" t="s">
        <v>722</v>
      </c>
      <c r="C491">
        <v>10669.7</v>
      </c>
      <c r="D491">
        <v>16129</v>
      </c>
      <c r="E491" s="1" t="s">
        <v>1092</v>
      </c>
      <c r="F491" s="1" t="s">
        <v>15</v>
      </c>
      <c r="G491" s="1" t="s">
        <v>32</v>
      </c>
      <c r="H491">
        <v>116</v>
      </c>
      <c r="I491">
        <v>52</v>
      </c>
      <c r="J491">
        <v>142</v>
      </c>
      <c r="K491" s="1" t="s">
        <v>23</v>
      </c>
      <c r="L491" s="1" t="s">
        <v>24</v>
      </c>
      <c r="M491" s="1" t="s">
        <v>1058</v>
      </c>
      <c r="N491" s="1" t="s">
        <v>1093</v>
      </c>
    </row>
    <row r="492" spans="1:14" x14ac:dyDescent="0.35">
      <c r="A492">
        <v>3175411</v>
      </c>
      <c r="B492" s="1" t="s">
        <v>722</v>
      </c>
      <c r="C492">
        <v>10669.7</v>
      </c>
      <c r="D492">
        <v>16129</v>
      </c>
      <c r="E492" s="1" t="s">
        <v>1094</v>
      </c>
      <c r="F492" s="1" t="s">
        <v>15</v>
      </c>
      <c r="G492" s="1" t="s">
        <v>32</v>
      </c>
      <c r="H492">
        <v>107</v>
      </c>
      <c r="I492">
        <v>34</v>
      </c>
      <c r="J492">
        <v>244</v>
      </c>
      <c r="K492" s="1" t="s">
        <v>23</v>
      </c>
      <c r="L492" s="1" t="s">
        <v>24</v>
      </c>
      <c r="M492" s="1" t="s">
        <v>1058</v>
      </c>
      <c r="N492" s="1" t="s">
        <v>1095</v>
      </c>
    </row>
    <row r="493" spans="1:14" x14ac:dyDescent="0.35">
      <c r="A493">
        <v>3175315</v>
      </c>
      <c r="B493" s="1" t="s">
        <v>722</v>
      </c>
      <c r="C493">
        <v>10669.7</v>
      </c>
      <c r="D493">
        <v>16129</v>
      </c>
      <c r="E493" s="1" t="s">
        <v>1096</v>
      </c>
      <c r="F493" s="1" t="s">
        <v>15</v>
      </c>
      <c r="G493" s="1" t="s">
        <v>32</v>
      </c>
      <c r="H493">
        <v>138</v>
      </c>
      <c r="I493">
        <v>47</v>
      </c>
      <c r="J493">
        <v>102</v>
      </c>
      <c r="K493" s="1" t="s">
        <v>84</v>
      </c>
      <c r="L493" s="1" t="s">
        <v>24</v>
      </c>
      <c r="M493" s="1" t="s">
        <v>1058</v>
      </c>
      <c r="N493" s="1" t="s">
        <v>1097</v>
      </c>
    </row>
    <row r="494" spans="1:14" x14ac:dyDescent="0.35">
      <c r="A494">
        <v>3175412</v>
      </c>
      <c r="B494" s="1" t="s">
        <v>722</v>
      </c>
      <c r="C494">
        <v>10669.7</v>
      </c>
      <c r="D494">
        <v>16129</v>
      </c>
      <c r="E494" s="1" t="s">
        <v>1098</v>
      </c>
      <c r="F494" s="1" t="s">
        <v>15</v>
      </c>
      <c r="G494" s="1" t="s">
        <v>32</v>
      </c>
      <c r="H494">
        <v>117</v>
      </c>
      <c r="I494">
        <v>40</v>
      </c>
      <c r="J494">
        <v>500</v>
      </c>
      <c r="K494" s="1" t="s">
        <v>124</v>
      </c>
      <c r="L494" s="1" t="s">
        <v>18</v>
      </c>
      <c r="M494" s="1" t="s">
        <v>1058</v>
      </c>
      <c r="N494" s="1" t="s">
        <v>1099</v>
      </c>
    </row>
    <row r="495" spans="1:14" x14ac:dyDescent="0.35">
      <c r="A495">
        <v>3175042</v>
      </c>
      <c r="B495" s="1" t="s">
        <v>722</v>
      </c>
      <c r="C495">
        <v>10669.7</v>
      </c>
      <c r="D495">
        <v>16129</v>
      </c>
      <c r="E495" s="1" t="s">
        <v>1100</v>
      </c>
      <c r="F495" s="1" t="s">
        <v>15</v>
      </c>
      <c r="G495" s="1" t="s">
        <v>32</v>
      </c>
      <c r="H495">
        <v>184</v>
      </c>
      <c r="I495">
        <v>93</v>
      </c>
      <c r="J495">
        <v>412</v>
      </c>
      <c r="K495" s="1" t="s">
        <v>61</v>
      </c>
      <c r="L495" s="1" t="s">
        <v>24</v>
      </c>
      <c r="M495" s="1" t="s">
        <v>1058</v>
      </c>
      <c r="N495" s="1" t="s">
        <v>1101</v>
      </c>
    </row>
    <row r="496" spans="1:14" x14ac:dyDescent="0.35">
      <c r="A496">
        <v>3175181</v>
      </c>
      <c r="B496" s="1" t="s">
        <v>722</v>
      </c>
      <c r="C496">
        <v>10669.7</v>
      </c>
      <c r="D496">
        <v>16129</v>
      </c>
      <c r="E496" s="1" t="s">
        <v>1102</v>
      </c>
      <c r="F496" s="1" t="s">
        <v>15</v>
      </c>
      <c r="G496" s="1" t="s">
        <v>32</v>
      </c>
      <c r="H496">
        <v>105</v>
      </c>
      <c r="I496">
        <v>46</v>
      </c>
      <c r="J496">
        <v>168</v>
      </c>
      <c r="K496" s="1" t="s">
        <v>23</v>
      </c>
      <c r="L496" s="1" t="s">
        <v>24</v>
      </c>
      <c r="M496" s="1" t="s">
        <v>1058</v>
      </c>
      <c r="N496" s="1" t="s">
        <v>1103</v>
      </c>
    </row>
    <row r="497" spans="1:14" x14ac:dyDescent="0.35">
      <c r="A497">
        <v>3175410</v>
      </c>
      <c r="B497" s="1" t="s">
        <v>722</v>
      </c>
      <c r="C497">
        <v>10669.7</v>
      </c>
      <c r="D497">
        <v>16129</v>
      </c>
      <c r="E497" s="1" t="s">
        <v>1104</v>
      </c>
      <c r="F497" s="1" t="s">
        <v>15</v>
      </c>
      <c r="G497" s="1" t="s">
        <v>32</v>
      </c>
      <c r="H497">
        <v>172</v>
      </c>
      <c r="I497">
        <v>48</v>
      </c>
      <c r="J497">
        <v>107</v>
      </c>
      <c r="K497" s="1" t="s">
        <v>23</v>
      </c>
      <c r="L497" s="1" t="s">
        <v>24</v>
      </c>
      <c r="M497" s="1" t="s">
        <v>1058</v>
      </c>
      <c r="N497" s="1" t="s">
        <v>1105</v>
      </c>
    </row>
    <row r="498" spans="1:14" x14ac:dyDescent="0.35">
      <c r="A498">
        <v>3175304</v>
      </c>
      <c r="B498" s="1" t="s">
        <v>722</v>
      </c>
      <c r="C498">
        <v>10669.7</v>
      </c>
      <c r="D498">
        <v>16129</v>
      </c>
      <c r="E498" s="1" t="s">
        <v>1106</v>
      </c>
      <c r="F498" s="1" t="s">
        <v>15</v>
      </c>
      <c r="G498" s="1" t="s">
        <v>32</v>
      </c>
      <c r="H498">
        <v>104</v>
      </c>
      <c r="I498">
        <v>114</v>
      </c>
      <c r="J498">
        <v>241</v>
      </c>
      <c r="K498" s="1" t="s">
        <v>23</v>
      </c>
      <c r="L498" s="1" t="s">
        <v>24</v>
      </c>
      <c r="M498" s="1" t="s">
        <v>1058</v>
      </c>
      <c r="N498" s="1" t="s">
        <v>1107</v>
      </c>
    </row>
    <row r="499" spans="1:14" x14ac:dyDescent="0.35">
      <c r="A499">
        <v>3175374</v>
      </c>
      <c r="B499" s="1" t="s">
        <v>722</v>
      </c>
      <c r="C499">
        <v>10669.7</v>
      </c>
      <c r="D499">
        <v>16129</v>
      </c>
      <c r="E499" s="1" t="s">
        <v>1108</v>
      </c>
      <c r="F499" s="1" t="s">
        <v>15</v>
      </c>
      <c r="G499" s="1" t="s">
        <v>32</v>
      </c>
      <c r="H499">
        <v>104</v>
      </c>
      <c r="I499">
        <v>69</v>
      </c>
      <c r="J499">
        <v>142</v>
      </c>
      <c r="K499" s="1" t="s">
        <v>23</v>
      </c>
      <c r="L499" s="1" t="s">
        <v>24</v>
      </c>
      <c r="M499" s="1" t="s">
        <v>1058</v>
      </c>
      <c r="N499" s="1" t="s">
        <v>1109</v>
      </c>
    </row>
    <row r="500" spans="1:14" x14ac:dyDescent="0.35">
      <c r="A500">
        <v>3175396</v>
      </c>
      <c r="B500" s="1" t="s">
        <v>722</v>
      </c>
      <c r="C500">
        <v>10669.7</v>
      </c>
      <c r="D500">
        <v>16129</v>
      </c>
      <c r="E500" s="1" t="s">
        <v>1110</v>
      </c>
      <c r="F500" s="1" t="s">
        <v>15</v>
      </c>
      <c r="G500" s="1" t="s">
        <v>22</v>
      </c>
      <c r="H500">
        <v>54</v>
      </c>
      <c r="I500">
        <v>30</v>
      </c>
      <c r="J500">
        <v>153</v>
      </c>
      <c r="K500" s="1" t="s">
        <v>23</v>
      </c>
      <c r="L500" s="1" t="s">
        <v>24</v>
      </c>
      <c r="M500" s="1" t="s">
        <v>1058</v>
      </c>
      <c r="N500" s="1" t="s">
        <v>1111</v>
      </c>
    </row>
    <row r="501" spans="1:14" x14ac:dyDescent="0.35">
      <c r="A501">
        <v>3175416</v>
      </c>
      <c r="B501" s="1" t="s">
        <v>722</v>
      </c>
      <c r="C501">
        <v>10669.7</v>
      </c>
      <c r="D501">
        <v>16129</v>
      </c>
      <c r="E501" s="1" t="s">
        <v>1112</v>
      </c>
      <c r="F501" s="1" t="s">
        <v>15</v>
      </c>
      <c r="G501" s="1" t="s">
        <v>22</v>
      </c>
      <c r="H501">
        <v>57</v>
      </c>
      <c r="I501">
        <v>22</v>
      </c>
      <c r="J501">
        <v>95</v>
      </c>
      <c r="K501" s="1" t="s">
        <v>124</v>
      </c>
      <c r="L501" s="1" t="s">
        <v>18</v>
      </c>
      <c r="M501" s="1" t="s">
        <v>1058</v>
      </c>
      <c r="N501" s="1" t="s">
        <v>1113</v>
      </c>
    </row>
    <row r="502" spans="1:14" x14ac:dyDescent="0.35">
      <c r="A502">
        <v>3175413</v>
      </c>
      <c r="B502" s="1" t="s">
        <v>722</v>
      </c>
      <c r="C502">
        <v>10669.7</v>
      </c>
      <c r="D502">
        <v>16129</v>
      </c>
      <c r="E502" s="1" t="s">
        <v>1114</v>
      </c>
      <c r="F502" s="1" t="s">
        <v>15</v>
      </c>
      <c r="G502" s="1" t="s">
        <v>22</v>
      </c>
      <c r="H502">
        <v>50</v>
      </c>
      <c r="I502">
        <v>42</v>
      </c>
      <c r="J502">
        <v>137</v>
      </c>
      <c r="K502" s="1" t="s">
        <v>124</v>
      </c>
      <c r="L502" s="1" t="s">
        <v>18</v>
      </c>
      <c r="M502" s="1" t="s">
        <v>1058</v>
      </c>
      <c r="N502" s="1" t="s">
        <v>1115</v>
      </c>
    </row>
    <row r="503" spans="1:14" x14ac:dyDescent="0.35">
      <c r="A503">
        <v>7501043</v>
      </c>
      <c r="B503" s="1" t="s">
        <v>1116</v>
      </c>
      <c r="C503">
        <v>1256.4000000000001</v>
      </c>
      <c r="D503">
        <v>104</v>
      </c>
      <c r="E503" s="1" t="s">
        <v>1117</v>
      </c>
      <c r="F503" s="1" t="s">
        <v>15</v>
      </c>
      <c r="G503" s="1" t="s">
        <v>32</v>
      </c>
      <c r="H503">
        <v>147</v>
      </c>
      <c r="I503">
        <v>34</v>
      </c>
      <c r="J503">
        <v>468</v>
      </c>
      <c r="K503" s="1" t="s">
        <v>17</v>
      </c>
      <c r="L503" s="1" t="s">
        <v>18</v>
      </c>
      <c r="M503" s="1" t="s">
        <v>1118</v>
      </c>
      <c r="N503" s="1" t="s">
        <v>1119</v>
      </c>
    </row>
    <row r="504" spans="1:14" x14ac:dyDescent="0.35">
      <c r="A504">
        <v>7501044</v>
      </c>
      <c r="B504" s="1" t="s">
        <v>1116</v>
      </c>
      <c r="C504">
        <v>1256.4000000000001</v>
      </c>
      <c r="D504">
        <v>104</v>
      </c>
      <c r="E504" s="1" t="s">
        <v>1120</v>
      </c>
      <c r="F504" s="1" t="s">
        <v>15</v>
      </c>
      <c r="G504" s="1" t="s">
        <v>22</v>
      </c>
      <c r="H504">
        <v>50</v>
      </c>
      <c r="I504">
        <v>26</v>
      </c>
      <c r="J504">
        <v>111</v>
      </c>
      <c r="K504" s="1" t="s">
        <v>17</v>
      </c>
      <c r="L504" s="1" t="s">
        <v>18</v>
      </c>
      <c r="M504" s="1" t="s">
        <v>1118</v>
      </c>
      <c r="N504" s="1" t="s">
        <v>1121</v>
      </c>
    </row>
    <row r="505" spans="1:14" x14ac:dyDescent="0.35">
      <c r="A505">
        <v>7504032</v>
      </c>
      <c r="B505" s="1" t="s">
        <v>1116</v>
      </c>
      <c r="C505">
        <v>1256.4000000000001</v>
      </c>
      <c r="D505">
        <v>104</v>
      </c>
      <c r="E505" s="1" t="s">
        <v>1122</v>
      </c>
      <c r="F505" s="1" t="s">
        <v>15</v>
      </c>
      <c r="G505" s="1" t="s">
        <v>32</v>
      </c>
      <c r="H505">
        <v>224</v>
      </c>
      <c r="I505">
        <v>29</v>
      </c>
      <c r="J505">
        <v>438</v>
      </c>
      <c r="K505" s="1" t="s">
        <v>17</v>
      </c>
      <c r="L505" s="1" t="s">
        <v>18</v>
      </c>
      <c r="M505" s="1" t="s">
        <v>1123</v>
      </c>
      <c r="N505" s="1" t="s">
        <v>1124</v>
      </c>
    </row>
    <row r="506" spans="1:14" x14ac:dyDescent="0.35">
      <c r="A506">
        <v>7504012</v>
      </c>
      <c r="B506" s="1" t="s">
        <v>1116</v>
      </c>
      <c r="C506">
        <v>1256.4000000000001</v>
      </c>
      <c r="D506">
        <v>104</v>
      </c>
      <c r="E506" s="1" t="s">
        <v>1125</v>
      </c>
      <c r="F506" s="1" t="s">
        <v>15</v>
      </c>
      <c r="G506" s="1" t="s">
        <v>22</v>
      </c>
      <c r="H506">
        <v>135</v>
      </c>
      <c r="I506">
        <v>27</v>
      </c>
      <c r="J506">
        <v>163</v>
      </c>
      <c r="K506" s="1" t="s">
        <v>17</v>
      </c>
      <c r="L506" s="1" t="s">
        <v>24</v>
      </c>
      <c r="M506" s="1" t="s">
        <v>1123</v>
      </c>
      <c r="N506" s="1" t="s">
        <v>1126</v>
      </c>
    </row>
    <row r="507" spans="1:14" x14ac:dyDescent="0.35">
      <c r="A507">
        <v>7502033</v>
      </c>
      <c r="B507" s="1" t="s">
        <v>1116</v>
      </c>
      <c r="C507">
        <v>1256.4000000000001</v>
      </c>
      <c r="D507">
        <v>104</v>
      </c>
      <c r="E507" s="1" t="s">
        <v>1127</v>
      </c>
      <c r="F507" s="1" t="s">
        <v>15</v>
      </c>
      <c r="G507" s="1" t="s">
        <v>16</v>
      </c>
      <c r="H507">
        <v>246</v>
      </c>
      <c r="I507">
        <v>82</v>
      </c>
      <c r="J507">
        <v>932</v>
      </c>
      <c r="K507" s="1" t="s">
        <v>17</v>
      </c>
      <c r="L507" s="1" t="s">
        <v>24</v>
      </c>
      <c r="M507" s="1" t="s">
        <v>1116</v>
      </c>
      <c r="N507" s="1" t="s">
        <v>1128</v>
      </c>
    </row>
    <row r="508" spans="1:14" x14ac:dyDescent="0.35">
      <c r="A508">
        <v>7502034</v>
      </c>
      <c r="B508" s="1" t="s">
        <v>1116</v>
      </c>
      <c r="C508">
        <v>1256.4000000000001</v>
      </c>
      <c r="D508">
        <v>104</v>
      </c>
      <c r="E508" s="1" t="s">
        <v>1129</v>
      </c>
      <c r="F508" s="1" t="s">
        <v>15</v>
      </c>
      <c r="G508" s="1" t="s">
        <v>32</v>
      </c>
      <c r="H508">
        <v>110</v>
      </c>
      <c r="I508">
        <v>85</v>
      </c>
      <c r="J508">
        <v>398</v>
      </c>
      <c r="K508" s="1" t="s">
        <v>124</v>
      </c>
      <c r="L508" s="1" t="s">
        <v>18</v>
      </c>
      <c r="M508" s="1" t="s">
        <v>1116</v>
      </c>
      <c r="N508" s="1" t="s">
        <v>1130</v>
      </c>
    </row>
    <row r="509" spans="1:14" x14ac:dyDescent="0.35">
      <c r="A509">
        <v>7502047</v>
      </c>
      <c r="B509" s="1" t="s">
        <v>1116</v>
      </c>
      <c r="C509">
        <v>1256.4000000000001</v>
      </c>
      <c r="D509">
        <v>104</v>
      </c>
      <c r="E509" s="1" t="s">
        <v>1131</v>
      </c>
      <c r="F509" s="1" t="s">
        <v>15</v>
      </c>
      <c r="G509" s="1" t="s">
        <v>32</v>
      </c>
      <c r="H509">
        <v>119</v>
      </c>
      <c r="I509">
        <v>23</v>
      </c>
      <c r="K509" s="1" t="s">
        <v>146</v>
      </c>
      <c r="L509" s="1" t="s">
        <v>24</v>
      </c>
      <c r="M509" s="1" t="s">
        <v>1116</v>
      </c>
      <c r="N509" s="1" t="s">
        <v>1132</v>
      </c>
    </row>
    <row r="510" spans="1:14" x14ac:dyDescent="0.35">
      <c r="A510">
        <v>7502035</v>
      </c>
      <c r="B510" s="1" t="s">
        <v>1116</v>
      </c>
      <c r="C510">
        <v>1256.4000000000001</v>
      </c>
      <c r="D510">
        <v>104</v>
      </c>
      <c r="E510" s="1" t="s">
        <v>1133</v>
      </c>
      <c r="F510" s="1" t="s">
        <v>15</v>
      </c>
      <c r="G510" s="1" t="s">
        <v>22</v>
      </c>
      <c r="H510">
        <v>86</v>
      </c>
      <c r="I510">
        <v>27</v>
      </c>
      <c r="J510">
        <v>105</v>
      </c>
      <c r="K510" s="1" t="s">
        <v>17</v>
      </c>
      <c r="L510" s="1" t="s">
        <v>24</v>
      </c>
      <c r="M510" s="1" t="s">
        <v>1116</v>
      </c>
      <c r="N510" s="1" t="s">
        <v>1134</v>
      </c>
    </row>
    <row r="511" spans="1:14" x14ac:dyDescent="0.35">
      <c r="A511">
        <v>7502049</v>
      </c>
      <c r="B511" s="1" t="s">
        <v>1116</v>
      </c>
      <c r="C511">
        <v>1256.4000000000001</v>
      </c>
      <c r="D511">
        <v>104</v>
      </c>
      <c r="E511" s="1" t="s">
        <v>1135</v>
      </c>
      <c r="F511" s="1" t="s">
        <v>15</v>
      </c>
      <c r="G511" s="1" t="s">
        <v>22</v>
      </c>
      <c r="H511">
        <v>51</v>
      </c>
      <c r="I511">
        <v>17</v>
      </c>
      <c r="K511" s="1" t="s">
        <v>27</v>
      </c>
      <c r="L511" s="1" t="s">
        <v>24</v>
      </c>
      <c r="M511" s="1" t="s">
        <v>1116</v>
      </c>
      <c r="N511" s="1" t="s">
        <v>1136</v>
      </c>
    </row>
    <row r="512" spans="1:14" x14ac:dyDescent="0.35">
      <c r="A512">
        <v>7505002</v>
      </c>
      <c r="B512" s="1" t="s">
        <v>1116</v>
      </c>
      <c r="C512">
        <v>1256.4000000000001</v>
      </c>
      <c r="D512">
        <v>104</v>
      </c>
      <c r="E512" s="1" t="s">
        <v>1137</v>
      </c>
      <c r="F512" s="1" t="s">
        <v>15</v>
      </c>
      <c r="G512" s="1" t="s">
        <v>32</v>
      </c>
      <c r="H512">
        <v>121</v>
      </c>
      <c r="I512">
        <v>26</v>
      </c>
      <c r="J512">
        <v>272</v>
      </c>
      <c r="K512" s="1" t="s">
        <v>17</v>
      </c>
      <c r="L512" s="1" t="s">
        <v>18</v>
      </c>
      <c r="M512" s="1" t="s">
        <v>1138</v>
      </c>
      <c r="N512" s="1" t="s">
        <v>1139</v>
      </c>
    </row>
    <row r="513" spans="1:14" x14ac:dyDescent="0.35">
      <c r="A513">
        <v>7505013</v>
      </c>
      <c r="B513" s="1" t="s">
        <v>1116</v>
      </c>
      <c r="C513">
        <v>1256.4000000000001</v>
      </c>
      <c r="D513">
        <v>104</v>
      </c>
      <c r="E513" s="1" t="s">
        <v>1140</v>
      </c>
      <c r="F513" s="1" t="s">
        <v>15</v>
      </c>
      <c r="G513" s="1" t="s">
        <v>52</v>
      </c>
      <c r="H513">
        <v>40</v>
      </c>
      <c r="I513">
        <v>6</v>
      </c>
      <c r="K513" s="1" t="s">
        <v>17</v>
      </c>
      <c r="L513" s="1" t="s">
        <v>24</v>
      </c>
      <c r="M513" s="1" t="s">
        <v>1138</v>
      </c>
      <c r="N513" s="1" t="s">
        <v>1141</v>
      </c>
    </row>
    <row r="514" spans="1:14" x14ac:dyDescent="0.35">
      <c r="A514">
        <v>7571022</v>
      </c>
      <c r="B514" s="1" t="s">
        <v>1116</v>
      </c>
      <c r="C514">
        <v>1256.4000000000001</v>
      </c>
      <c r="D514">
        <v>104</v>
      </c>
      <c r="E514" s="1" t="s">
        <v>1142</v>
      </c>
      <c r="F514" s="1" t="s">
        <v>71</v>
      </c>
      <c r="G514" s="1" t="s">
        <v>32</v>
      </c>
      <c r="H514">
        <v>77</v>
      </c>
      <c r="I514">
        <v>13</v>
      </c>
      <c r="J514">
        <v>52</v>
      </c>
      <c r="K514" s="1" t="s">
        <v>444</v>
      </c>
      <c r="L514" s="1" t="s">
        <v>120</v>
      </c>
      <c r="M514" s="1" t="s">
        <v>1143</v>
      </c>
      <c r="N514" s="1" t="s">
        <v>1144</v>
      </c>
    </row>
    <row r="515" spans="1:14" x14ac:dyDescent="0.35">
      <c r="A515">
        <v>7571010</v>
      </c>
      <c r="B515" s="1" t="s">
        <v>1116</v>
      </c>
      <c r="C515">
        <v>1256.4000000000001</v>
      </c>
      <c r="D515">
        <v>104</v>
      </c>
      <c r="E515" s="1" t="s">
        <v>1145</v>
      </c>
      <c r="F515" s="1" t="s">
        <v>15</v>
      </c>
      <c r="G515" s="1" t="s">
        <v>16</v>
      </c>
      <c r="H515">
        <v>350</v>
      </c>
      <c r="I515">
        <v>65</v>
      </c>
      <c r="J515">
        <v>1009</v>
      </c>
      <c r="K515" s="1" t="s">
        <v>137</v>
      </c>
      <c r="L515" s="1" t="s">
        <v>18</v>
      </c>
      <c r="M515" s="1" t="s">
        <v>1143</v>
      </c>
      <c r="N515" s="1" t="s">
        <v>1146</v>
      </c>
    </row>
    <row r="516" spans="1:14" x14ac:dyDescent="0.35">
      <c r="A516">
        <v>7502032</v>
      </c>
      <c r="B516" s="1" t="s">
        <v>1116</v>
      </c>
      <c r="C516">
        <v>1256.4000000000001</v>
      </c>
      <c r="D516">
        <v>104</v>
      </c>
      <c r="E516" s="1" t="s">
        <v>1147</v>
      </c>
      <c r="F516" s="1" t="s">
        <v>15</v>
      </c>
      <c r="G516" s="1" t="s">
        <v>32</v>
      </c>
      <c r="H516">
        <v>124</v>
      </c>
      <c r="I516">
        <v>25</v>
      </c>
      <c r="J516">
        <v>418</v>
      </c>
      <c r="K516" s="1" t="s">
        <v>137</v>
      </c>
      <c r="L516" s="1" t="s">
        <v>18</v>
      </c>
      <c r="M516" s="1" t="s">
        <v>1143</v>
      </c>
      <c r="N516" s="1" t="s">
        <v>1148</v>
      </c>
    </row>
    <row r="517" spans="1:14" x14ac:dyDescent="0.35">
      <c r="A517">
        <v>7571023</v>
      </c>
      <c r="B517" s="1" t="s">
        <v>1116</v>
      </c>
      <c r="C517">
        <v>1256.4000000000001</v>
      </c>
      <c r="D517">
        <v>104</v>
      </c>
      <c r="E517" s="1" t="s">
        <v>1149</v>
      </c>
      <c r="F517" s="1" t="s">
        <v>15</v>
      </c>
      <c r="G517" s="1" t="s">
        <v>32</v>
      </c>
      <c r="H517">
        <v>124</v>
      </c>
      <c r="I517">
        <v>30</v>
      </c>
      <c r="J517">
        <v>185</v>
      </c>
      <c r="K517" s="1" t="s">
        <v>23</v>
      </c>
      <c r="L517" s="1" t="s">
        <v>24</v>
      </c>
      <c r="M517" s="1" t="s">
        <v>1143</v>
      </c>
      <c r="N517" s="1" t="s">
        <v>1150</v>
      </c>
    </row>
    <row r="518" spans="1:14" x14ac:dyDescent="0.35">
      <c r="A518">
        <v>7502021</v>
      </c>
      <c r="B518" s="1" t="s">
        <v>1116</v>
      </c>
      <c r="C518">
        <v>1256.4000000000001</v>
      </c>
      <c r="D518">
        <v>104</v>
      </c>
      <c r="E518" s="1" t="s">
        <v>1151</v>
      </c>
      <c r="F518" s="1" t="s">
        <v>15</v>
      </c>
      <c r="G518" s="1" t="s">
        <v>22</v>
      </c>
      <c r="H518">
        <v>62</v>
      </c>
      <c r="I518">
        <v>17</v>
      </c>
      <c r="J518">
        <v>72</v>
      </c>
      <c r="K518" s="1" t="s">
        <v>84</v>
      </c>
      <c r="L518" s="1" t="s">
        <v>24</v>
      </c>
      <c r="M518" s="1" t="s">
        <v>1143</v>
      </c>
      <c r="N518" s="1" t="s">
        <v>1152</v>
      </c>
    </row>
    <row r="519" spans="1:14" x14ac:dyDescent="0.35">
      <c r="A519">
        <v>7571021</v>
      </c>
      <c r="B519" s="1" t="s">
        <v>1116</v>
      </c>
      <c r="C519">
        <v>1256.4000000000001</v>
      </c>
      <c r="D519">
        <v>104</v>
      </c>
      <c r="E519" s="1" t="s">
        <v>1153</v>
      </c>
      <c r="F519" s="1" t="s">
        <v>15</v>
      </c>
      <c r="G519" s="1" t="s">
        <v>22</v>
      </c>
      <c r="H519">
        <v>106</v>
      </c>
      <c r="I519">
        <v>20</v>
      </c>
      <c r="J519">
        <v>208</v>
      </c>
      <c r="K519" s="1" t="s">
        <v>90</v>
      </c>
      <c r="L519" s="1" t="s">
        <v>24</v>
      </c>
      <c r="M519" s="1" t="s">
        <v>1143</v>
      </c>
      <c r="N519" s="1" t="s">
        <v>1154</v>
      </c>
    </row>
    <row r="520" spans="1:14" x14ac:dyDescent="0.35">
      <c r="A520">
        <v>7503045</v>
      </c>
      <c r="B520" s="1" t="s">
        <v>1116</v>
      </c>
      <c r="C520">
        <v>1256.4000000000001</v>
      </c>
      <c r="D520">
        <v>104</v>
      </c>
      <c r="E520" s="1" t="s">
        <v>1155</v>
      </c>
      <c r="F520" s="1" t="s">
        <v>15</v>
      </c>
      <c r="G520" s="1" t="s">
        <v>32</v>
      </c>
      <c r="H520">
        <v>178</v>
      </c>
      <c r="I520">
        <v>28</v>
      </c>
      <c r="J520">
        <v>560</v>
      </c>
      <c r="K520" s="1" t="s">
        <v>17</v>
      </c>
      <c r="L520" s="1" t="s">
        <v>18</v>
      </c>
      <c r="M520" s="1" t="s">
        <v>1156</v>
      </c>
      <c r="N520" s="1" t="s">
        <v>1157</v>
      </c>
    </row>
    <row r="521" spans="1:14" x14ac:dyDescent="0.35">
      <c r="A521">
        <v>7503056</v>
      </c>
      <c r="B521" s="1" t="s">
        <v>1116</v>
      </c>
      <c r="C521">
        <v>1256.4000000000001</v>
      </c>
      <c r="D521">
        <v>104</v>
      </c>
      <c r="E521" s="1" t="s">
        <v>1158</v>
      </c>
      <c r="F521" s="1" t="s">
        <v>15</v>
      </c>
      <c r="G521" s="1" t="s">
        <v>52</v>
      </c>
      <c r="H521">
        <v>50</v>
      </c>
      <c r="I521">
        <v>3</v>
      </c>
      <c r="K521" s="1" t="s">
        <v>17</v>
      </c>
      <c r="L521" s="1" t="s">
        <v>24</v>
      </c>
      <c r="M521" s="1" t="s">
        <v>1156</v>
      </c>
      <c r="N521" s="1" t="s">
        <v>1159</v>
      </c>
    </row>
    <row r="522" spans="1:14" x14ac:dyDescent="0.35">
      <c r="A522">
        <v>1504018</v>
      </c>
      <c r="B522" s="1" t="s">
        <v>1160</v>
      </c>
      <c r="C522">
        <v>3811.7</v>
      </c>
      <c r="D522">
        <v>78</v>
      </c>
      <c r="E522" s="1" t="s">
        <v>1161</v>
      </c>
      <c r="F522" s="1" t="s">
        <v>15</v>
      </c>
      <c r="G522" s="1" t="s">
        <v>32</v>
      </c>
      <c r="H522">
        <v>116</v>
      </c>
      <c r="I522">
        <v>23</v>
      </c>
      <c r="J522">
        <v>174</v>
      </c>
      <c r="K522" s="1" t="s">
        <v>23</v>
      </c>
      <c r="L522" s="1" t="s">
        <v>24</v>
      </c>
      <c r="M522" s="1" t="s">
        <v>1162</v>
      </c>
      <c r="N522" s="1" t="s">
        <v>1163</v>
      </c>
    </row>
    <row r="523" spans="1:14" x14ac:dyDescent="0.35">
      <c r="A523">
        <v>1504015</v>
      </c>
      <c r="B523" s="1" t="s">
        <v>1160</v>
      </c>
      <c r="C523">
        <v>3811.7</v>
      </c>
      <c r="D523">
        <v>78</v>
      </c>
      <c r="E523" s="1" t="s">
        <v>1164</v>
      </c>
      <c r="F523" s="1" t="s">
        <v>15</v>
      </c>
      <c r="G523" s="1" t="s">
        <v>32</v>
      </c>
      <c r="H523">
        <v>160</v>
      </c>
      <c r="I523">
        <v>42</v>
      </c>
      <c r="J523">
        <v>437</v>
      </c>
      <c r="K523" s="1" t="s">
        <v>17</v>
      </c>
      <c r="L523" s="1" t="s">
        <v>18</v>
      </c>
      <c r="M523" s="1" t="s">
        <v>1162</v>
      </c>
      <c r="N523" s="1" t="s">
        <v>1165</v>
      </c>
    </row>
    <row r="524" spans="1:14" x14ac:dyDescent="0.35">
      <c r="A524">
        <v>1509029</v>
      </c>
      <c r="B524" s="1" t="s">
        <v>1160</v>
      </c>
      <c r="C524">
        <v>3811.7</v>
      </c>
      <c r="D524">
        <v>78</v>
      </c>
      <c r="E524" s="1" t="s">
        <v>1166</v>
      </c>
      <c r="F524" s="1" t="s">
        <v>71</v>
      </c>
      <c r="G524" s="1" t="s">
        <v>32</v>
      </c>
      <c r="H524">
        <v>47</v>
      </c>
      <c r="I524">
        <v>27</v>
      </c>
      <c r="J524">
        <v>18</v>
      </c>
      <c r="K524" s="1" t="s">
        <v>95</v>
      </c>
      <c r="L524" s="1" t="s">
        <v>24</v>
      </c>
      <c r="M524" s="1" t="s">
        <v>1167</v>
      </c>
      <c r="N524" s="1" t="s">
        <v>1168</v>
      </c>
    </row>
    <row r="525" spans="1:14" x14ac:dyDescent="0.35">
      <c r="A525">
        <v>1509013</v>
      </c>
      <c r="B525" s="1" t="s">
        <v>1160</v>
      </c>
      <c r="C525">
        <v>3811.7</v>
      </c>
      <c r="D525">
        <v>78</v>
      </c>
      <c r="E525" s="1" t="s">
        <v>1169</v>
      </c>
      <c r="F525" s="1" t="s">
        <v>15</v>
      </c>
      <c r="G525" s="1" t="s">
        <v>16</v>
      </c>
      <c r="H525">
        <v>220</v>
      </c>
      <c r="I525">
        <v>95</v>
      </c>
      <c r="J525">
        <v>817</v>
      </c>
      <c r="K525" s="1" t="s">
        <v>17</v>
      </c>
      <c r="L525" s="1" t="s">
        <v>18</v>
      </c>
      <c r="M525" s="1" t="s">
        <v>1167</v>
      </c>
      <c r="N525" s="1" t="s">
        <v>1170</v>
      </c>
    </row>
    <row r="526" spans="1:14" x14ac:dyDescent="0.35">
      <c r="A526">
        <v>1509043</v>
      </c>
      <c r="B526" s="1" t="s">
        <v>1160</v>
      </c>
      <c r="C526">
        <v>3811.7</v>
      </c>
      <c r="D526">
        <v>78</v>
      </c>
      <c r="E526" s="1" t="s">
        <v>1171</v>
      </c>
      <c r="F526" s="1" t="s">
        <v>15</v>
      </c>
      <c r="G526" s="1" t="s">
        <v>1172</v>
      </c>
      <c r="H526">
        <v>14</v>
      </c>
      <c r="I526">
        <v>8</v>
      </c>
      <c r="K526" s="1" t="s">
        <v>17</v>
      </c>
      <c r="L526" s="1" t="s">
        <v>24</v>
      </c>
      <c r="M526" s="1" t="s">
        <v>1167</v>
      </c>
      <c r="N526" s="1" t="s">
        <v>1173</v>
      </c>
    </row>
    <row r="527" spans="1:14" x14ac:dyDescent="0.35">
      <c r="A527">
        <v>1509028</v>
      </c>
      <c r="B527" s="1" t="s">
        <v>1160</v>
      </c>
      <c r="C527">
        <v>3811.7</v>
      </c>
      <c r="D527">
        <v>78</v>
      </c>
      <c r="E527" s="1" t="s">
        <v>314</v>
      </c>
      <c r="F527" s="1" t="s">
        <v>15</v>
      </c>
      <c r="G527" s="1" t="s">
        <v>32</v>
      </c>
      <c r="H527">
        <v>116</v>
      </c>
      <c r="I527">
        <v>32</v>
      </c>
      <c r="J527">
        <v>144</v>
      </c>
      <c r="K527" s="1" t="s">
        <v>90</v>
      </c>
      <c r="L527" s="1" t="s">
        <v>24</v>
      </c>
      <c r="M527" s="1" t="s">
        <v>1167</v>
      </c>
      <c r="N527" s="1" t="s">
        <v>1174</v>
      </c>
    </row>
    <row r="528" spans="1:14" x14ac:dyDescent="0.35">
      <c r="A528">
        <v>1509042</v>
      </c>
      <c r="B528" s="1" t="s">
        <v>1160</v>
      </c>
      <c r="C528">
        <v>3811.7</v>
      </c>
      <c r="D528">
        <v>78</v>
      </c>
      <c r="E528" s="1" t="s">
        <v>1175</v>
      </c>
      <c r="F528" s="1" t="s">
        <v>15</v>
      </c>
      <c r="G528" s="1" t="s">
        <v>22</v>
      </c>
      <c r="H528">
        <v>20</v>
      </c>
      <c r="I528">
        <v>8</v>
      </c>
      <c r="K528" s="1" t="s">
        <v>17</v>
      </c>
      <c r="L528" s="1" t="s">
        <v>24</v>
      </c>
      <c r="M528" s="1" t="s">
        <v>1167</v>
      </c>
      <c r="N528" s="1" t="s">
        <v>1176</v>
      </c>
    </row>
    <row r="529" spans="1:14" x14ac:dyDescent="0.35">
      <c r="A529">
        <v>1509031</v>
      </c>
      <c r="B529" s="1" t="s">
        <v>1160</v>
      </c>
      <c r="C529">
        <v>3811.7</v>
      </c>
      <c r="D529">
        <v>78</v>
      </c>
      <c r="E529" s="1" t="s">
        <v>1177</v>
      </c>
      <c r="F529" s="1" t="s">
        <v>15</v>
      </c>
      <c r="G529" s="1" t="s">
        <v>22</v>
      </c>
      <c r="H529">
        <v>90</v>
      </c>
      <c r="I529">
        <v>22</v>
      </c>
      <c r="J529">
        <v>71</v>
      </c>
      <c r="K529" s="1" t="s">
        <v>23</v>
      </c>
      <c r="L529" s="1" t="s">
        <v>24</v>
      </c>
      <c r="M529" s="1" t="s">
        <v>1167</v>
      </c>
      <c r="N529" s="1" t="s">
        <v>1178</v>
      </c>
    </row>
    <row r="530" spans="1:14" x14ac:dyDescent="0.35">
      <c r="A530">
        <v>1571161</v>
      </c>
      <c r="B530" s="1" t="s">
        <v>1160</v>
      </c>
      <c r="C530">
        <v>3811.7</v>
      </c>
      <c r="D530">
        <v>78</v>
      </c>
      <c r="E530" s="1" t="s">
        <v>1179</v>
      </c>
      <c r="F530" s="1" t="s">
        <v>71</v>
      </c>
      <c r="G530" s="1" t="s">
        <v>32</v>
      </c>
      <c r="H530">
        <v>73</v>
      </c>
      <c r="I530">
        <v>26</v>
      </c>
      <c r="J530">
        <v>117</v>
      </c>
      <c r="K530" s="1" t="s">
        <v>90</v>
      </c>
      <c r="L530" s="1" t="s">
        <v>24</v>
      </c>
      <c r="M530" s="1" t="s">
        <v>1180</v>
      </c>
      <c r="N530" s="1" t="s">
        <v>1181</v>
      </c>
    </row>
    <row r="531" spans="1:14" x14ac:dyDescent="0.35">
      <c r="A531">
        <v>1571136</v>
      </c>
      <c r="B531" s="1" t="s">
        <v>1160</v>
      </c>
      <c r="C531">
        <v>3811.7</v>
      </c>
      <c r="D531">
        <v>78</v>
      </c>
      <c r="E531" s="1" t="s">
        <v>1182</v>
      </c>
      <c r="F531" s="1" t="s">
        <v>129</v>
      </c>
      <c r="G531" s="1" t="s">
        <v>16</v>
      </c>
      <c r="H531">
        <v>240</v>
      </c>
      <c r="I531">
        <v>28</v>
      </c>
      <c r="J531">
        <v>399</v>
      </c>
      <c r="K531" s="1" t="s">
        <v>124</v>
      </c>
      <c r="L531" s="1" t="s">
        <v>18</v>
      </c>
      <c r="M531" s="1" t="s">
        <v>1180</v>
      </c>
      <c r="N531" s="1" t="s">
        <v>1183</v>
      </c>
    </row>
    <row r="532" spans="1:14" x14ac:dyDescent="0.35">
      <c r="A532">
        <v>1571147</v>
      </c>
      <c r="B532" s="1" t="s">
        <v>1160</v>
      </c>
      <c r="C532">
        <v>3811.7</v>
      </c>
      <c r="D532">
        <v>78</v>
      </c>
      <c r="E532" s="1" t="s">
        <v>1184</v>
      </c>
      <c r="F532" s="1" t="s">
        <v>15</v>
      </c>
      <c r="G532" s="1" t="s">
        <v>16</v>
      </c>
      <c r="H532">
        <v>108</v>
      </c>
      <c r="I532">
        <v>80</v>
      </c>
      <c r="J532">
        <v>363</v>
      </c>
      <c r="K532" s="1" t="s">
        <v>23</v>
      </c>
      <c r="L532" s="1" t="s">
        <v>24</v>
      </c>
      <c r="M532" s="1" t="s">
        <v>1180</v>
      </c>
      <c r="N532" s="1" t="s">
        <v>1185</v>
      </c>
    </row>
    <row r="533" spans="1:14" x14ac:dyDescent="0.35">
      <c r="A533">
        <v>1571012</v>
      </c>
      <c r="B533" s="1" t="s">
        <v>1160</v>
      </c>
      <c r="C533">
        <v>3811.7</v>
      </c>
      <c r="D533">
        <v>78</v>
      </c>
      <c r="E533" s="1" t="s">
        <v>1186</v>
      </c>
      <c r="F533" s="1" t="s">
        <v>15</v>
      </c>
      <c r="G533" s="1" t="s">
        <v>16</v>
      </c>
      <c r="H533">
        <v>393</v>
      </c>
      <c r="I533">
        <v>44</v>
      </c>
      <c r="J533">
        <v>584</v>
      </c>
      <c r="K533" s="1" t="s">
        <v>124</v>
      </c>
      <c r="L533" s="1" t="s">
        <v>18</v>
      </c>
      <c r="M533" s="1" t="s">
        <v>1180</v>
      </c>
      <c r="N533" s="1" t="s">
        <v>1187</v>
      </c>
    </row>
    <row r="534" spans="1:14" x14ac:dyDescent="0.35">
      <c r="A534">
        <v>1571180</v>
      </c>
      <c r="B534" s="1" t="s">
        <v>1160</v>
      </c>
      <c r="C534">
        <v>3811.7</v>
      </c>
      <c r="D534">
        <v>78</v>
      </c>
      <c r="E534" s="1" t="s">
        <v>1188</v>
      </c>
      <c r="F534" s="1" t="s">
        <v>15</v>
      </c>
      <c r="G534" s="1" t="s">
        <v>32</v>
      </c>
      <c r="H534">
        <v>100</v>
      </c>
      <c r="I534">
        <v>28</v>
      </c>
      <c r="K534" s="1" t="s">
        <v>23</v>
      </c>
      <c r="L534" s="1" t="s">
        <v>24</v>
      </c>
      <c r="M534" s="1" t="s">
        <v>1180</v>
      </c>
      <c r="N534" s="1" t="s">
        <v>1189</v>
      </c>
    </row>
    <row r="535" spans="1:14" x14ac:dyDescent="0.35">
      <c r="A535">
        <v>1571045</v>
      </c>
      <c r="B535" s="1" t="s">
        <v>1160</v>
      </c>
      <c r="C535">
        <v>3811.7</v>
      </c>
      <c r="D535">
        <v>78</v>
      </c>
      <c r="E535" s="1" t="s">
        <v>1190</v>
      </c>
      <c r="F535" s="1" t="s">
        <v>15</v>
      </c>
      <c r="G535" s="1" t="s">
        <v>32</v>
      </c>
      <c r="H535">
        <v>100</v>
      </c>
      <c r="I535">
        <v>39</v>
      </c>
      <c r="J535">
        <v>462</v>
      </c>
      <c r="K535" s="1" t="s">
        <v>23</v>
      </c>
      <c r="L535" s="1" t="s">
        <v>24</v>
      </c>
      <c r="M535" s="1" t="s">
        <v>1180</v>
      </c>
      <c r="N535" s="1" t="s">
        <v>1191</v>
      </c>
    </row>
    <row r="536" spans="1:14" x14ac:dyDescent="0.35">
      <c r="A536">
        <v>1504017</v>
      </c>
      <c r="B536" s="1" t="s">
        <v>1160</v>
      </c>
      <c r="C536">
        <v>3811.7</v>
      </c>
      <c r="D536">
        <v>78</v>
      </c>
      <c r="E536" s="1" t="s">
        <v>1192</v>
      </c>
      <c r="F536" s="1" t="s">
        <v>15</v>
      </c>
      <c r="G536" s="1" t="s">
        <v>32</v>
      </c>
      <c r="H536">
        <v>154</v>
      </c>
      <c r="I536">
        <v>85</v>
      </c>
      <c r="J536">
        <v>170</v>
      </c>
      <c r="K536" s="1" t="s">
        <v>95</v>
      </c>
      <c r="L536" s="1" t="s">
        <v>24</v>
      </c>
      <c r="M536" s="1" t="s">
        <v>1180</v>
      </c>
      <c r="N536" s="1" t="s">
        <v>1193</v>
      </c>
    </row>
    <row r="537" spans="1:14" x14ac:dyDescent="0.35">
      <c r="A537">
        <v>1571034</v>
      </c>
      <c r="B537" s="1" t="s">
        <v>1160</v>
      </c>
      <c r="C537">
        <v>3811.7</v>
      </c>
      <c r="D537">
        <v>78</v>
      </c>
      <c r="E537" s="1" t="s">
        <v>1194</v>
      </c>
      <c r="F537" s="1" t="s">
        <v>15</v>
      </c>
      <c r="G537" s="1" t="s">
        <v>32</v>
      </c>
      <c r="H537">
        <v>199</v>
      </c>
      <c r="I537">
        <v>40</v>
      </c>
      <c r="J537">
        <v>498</v>
      </c>
      <c r="K537" s="1" t="s">
        <v>146</v>
      </c>
      <c r="L537" s="1" t="s">
        <v>24</v>
      </c>
      <c r="M537" s="1" t="s">
        <v>1180</v>
      </c>
      <c r="N537" s="1" t="s">
        <v>1195</v>
      </c>
    </row>
    <row r="538" spans="1:14" x14ac:dyDescent="0.35">
      <c r="A538">
        <v>1571158</v>
      </c>
      <c r="B538" s="1" t="s">
        <v>1160</v>
      </c>
      <c r="C538">
        <v>3811.7</v>
      </c>
      <c r="D538">
        <v>78</v>
      </c>
      <c r="E538" s="1" t="s">
        <v>1196</v>
      </c>
      <c r="F538" s="1" t="s">
        <v>15</v>
      </c>
      <c r="G538" s="1" t="s">
        <v>32</v>
      </c>
      <c r="H538">
        <v>180</v>
      </c>
      <c r="I538">
        <v>72</v>
      </c>
      <c r="J538">
        <v>652</v>
      </c>
      <c r="K538" s="1" t="s">
        <v>137</v>
      </c>
      <c r="L538" s="1" t="s">
        <v>18</v>
      </c>
      <c r="M538" s="1" t="s">
        <v>1180</v>
      </c>
      <c r="N538" s="1" t="s">
        <v>1197</v>
      </c>
    </row>
    <row r="539" spans="1:14" x14ac:dyDescent="0.35">
      <c r="A539">
        <v>1571162</v>
      </c>
      <c r="B539" s="1" t="s">
        <v>1160</v>
      </c>
      <c r="C539">
        <v>3811.7</v>
      </c>
      <c r="D539">
        <v>78</v>
      </c>
      <c r="E539" s="1" t="s">
        <v>1198</v>
      </c>
      <c r="F539" s="1" t="s">
        <v>15</v>
      </c>
      <c r="G539" s="1" t="s">
        <v>32</v>
      </c>
      <c r="H539">
        <v>106</v>
      </c>
      <c r="I539">
        <v>59</v>
      </c>
      <c r="J539">
        <v>201</v>
      </c>
      <c r="K539" s="1" t="s">
        <v>90</v>
      </c>
      <c r="L539" s="1" t="s">
        <v>24</v>
      </c>
      <c r="M539" s="1" t="s">
        <v>1180</v>
      </c>
      <c r="N539" s="1" t="s">
        <v>1199</v>
      </c>
    </row>
    <row r="540" spans="1:14" x14ac:dyDescent="0.35">
      <c r="A540">
        <v>1571159</v>
      </c>
      <c r="B540" s="1" t="s">
        <v>1160</v>
      </c>
      <c r="C540">
        <v>3811.7</v>
      </c>
      <c r="D540">
        <v>78</v>
      </c>
      <c r="E540" s="1" t="s">
        <v>1200</v>
      </c>
      <c r="F540" s="1" t="s">
        <v>15</v>
      </c>
      <c r="G540" s="1" t="s">
        <v>32</v>
      </c>
      <c r="H540">
        <v>108</v>
      </c>
      <c r="I540">
        <v>26</v>
      </c>
      <c r="J540">
        <v>423</v>
      </c>
      <c r="K540" s="1" t="s">
        <v>90</v>
      </c>
      <c r="L540" s="1" t="s">
        <v>24</v>
      </c>
      <c r="M540" s="1" t="s">
        <v>1180</v>
      </c>
      <c r="N540" s="1" t="s">
        <v>1201</v>
      </c>
    </row>
    <row r="541" spans="1:14" x14ac:dyDescent="0.35">
      <c r="A541">
        <v>1571163</v>
      </c>
      <c r="B541" s="1" t="s">
        <v>1160</v>
      </c>
      <c r="C541">
        <v>3811.7</v>
      </c>
      <c r="D541">
        <v>78</v>
      </c>
      <c r="E541" s="1" t="s">
        <v>1202</v>
      </c>
      <c r="F541" s="1" t="s">
        <v>15</v>
      </c>
      <c r="G541" s="1" t="s">
        <v>32</v>
      </c>
      <c r="H541">
        <v>100</v>
      </c>
      <c r="I541">
        <v>47</v>
      </c>
      <c r="J541">
        <v>239</v>
      </c>
      <c r="K541" s="1" t="s">
        <v>23</v>
      </c>
      <c r="L541" s="1" t="s">
        <v>24</v>
      </c>
      <c r="M541" s="1" t="s">
        <v>1180</v>
      </c>
      <c r="N541" s="1" t="s">
        <v>1203</v>
      </c>
    </row>
    <row r="542" spans="1:14" x14ac:dyDescent="0.35">
      <c r="A542">
        <v>1571168</v>
      </c>
      <c r="B542" s="1" t="s">
        <v>1160</v>
      </c>
      <c r="C542">
        <v>3811.7</v>
      </c>
      <c r="D542">
        <v>78</v>
      </c>
      <c r="E542" s="1" t="s">
        <v>1204</v>
      </c>
      <c r="F542" s="1" t="s">
        <v>15</v>
      </c>
      <c r="G542" s="1" t="s">
        <v>32</v>
      </c>
      <c r="H542">
        <v>100</v>
      </c>
      <c r="I542">
        <v>35</v>
      </c>
      <c r="J542">
        <v>155</v>
      </c>
      <c r="K542" s="1" t="s">
        <v>23</v>
      </c>
      <c r="L542" s="1" t="s">
        <v>24</v>
      </c>
      <c r="M542" s="1" t="s">
        <v>1180</v>
      </c>
      <c r="N542" s="1" t="s">
        <v>1205</v>
      </c>
    </row>
    <row r="543" spans="1:14" x14ac:dyDescent="0.35">
      <c r="A543">
        <v>1571023</v>
      </c>
      <c r="B543" s="1" t="s">
        <v>1160</v>
      </c>
      <c r="C543">
        <v>3811.7</v>
      </c>
      <c r="D543">
        <v>78</v>
      </c>
      <c r="E543" s="1" t="s">
        <v>1206</v>
      </c>
      <c r="F543" s="1" t="s">
        <v>15</v>
      </c>
      <c r="G543" s="1" t="s">
        <v>32</v>
      </c>
      <c r="H543">
        <v>194</v>
      </c>
      <c r="I543">
        <v>47</v>
      </c>
      <c r="J543">
        <v>571</v>
      </c>
      <c r="K543" s="1" t="s">
        <v>27</v>
      </c>
      <c r="L543" s="1" t="s">
        <v>120</v>
      </c>
      <c r="M543" s="1" t="s">
        <v>1180</v>
      </c>
      <c r="N543" s="1" t="s">
        <v>1207</v>
      </c>
    </row>
    <row r="544" spans="1:14" x14ac:dyDescent="0.35">
      <c r="A544">
        <v>1571164</v>
      </c>
      <c r="B544" s="1" t="s">
        <v>1160</v>
      </c>
      <c r="C544">
        <v>3811.7</v>
      </c>
      <c r="D544">
        <v>78</v>
      </c>
      <c r="E544" s="1" t="s">
        <v>1208</v>
      </c>
      <c r="F544" s="1" t="s">
        <v>15</v>
      </c>
      <c r="G544" s="1" t="s">
        <v>22</v>
      </c>
      <c r="H544">
        <v>36</v>
      </c>
      <c r="I544">
        <v>17</v>
      </c>
      <c r="J544">
        <v>22</v>
      </c>
      <c r="K544" s="1" t="s">
        <v>84</v>
      </c>
      <c r="L544" s="1" t="s">
        <v>24</v>
      </c>
      <c r="M544" s="1" t="s">
        <v>1180</v>
      </c>
      <c r="N544" s="1" t="s">
        <v>1209</v>
      </c>
    </row>
    <row r="545" spans="1:14" x14ac:dyDescent="0.35">
      <c r="A545">
        <v>1571169</v>
      </c>
      <c r="B545" s="1" t="s">
        <v>1160</v>
      </c>
      <c r="C545">
        <v>3811.7</v>
      </c>
      <c r="D545">
        <v>78</v>
      </c>
      <c r="E545" s="1" t="s">
        <v>1210</v>
      </c>
      <c r="F545" s="1" t="s">
        <v>15</v>
      </c>
      <c r="G545" s="1" t="s">
        <v>22</v>
      </c>
      <c r="H545">
        <v>50</v>
      </c>
      <c r="I545">
        <v>25</v>
      </c>
      <c r="J545">
        <v>68</v>
      </c>
      <c r="K545" s="1" t="s">
        <v>137</v>
      </c>
      <c r="L545" s="1" t="s">
        <v>24</v>
      </c>
      <c r="M545" s="1" t="s">
        <v>1180</v>
      </c>
      <c r="N545" s="1" t="s">
        <v>1211</v>
      </c>
    </row>
    <row r="546" spans="1:14" x14ac:dyDescent="0.35">
      <c r="A546">
        <v>1571165</v>
      </c>
      <c r="B546" s="1" t="s">
        <v>1160</v>
      </c>
      <c r="C546">
        <v>3811.7</v>
      </c>
      <c r="D546">
        <v>78</v>
      </c>
      <c r="E546" s="1" t="s">
        <v>1212</v>
      </c>
      <c r="F546" s="1" t="s">
        <v>15</v>
      </c>
      <c r="G546" s="1" t="s">
        <v>22</v>
      </c>
      <c r="H546">
        <v>55</v>
      </c>
      <c r="I546">
        <v>19</v>
      </c>
      <c r="J546">
        <v>78</v>
      </c>
      <c r="K546" s="1" t="s">
        <v>23</v>
      </c>
      <c r="L546" s="1" t="s">
        <v>24</v>
      </c>
      <c r="M546" s="1" t="s">
        <v>1180</v>
      </c>
      <c r="N546" s="1" t="s">
        <v>1213</v>
      </c>
    </row>
    <row r="547" spans="1:14" x14ac:dyDescent="0.35">
      <c r="A547">
        <v>1501012</v>
      </c>
      <c r="B547" s="1" t="s">
        <v>1160</v>
      </c>
      <c r="C547">
        <v>3811.7</v>
      </c>
      <c r="D547">
        <v>78</v>
      </c>
      <c r="E547" s="1" t="s">
        <v>1214</v>
      </c>
      <c r="F547" s="1" t="s">
        <v>15</v>
      </c>
      <c r="G547" s="1" t="s">
        <v>32</v>
      </c>
      <c r="H547">
        <v>145</v>
      </c>
      <c r="I547">
        <v>21</v>
      </c>
      <c r="J547">
        <v>278</v>
      </c>
      <c r="K547" s="1" t="s">
        <v>137</v>
      </c>
      <c r="L547" s="1" t="s">
        <v>18</v>
      </c>
      <c r="M547" s="1" t="s">
        <v>1215</v>
      </c>
      <c r="N547" s="1" t="s">
        <v>1216</v>
      </c>
    </row>
    <row r="548" spans="1:14" x14ac:dyDescent="0.35">
      <c r="A548">
        <v>1572003</v>
      </c>
      <c r="B548" s="1" t="s">
        <v>1160</v>
      </c>
      <c r="C548">
        <v>3811.7</v>
      </c>
      <c r="D548">
        <v>78</v>
      </c>
      <c r="E548" s="1" t="s">
        <v>1217</v>
      </c>
      <c r="F548" s="1" t="s">
        <v>15</v>
      </c>
      <c r="G548" s="1" t="s">
        <v>22</v>
      </c>
      <c r="H548">
        <v>53</v>
      </c>
      <c r="I548">
        <v>12</v>
      </c>
      <c r="J548">
        <v>2</v>
      </c>
      <c r="K548" s="1" t="s">
        <v>90</v>
      </c>
      <c r="L548" s="1" t="s">
        <v>24</v>
      </c>
      <c r="M548" s="1" t="s">
        <v>1215</v>
      </c>
      <c r="N548" s="1" t="s">
        <v>1218</v>
      </c>
    </row>
    <row r="549" spans="1:14" x14ac:dyDescent="0.35">
      <c r="A549">
        <v>1502015</v>
      </c>
      <c r="B549" s="1" t="s">
        <v>1160</v>
      </c>
      <c r="C549">
        <v>3811.7</v>
      </c>
      <c r="D549">
        <v>78</v>
      </c>
      <c r="E549" s="1" t="s">
        <v>1219</v>
      </c>
      <c r="F549" s="1" t="s">
        <v>15</v>
      </c>
      <c r="G549" s="1" t="s">
        <v>32</v>
      </c>
      <c r="H549">
        <v>100</v>
      </c>
      <c r="I549">
        <v>26</v>
      </c>
      <c r="J549">
        <v>106</v>
      </c>
      <c r="K549" s="1" t="s">
        <v>23</v>
      </c>
      <c r="L549" s="1" t="s">
        <v>24</v>
      </c>
      <c r="M549" s="1" t="s">
        <v>1220</v>
      </c>
      <c r="N549" s="1" t="s">
        <v>1221</v>
      </c>
    </row>
    <row r="550" spans="1:14" x14ac:dyDescent="0.35">
      <c r="A550">
        <v>1502014</v>
      </c>
      <c r="B550" s="1" t="s">
        <v>1160</v>
      </c>
      <c r="C550">
        <v>3811.7</v>
      </c>
      <c r="D550">
        <v>78</v>
      </c>
      <c r="E550" s="1" t="s">
        <v>1222</v>
      </c>
      <c r="F550" s="1" t="s">
        <v>15</v>
      </c>
      <c r="G550" s="1" t="s">
        <v>32</v>
      </c>
      <c r="H550">
        <v>141</v>
      </c>
      <c r="I550">
        <v>32</v>
      </c>
      <c r="J550">
        <v>595</v>
      </c>
      <c r="K550" s="1" t="s">
        <v>17</v>
      </c>
      <c r="L550" s="1" t="s">
        <v>18</v>
      </c>
      <c r="M550" s="1" t="s">
        <v>1220</v>
      </c>
      <c r="N550" s="1" t="s">
        <v>1223</v>
      </c>
    </row>
    <row r="551" spans="1:14" x14ac:dyDescent="0.35">
      <c r="A551">
        <v>1502019</v>
      </c>
      <c r="B551" s="1" t="s">
        <v>1160</v>
      </c>
      <c r="C551">
        <v>3811.7</v>
      </c>
      <c r="D551">
        <v>78</v>
      </c>
      <c r="E551" s="1" t="s">
        <v>1224</v>
      </c>
      <c r="F551" s="1" t="s">
        <v>15</v>
      </c>
      <c r="G551" s="1" t="s">
        <v>22</v>
      </c>
      <c r="H551">
        <v>72</v>
      </c>
      <c r="I551">
        <v>28</v>
      </c>
      <c r="J551">
        <v>35</v>
      </c>
      <c r="K551" s="1" t="s">
        <v>23</v>
      </c>
      <c r="L551" s="1" t="s">
        <v>120</v>
      </c>
      <c r="M551" s="1" t="s">
        <v>1220</v>
      </c>
      <c r="N551" s="1" t="s">
        <v>1225</v>
      </c>
    </row>
    <row r="552" spans="1:14" x14ac:dyDescent="0.35">
      <c r="A552">
        <v>1502018</v>
      </c>
      <c r="B552" s="1" t="s">
        <v>1160</v>
      </c>
      <c r="C552">
        <v>3811.7</v>
      </c>
      <c r="D552">
        <v>78</v>
      </c>
      <c r="E552" s="1" t="s">
        <v>1226</v>
      </c>
      <c r="F552" s="1" t="s">
        <v>15</v>
      </c>
      <c r="G552" s="1" t="s">
        <v>22</v>
      </c>
      <c r="H552">
        <v>62</v>
      </c>
      <c r="I552">
        <v>21</v>
      </c>
      <c r="J552">
        <v>12</v>
      </c>
      <c r="K552" s="1" t="s">
        <v>23</v>
      </c>
      <c r="L552" s="1" t="s">
        <v>24</v>
      </c>
      <c r="M552" s="1" t="s">
        <v>1220</v>
      </c>
      <c r="N552" s="1" t="s">
        <v>1227</v>
      </c>
    </row>
    <row r="553" spans="1:14" x14ac:dyDescent="0.35">
      <c r="A553">
        <v>1505016</v>
      </c>
      <c r="B553" s="1" t="s">
        <v>1160</v>
      </c>
      <c r="C553">
        <v>3811.7</v>
      </c>
      <c r="D553">
        <v>78</v>
      </c>
      <c r="E553" s="1" t="s">
        <v>1228</v>
      </c>
      <c r="F553" s="1" t="s">
        <v>15</v>
      </c>
      <c r="G553" s="1" t="s">
        <v>32</v>
      </c>
      <c r="H553">
        <v>114</v>
      </c>
      <c r="I553">
        <v>29</v>
      </c>
      <c r="J553">
        <v>238</v>
      </c>
      <c r="K553" s="1" t="s">
        <v>17</v>
      </c>
      <c r="L553" s="1" t="s">
        <v>18</v>
      </c>
      <c r="M553" s="1" t="s">
        <v>1229</v>
      </c>
      <c r="N553" s="1" t="s">
        <v>1230</v>
      </c>
    </row>
    <row r="554" spans="1:14" x14ac:dyDescent="0.35">
      <c r="A554">
        <v>1505027</v>
      </c>
      <c r="B554" s="1" t="s">
        <v>1160</v>
      </c>
      <c r="C554">
        <v>3811.7</v>
      </c>
      <c r="D554">
        <v>78</v>
      </c>
      <c r="E554" s="1" t="s">
        <v>1231</v>
      </c>
      <c r="F554" s="1" t="s">
        <v>15</v>
      </c>
      <c r="G554" s="1" t="s">
        <v>22</v>
      </c>
      <c r="H554">
        <v>51</v>
      </c>
      <c r="I554">
        <v>15</v>
      </c>
      <c r="J554">
        <v>152</v>
      </c>
      <c r="K554" s="1" t="s">
        <v>17</v>
      </c>
      <c r="L554" s="1" t="s">
        <v>18</v>
      </c>
      <c r="M554" s="1" t="s">
        <v>1229</v>
      </c>
      <c r="N554" s="1" t="s">
        <v>1232</v>
      </c>
    </row>
    <row r="555" spans="1:14" x14ac:dyDescent="0.35">
      <c r="A555">
        <v>1505028</v>
      </c>
      <c r="B555" s="1" t="s">
        <v>1160</v>
      </c>
      <c r="C555">
        <v>3811.7</v>
      </c>
      <c r="D555">
        <v>78</v>
      </c>
      <c r="E555" s="1" t="s">
        <v>1233</v>
      </c>
      <c r="F555" s="1" t="s">
        <v>15</v>
      </c>
      <c r="G555" s="1" t="s">
        <v>22</v>
      </c>
      <c r="H555">
        <v>54</v>
      </c>
      <c r="I555">
        <v>25</v>
      </c>
      <c r="J555">
        <v>150</v>
      </c>
      <c r="K555" s="1" t="s">
        <v>17</v>
      </c>
      <c r="L555" s="1" t="s">
        <v>18</v>
      </c>
      <c r="M555" s="1" t="s">
        <v>1229</v>
      </c>
      <c r="N555" s="1" t="s">
        <v>1234</v>
      </c>
    </row>
    <row r="556" spans="1:14" x14ac:dyDescent="0.35">
      <c r="A556">
        <v>1503036</v>
      </c>
      <c r="B556" s="1" t="s">
        <v>1160</v>
      </c>
      <c r="C556">
        <v>3811.7</v>
      </c>
      <c r="D556">
        <v>78</v>
      </c>
      <c r="E556" s="1" t="s">
        <v>1235</v>
      </c>
      <c r="F556" s="1" t="s">
        <v>15</v>
      </c>
      <c r="G556" s="1" t="s">
        <v>32</v>
      </c>
      <c r="H556">
        <v>137</v>
      </c>
      <c r="I556">
        <v>27</v>
      </c>
      <c r="J556">
        <v>392</v>
      </c>
      <c r="K556" s="1" t="s">
        <v>17</v>
      </c>
      <c r="L556" s="1" t="s">
        <v>18</v>
      </c>
      <c r="M556" s="1" t="s">
        <v>1236</v>
      </c>
      <c r="N556" s="1" t="s">
        <v>1237</v>
      </c>
    </row>
    <row r="557" spans="1:14" x14ac:dyDescent="0.35">
      <c r="A557">
        <v>1503039</v>
      </c>
      <c r="B557" s="1" t="s">
        <v>1160</v>
      </c>
      <c r="C557">
        <v>3811.7</v>
      </c>
      <c r="D557">
        <v>78</v>
      </c>
      <c r="E557" s="1" t="s">
        <v>1238</v>
      </c>
      <c r="F557" s="1" t="s">
        <v>15</v>
      </c>
      <c r="G557" s="1" t="s">
        <v>32</v>
      </c>
      <c r="H557">
        <v>101</v>
      </c>
      <c r="I557">
        <v>24</v>
      </c>
      <c r="J557">
        <v>205</v>
      </c>
      <c r="K557" s="1" t="s">
        <v>23</v>
      </c>
      <c r="L557" s="1" t="s">
        <v>24</v>
      </c>
      <c r="M557" s="1" t="s">
        <v>1236</v>
      </c>
      <c r="N557" s="1" t="s">
        <v>1239</v>
      </c>
    </row>
    <row r="558" spans="1:14" x14ac:dyDescent="0.35">
      <c r="A558">
        <v>1507010</v>
      </c>
      <c r="B558" s="1" t="s">
        <v>1160</v>
      </c>
      <c r="C558">
        <v>3811.7</v>
      </c>
      <c r="D558">
        <v>78</v>
      </c>
      <c r="E558" s="1" t="s">
        <v>1240</v>
      </c>
      <c r="F558" s="1" t="s">
        <v>15</v>
      </c>
      <c r="G558" s="1" t="s">
        <v>32</v>
      </c>
      <c r="H558">
        <v>134</v>
      </c>
      <c r="I558">
        <v>28</v>
      </c>
      <c r="J558">
        <v>455</v>
      </c>
      <c r="K558" s="1" t="s">
        <v>17</v>
      </c>
      <c r="L558" s="1" t="s">
        <v>18</v>
      </c>
      <c r="M558" s="1" t="s">
        <v>1241</v>
      </c>
      <c r="N558" s="1" t="s">
        <v>1242</v>
      </c>
    </row>
    <row r="559" spans="1:14" x14ac:dyDescent="0.35">
      <c r="A559">
        <v>1507013</v>
      </c>
      <c r="B559" s="1" t="s">
        <v>1160</v>
      </c>
      <c r="C559">
        <v>3811.7</v>
      </c>
      <c r="D559">
        <v>78</v>
      </c>
      <c r="E559" s="1" t="s">
        <v>1243</v>
      </c>
      <c r="F559" s="1" t="s">
        <v>15</v>
      </c>
      <c r="G559" s="1" t="s">
        <v>22</v>
      </c>
      <c r="H559">
        <v>58</v>
      </c>
      <c r="I559">
        <v>17</v>
      </c>
      <c r="J559">
        <v>181</v>
      </c>
      <c r="K559" s="1" t="s">
        <v>17</v>
      </c>
      <c r="L559" s="1" t="s">
        <v>18</v>
      </c>
      <c r="M559" s="1" t="s">
        <v>1241</v>
      </c>
      <c r="N559" s="1" t="s">
        <v>1244</v>
      </c>
    </row>
    <row r="560" spans="1:14" x14ac:dyDescent="0.35">
      <c r="A560">
        <v>1506011</v>
      </c>
      <c r="B560" s="1" t="s">
        <v>1160</v>
      </c>
      <c r="C560">
        <v>3811.7</v>
      </c>
      <c r="D560">
        <v>78</v>
      </c>
      <c r="E560" s="1" t="s">
        <v>1245</v>
      </c>
      <c r="F560" s="1" t="s">
        <v>15</v>
      </c>
      <c r="G560" s="1" t="s">
        <v>32</v>
      </c>
      <c r="H560">
        <v>103</v>
      </c>
      <c r="I560">
        <v>31</v>
      </c>
      <c r="J560">
        <v>225</v>
      </c>
      <c r="K560" s="1" t="s">
        <v>17</v>
      </c>
      <c r="L560" s="1" t="s">
        <v>18</v>
      </c>
      <c r="M560" s="1" t="s">
        <v>1246</v>
      </c>
      <c r="N560" s="1" t="s">
        <v>1247</v>
      </c>
    </row>
    <row r="561" spans="1:14" x14ac:dyDescent="0.35">
      <c r="A561">
        <v>1506022</v>
      </c>
      <c r="B561" s="1" t="s">
        <v>1160</v>
      </c>
      <c r="C561">
        <v>3811.7</v>
      </c>
      <c r="D561">
        <v>78</v>
      </c>
      <c r="E561" s="1" t="s">
        <v>1248</v>
      </c>
      <c r="F561" s="1" t="s">
        <v>15</v>
      </c>
      <c r="G561" s="1" t="s">
        <v>52</v>
      </c>
      <c r="I561">
        <v>1</v>
      </c>
      <c r="K561" s="1" t="s">
        <v>17</v>
      </c>
      <c r="L561" s="1" t="s">
        <v>24</v>
      </c>
      <c r="M561" s="1" t="s">
        <v>1246</v>
      </c>
      <c r="N561" s="1" t="s">
        <v>1249</v>
      </c>
    </row>
    <row r="562" spans="1:14" x14ac:dyDescent="0.35">
      <c r="A562">
        <v>1508013</v>
      </c>
      <c r="B562" s="1" t="s">
        <v>1160</v>
      </c>
      <c r="C562">
        <v>3811.7</v>
      </c>
      <c r="D562">
        <v>78</v>
      </c>
      <c r="E562" s="1" t="s">
        <v>1250</v>
      </c>
      <c r="F562" s="1" t="s">
        <v>15</v>
      </c>
      <c r="G562" s="1" t="s">
        <v>32</v>
      </c>
      <c r="H562">
        <v>130</v>
      </c>
      <c r="I562">
        <v>67</v>
      </c>
      <c r="J562">
        <v>157</v>
      </c>
      <c r="K562" s="1" t="s">
        <v>17</v>
      </c>
      <c r="L562" s="1" t="s">
        <v>18</v>
      </c>
      <c r="M562" s="1" t="s">
        <v>1251</v>
      </c>
      <c r="N562" s="1" t="s">
        <v>1252</v>
      </c>
    </row>
    <row r="563" spans="1:14" x14ac:dyDescent="0.35">
      <c r="A563">
        <v>1508002</v>
      </c>
      <c r="B563" s="1" t="s">
        <v>1160</v>
      </c>
      <c r="C563">
        <v>3811.7</v>
      </c>
      <c r="D563">
        <v>78</v>
      </c>
      <c r="E563" s="1" t="s">
        <v>1253</v>
      </c>
      <c r="F563" s="1" t="s">
        <v>15</v>
      </c>
      <c r="G563" s="1" t="s">
        <v>22</v>
      </c>
      <c r="H563">
        <v>51</v>
      </c>
      <c r="I563">
        <v>8</v>
      </c>
      <c r="J563">
        <v>21</v>
      </c>
      <c r="K563" s="1" t="s">
        <v>90</v>
      </c>
      <c r="L563" s="1" t="s">
        <v>24</v>
      </c>
      <c r="M563" s="1" t="s">
        <v>1251</v>
      </c>
      <c r="N563" s="1" t="s">
        <v>1254</v>
      </c>
    </row>
    <row r="564" spans="1:14" x14ac:dyDescent="0.35">
      <c r="A564">
        <v>3204090</v>
      </c>
      <c r="B564" s="1" t="s">
        <v>1255</v>
      </c>
      <c r="C564">
        <v>51163.9</v>
      </c>
      <c r="D564">
        <v>1381</v>
      </c>
      <c r="E564" s="1" t="s">
        <v>1256</v>
      </c>
      <c r="F564" s="1" t="s">
        <v>15</v>
      </c>
      <c r="G564" s="1" t="s">
        <v>16</v>
      </c>
      <c r="H564">
        <v>259</v>
      </c>
      <c r="I564">
        <v>37</v>
      </c>
      <c r="J564">
        <v>528</v>
      </c>
      <c r="K564" s="1" t="s">
        <v>17</v>
      </c>
      <c r="L564" s="1" t="s">
        <v>18</v>
      </c>
      <c r="M564" s="1" t="s">
        <v>1257</v>
      </c>
      <c r="N564" s="1" t="s">
        <v>1258</v>
      </c>
    </row>
    <row r="565" spans="1:14" x14ac:dyDescent="0.35">
      <c r="A565">
        <v>3204016</v>
      </c>
      <c r="B565" s="1" t="s">
        <v>1255</v>
      </c>
      <c r="C565">
        <v>51163.9</v>
      </c>
      <c r="D565">
        <v>1381</v>
      </c>
      <c r="E565" s="1" t="s">
        <v>1259</v>
      </c>
      <c r="F565" s="1" t="s">
        <v>15</v>
      </c>
      <c r="G565" s="1" t="s">
        <v>16</v>
      </c>
      <c r="H565">
        <v>383</v>
      </c>
      <c r="I565">
        <v>113</v>
      </c>
      <c r="J565">
        <v>690</v>
      </c>
      <c r="K565" s="1" t="s">
        <v>17</v>
      </c>
      <c r="L565" s="1" t="s">
        <v>18</v>
      </c>
      <c r="M565" s="1" t="s">
        <v>1257</v>
      </c>
      <c r="N565" s="1" t="s">
        <v>1260</v>
      </c>
    </row>
    <row r="566" spans="1:14" x14ac:dyDescent="0.35">
      <c r="A566">
        <v>3204086</v>
      </c>
      <c r="B566" s="1" t="s">
        <v>1255</v>
      </c>
      <c r="C566">
        <v>51163.9</v>
      </c>
      <c r="D566">
        <v>1381</v>
      </c>
      <c r="E566" s="1" t="s">
        <v>1261</v>
      </c>
      <c r="F566" s="1" t="s">
        <v>15</v>
      </c>
      <c r="G566" s="1" t="s">
        <v>16</v>
      </c>
      <c r="H566">
        <v>617</v>
      </c>
      <c r="I566">
        <v>133</v>
      </c>
      <c r="J566">
        <v>997</v>
      </c>
      <c r="K566" s="1" t="s">
        <v>124</v>
      </c>
      <c r="L566" s="1" t="s">
        <v>18</v>
      </c>
      <c r="M566" s="1" t="s">
        <v>1257</v>
      </c>
      <c r="N566" s="1" t="s">
        <v>1262</v>
      </c>
    </row>
    <row r="567" spans="1:14" x14ac:dyDescent="0.35">
      <c r="A567">
        <v>3204165</v>
      </c>
      <c r="B567" s="1" t="s">
        <v>1255</v>
      </c>
      <c r="C567">
        <v>51163.9</v>
      </c>
      <c r="D567">
        <v>1381</v>
      </c>
      <c r="E567" s="1" t="s">
        <v>1263</v>
      </c>
      <c r="F567" s="1" t="s">
        <v>15</v>
      </c>
      <c r="G567" s="1" t="s">
        <v>32</v>
      </c>
      <c r="H567">
        <v>147</v>
      </c>
      <c r="I567">
        <v>54</v>
      </c>
      <c r="K567" s="1" t="s">
        <v>23</v>
      </c>
      <c r="L567" s="1" t="s">
        <v>24</v>
      </c>
      <c r="M567" s="1" t="s">
        <v>1257</v>
      </c>
      <c r="N567" s="1" t="s">
        <v>1264</v>
      </c>
    </row>
    <row r="568" spans="1:14" x14ac:dyDescent="0.35">
      <c r="A568">
        <v>3273517</v>
      </c>
      <c r="B568" s="1" t="s">
        <v>1255</v>
      </c>
      <c r="C568">
        <v>51163.9</v>
      </c>
      <c r="D568">
        <v>1381</v>
      </c>
      <c r="E568" s="1" t="s">
        <v>1265</v>
      </c>
      <c r="F568" s="1" t="s">
        <v>15</v>
      </c>
      <c r="G568" s="1" t="s">
        <v>32</v>
      </c>
      <c r="H568">
        <v>166</v>
      </c>
      <c r="I568">
        <v>46</v>
      </c>
      <c r="J568">
        <v>846</v>
      </c>
      <c r="K568" s="1" t="s">
        <v>90</v>
      </c>
      <c r="L568" s="1" t="s">
        <v>24</v>
      </c>
      <c r="M568" s="1" t="s">
        <v>1257</v>
      </c>
      <c r="N568" s="1" t="s">
        <v>1266</v>
      </c>
    </row>
    <row r="569" spans="1:14" x14ac:dyDescent="0.35">
      <c r="A569">
        <v>3204101</v>
      </c>
      <c r="B569" s="1" t="s">
        <v>1255</v>
      </c>
      <c r="C569">
        <v>51163.9</v>
      </c>
      <c r="D569">
        <v>1381</v>
      </c>
      <c r="E569" s="1" t="s">
        <v>1267</v>
      </c>
      <c r="F569" s="1" t="s">
        <v>15</v>
      </c>
      <c r="G569" s="1" t="s">
        <v>32</v>
      </c>
      <c r="H569">
        <v>136</v>
      </c>
      <c r="I569">
        <v>32</v>
      </c>
      <c r="J569">
        <v>332</v>
      </c>
      <c r="K569" s="1" t="s">
        <v>17</v>
      </c>
      <c r="L569" s="1" t="s">
        <v>18</v>
      </c>
      <c r="M569" s="1" t="s">
        <v>1257</v>
      </c>
      <c r="N569" s="1" t="s">
        <v>1268</v>
      </c>
    </row>
    <row r="570" spans="1:14" x14ac:dyDescent="0.35">
      <c r="A570">
        <v>3204168</v>
      </c>
      <c r="B570" s="1" t="s">
        <v>1255</v>
      </c>
      <c r="C570">
        <v>51163.9</v>
      </c>
      <c r="D570">
        <v>1381</v>
      </c>
      <c r="E570" s="1" t="s">
        <v>1269</v>
      </c>
      <c r="F570" s="1" t="s">
        <v>15</v>
      </c>
      <c r="G570" s="1" t="s">
        <v>32</v>
      </c>
      <c r="H570">
        <v>120</v>
      </c>
      <c r="I570">
        <v>42</v>
      </c>
      <c r="K570" s="1" t="s">
        <v>23</v>
      </c>
      <c r="L570" s="1" t="s">
        <v>24</v>
      </c>
      <c r="M570" s="1" t="s">
        <v>1257</v>
      </c>
      <c r="N570" s="1" t="s">
        <v>1270</v>
      </c>
    </row>
    <row r="571" spans="1:14" x14ac:dyDescent="0.35">
      <c r="A571">
        <v>3204133</v>
      </c>
      <c r="B571" s="1" t="s">
        <v>1255</v>
      </c>
      <c r="C571">
        <v>51163.9</v>
      </c>
      <c r="D571">
        <v>1381</v>
      </c>
      <c r="E571" s="1" t="s">
        <v>1271</v>
      </c>
      <c r="F571" s="1" t="s">
        <v>15</v>
      </c>
      <c r="G571" s="1" t="s">
        <v>32</v>
      </c>
      <c r="H571">
        <v>109</v>
      </c>
      <c r="I571">
        <v>57</v>
      </c>
      <c r="J571">
        <v>181</v>
      </c>
      <c r="K571" s="1" t="s">
        <v>90</v>
      </c>
      <c r="L571" s="1" t="s">
        <v>24</v>
      </c>
      <c r="M571" s="1" t="s">
        <v>1257</v>
      </c>
      <c r="N571" s="1" t="s">
        <v>1272</v>
      </c>
    </row>
    <row r="572" spans="1:14" x14ac:dyDescent="0.35">
      <c r="A572">
        <v>3204169</v>
      </c>
      <c r="B572" s="1" t="s">
        <v>1255</v>
      </c>
      <c r="C572">
        <v>51163.9</v>
      </c>
      <c r="D572">
        <v>1381</v>
      </c>
      <c r="E572" s="1" t="s">
        <v>1273</v>
      </c>
      <c r="F572" s="1" t="s">
        <v>15</v>
      </c>
      <c r="G572" s="1" t="s">
        <v>22</v>
      </c>
      <c r="H572">
        <v>64</v>
      </c>
      <c r="I572">
        <v>31</v>
      </c>
      <c r="K572" s="1" t="s">
        <v>444</v>
      </c>
      <c r="L572" s="1" t="s">
        <v>24</v>
      </c>
      <c r="M572" s="1" t="s">
        <v>1257</v>
      </c>
      <c r="N572" s="1" t="s">
        <v>1274</v>
      </c>
    </row>
    <row r="573" spans="1:14" x14ac:dyDescent="0.35">
      <c r="A573">
        <v>3204172</v>
      </c>
      <c r="B573" s="1" t="s">
        <v>1255</v>
      </c>
      <c r="C573">
        <v>51163.9</v>
      </c>
      <c r="D573">
        <v>1381</v>
      </c>
      <c r="E573" s="1" t="s">
        <v>1275</v>
      </c>
      <c r="F573" s="1" t="s">
        <v>15</v>
      </c>
      <c r="G573" s="1" t="s">
        <v>22</v>
      </c>
      <c r="H573">
        <v>54</v>
      </c>
      <c r="I573">
        <v>26</v>
      </c>
      <c r="K573" s="1" t="s">
        <v>17</v>
      </c>
      <c r="L573" s="1" t="s">
        <v>24</v>
      </c>
      <c r="M573" s="1" t="s">
        <v>1257</v>
      </c>
      <c r="N573" s="1" t="s">
        <v>1276</v>
      </c>
    </row>
    <row r="574" spans="1:14" x14ac:dyDescent="0.35">
      <c r="A574">
        <v>3204170</v>
      </c>
      <c r="B574" s="1" t="s">
        <v>1255</v>
      </c>
      <c r="C574">
        <v>51163.9</v>
      </c>
      <c r="D574">
        <v>1381</v>
      </c>
      <c r="E574" s="1" t="s">
        <v>1277</v>
      </c>
      <c r="F574" s="1" t="s">
        <v>15</v>
      </c>
      <c r="G574" s="1" t="s">
        <v>22</v>
      </c>
      <c r="H574">
        <v>57</v>
      </c>
      <c r="I574">
        <v>20</v>
      </c>
      <c r="K574" s="1" t="s">
        <v>17</v>
      </c>
      <c r="L574" s="1" t="s">
        <v>24</v>
      </c>
      <c r="M574" s="1" t="s">
        <v>1257</v>
      </c>
      <c r="N574" s="1" t="s">
        <v>1278</v>
      </c>
    </row>
    <row r="575" spans="1:14" x14ac:dyDescent="0.35">
      <c r="A575">
        <v>3273442</v>
      </c>
      <c r="B575" s="1" t="s">
        <v>1255</v>
      </c>
      <c r="C575">
        <v>51163.9</v>
      </c>
      <c r="D575">
        <v>1381</v>
      </c>
      <c r="E575" s="1" t="s">
        <v>1279</v>
      </c>
      <c r="F575" s="1" t="s">
        <v>15</v>
      </c>
      <c r="G575" s="1" t="s">
        <v>22</v>
      </c>
      <c r="H575">
        <v>51</v>
      </c>
      <c r="I575">
        <v>48</v>
      </c>
      <c r="J575">
        <v>236</v>
      </c>
      <c r="K575" s="1" t="s">
        <v>23</v>
      </c>
      <c r="L575" s="1" t="s">
        <v>24</v>
      </c>
      <c r="M575" s="1" t="s">
        <v>1257</v>
      </c>
      <c r="N575" s="1" t="s">
        <v>1280</v>
      </c>
    </row>
    <row r="576" spans="1:14" x14ac:dyDescent="0.35">
      <c r="A576">
        <v>3204134</v>
      </c>
      <c r="B576" s="1" t="s">
        <v>1255</v>
      </c>
      <c r="C576">
        <v>51163.9</v>
      </c>
      <c r="D576">
        <v>1381</v>
      </c>
      <c r="E576" s="1" t="s">
        <v>1281</v>
      </c>
      <c r="F576" s="1" t="s">
        <v>15</v>
      </c>
      <c r="G576" s="1" t="s">
        <v>22</v>
      </c>
      <c r="H576">
        <v>63</v>
      </c>
      <c r="I576">
        <v>27</v>
      </c>
      <c r="J576">
        <v>133</v>
      </c>
      <c r="K576" s="1" t="s">
        <v>124</v>
      </c>
      <c r="L576" s="1" t="s">
        <v>18</v>
      </c>
      <c r="M576" s="1" t="s">
        <v>1257</v>
      </c>
      <c r="N576" s="1" t="s">
        <v>1282</v>
      </c>
    </row>
    <row r="577" spans="1:14" x14ac:dyDescent="0.35">
      <c r="A577">
        <v>3204135</v>
      </c>
      <c r="B577" s="1" t="s">
        <v>1255</v>
      </c>
      <c r="C577">
        <v>51163.9</v>
      </c>
      <c r="D577">
        <v>1381</v>
      </c>
      <c r="E577" s="1" t="s">
        <v>1283</v>
      </c>
      <c r="F577" s="1" t="s">
        <v>15</v>
      </c>
      <c r="G577" s="1" t="s">
        <v>22</v>
      </c>
      <c r="H577">
        <v>69</v>
      </c>
      <c r="I577">
        <v>13</v>
      </c>
      <c r="J577">
        <v>57</v>
      </c>
      <c r="K577" s="1" t="s">
        <v>23</v>
      </c>
      <c r="L577" s="1" t="s">
        <v>24</v>
      </c>
      <c r="M577" s="1" t="s">
        <v>1257</v>
      </c>
      <c r="N577" s="1" t="s">
        <v>1284</v>
      </c>
    </row>
    <row r="578" spans="1:14" x14ac:dyDescent="0.35">
      <c r="A578">
        <v>3204171</v>
      </c>
      <c r="B578" s="1" t="s">
        <v>1255</v>
      </c>
      <c r="C578">
        <v>51163.9</v>
      </c>
      <c r="D578">
        <v>1381</v>
      </c>
      <c r="E578" s="1" t="s">
        <v>1285</v>
      </c>
      <c r="F578" s="1" t="s">
        <v>15</v>
      </c>
      <c r="G578" s="1" t="s">
        <v>22</v>
      </c>
      <c r="H578">
        <v>54</v>
      </c>
      <c r="I578">
        <v>18</v>
      </c>
      <c r="K578" s="1" t="s">
        <v>17</v>
      </c>
      <c r="L578" s="1" t="s">
        <v>24</v>
      </c>
      <c r="M578" s="1" t="s">
        <v>1257</v>
      </c>
      <c r="N578" s="1" t="s">
        <v>1286</v>
      </c>
    </row>
    <row r="579" spans="1:14" x14ac:dyDescent="0.35">
      <c r="A579">
        <v>3204173</v>
      </c>
      <c r="B579" s="1" t="s">
        <v>1255</v>
      </c>
      <c r="C579">
        <v>51163.9</v>
      </c>
      <c r="D579">
        <v>1381</v>
      </c>
      <c r="E579" s="1" t="s">
        <v>1287</v>
      </c>
      <c r="F579" s="1" t="s">
        <v>15</v>
      </c>
      <c r="G579" s="1" t="s">
        <v>22</v>
      </c>
      <c r="H579">
        <v>53</v>
      </c>
      <c r="I579">
        <v>25</v>
      </c>
      <c r="K579" s="1" t="s">
        <v>17</v>
      </c>
      <c r="L579" s="1" t="s">
        <v>24</v>
      </c>
      <c r="M579" s="1" t="s">
        <v>1257</v>
      </c>
      <c r="N579" s="1" t="s">
        <v>1288</v>
      </c>
    </row>
    <row r="580" spans="1:14" x14ac:dyDescent="0.35">
      <c r="A580">
        <v>3204154</v>
      </c>
      <c r="B580" s="1" t="s">
        <v>1255</v>
      </c>
      <c r="C580">
        <v>51163.9</v>
      </c>
      <c r="D580">
        <v>1381</v>
      </c>
      <c r="E580" s="1" t="s">
        <v>1289</v>
      </c>
      <c r="F580" s="1" t="s">
        <v>15</v>
      </c>
      <c r="G580" s="1" t="s">
        <v>22</v>
      </c>
      <c r="H580">
        <v>52</v>
      </c>
      <c r="I580">
        <v>25</v>
      </c>
      <c r="J580">
        <v>136</v>
      </c>
      <c r="K580" s="1" t="s">
        <v>974</v>
      </c>
      <c r="L580" s="1" t="s">
        <v>24</v>
      </c>
      <c r="M580" s="1" t="s">
        <v>1257</v>
      </c>
      <c r="N580" s="1" t="s">
        <v>1290</v>
      </c>
    </row>
    <row r="581" spans="1:14" x14ac:dyDescent="0.35">
      <c r="A581">
        <v>3217009</v>
      </c>
      <c r="B581" s="1" t="s">
        <v>1255</v>
      </c>
      <c r="C581">
        <v>51163.9</v>
      </c>
      <c r="D581">
        <v>1381</v>
      </c>
      <c r="E581" s="1" t="s">
        <v>1291</v>
      </c>
      <c r="F581" s="1" t="s">
        <v>71</v>
      </c>
      <c r="G581" s="1" t="s">
        <v>32</v>
      </c>
      <c r="H581">
        <v>41</v>
      </c>
      <c r="I581">
        <v>14</v>
      </c>
      <c r="J581">
        <v>1</v>
      </c>
      <c r="K581" s="1" t="s">
        <v>90</v>
      </c>
      <c r="L581" s="1" t="s">
        <v>24</v>
      </c>
      <c r="M581" s="1" t="s">
        <v>1292</v>
      </c>
      <c r="N581" s="1" t="s">
        <v>1293</v>
      </c>
    </row>
    <row r="582" spans="1:14" x14ac:dyDescent="0.35">
      <c r="A582">
        <v>3217134</v>
      </c>
      <c r="B582" s="1" t="s">
        <v>1255</v>
      </c>
      <c r="C582">
        <v>51163.9</v>
      </c>
      <c r="D582">
        <v>1381</v>
      </c>
      <c r="E582" s="1" t="s">
        <v>1294</v>
      </c>
      <c r="F582" s="1" t="s">
        <v>71</v>
      </c>
      <c r="G582" s="1" t="s">
        <v>32</v>
      </c>
      <c r="H582">
        <v>31</v>
      </c>
      <c r="I582">
        <v>22</v>
      </c>
      <c r="K582" s="1" t="s">
        <v>90</v>
      </c>
      <c r="L582" s="1" t="s">
        <v>24</v>
      </c>
      <c r="M582" s="1" t="s">
        <v>1292</v>
      </c>
      <c r="N582" s="1" t="s">
        <v>1295</v>
      </c>
    </row>
    <row r="583" spans="1:14" x14ac:dyDescent="0.35">
      <c r="A583">
        <v>3217133</v>
      </c>
      <c r="B583" s="1" t="s">
        <v>1255</v>
      </c>
      <c r="C583">
        <v>51163.9</v>
      </c>
      <c r="D583">
        <v>1381</v>
      </c>
      <c r="E583" s="1" t="s">
        <v>1296</v>
      </c>
      <c r="F583" s="1" t="s">
        <v>71</v>
      </c>
      <c r="G583" s="1" t="s">
        <v>32</v>
      </c>
      <c r="H583">
        <v>45</v>
      </c>
      <c r="I583">
        <v>26</v>
      </c>
      <c r="K583" s="1" t="s">
        <v>23</v>
      </c>
      <c r="L583" s="1" t="s">
        <v>24</v>
      </c>
      <c r="M583" s="1" t="s">
        <v>1292</v>
      </c>
      <c r="N583" s="1" t="s">
        <v>1297</v>
      </c>
    </row>
    <row r="584" spans="1:14" x14ac:dyDescent="0.35">
      <c r="A584">
        <v>3217008</v>
      </c>
      <c r="B584" s="1" t="s">
        <v>1255</v>
      </c>
      <c r="C584">
        <v>51163.9</v>
      </c>
      <c r="D584">
        <v>1381</v>
      </c>
      <c r="E584" s="1" t="s">
        <v>1298</v>
      </c>
      <c r="F584" s="1" t="s">
        <v>71</v>
      </c>
      <c r="G584" s="1" t="s">
        <v>32</v>
      </c>
      <c r="H584">
        <v>74</v>
      </c>
      <c r="I584">
        <v>23</v>
      </c>
      <c r="J584">
        <v>56</v>
      </c>
      <c r="K584" s="1" t="s">
        <v>23</v>
      </c>
      <c r="L584" s="1" t="s">
        <v>24</v>
      </c>
      <c r="M584" s="1" t="s">
        <v>1292</v>
      </c>
      <c r="N584" s="1" t="s">
        <v>1299</v>
      </c>
    </row>
    <row r="585" spans="1:14" x14ac:dyDescent="0.35">
      <c r="A585">
        <v>3217132</v>
      </c>
      <c r="B585" s="1" t="s">
        <v>1255</v>
      </c>
      <c r="C585">
        <v>51163.9</v>
      </c>
      <c r="D585">
        <v>1381</v>
      </c>
      <c r="E585" s="1" t="s">
        <v>1300</v>
      </c>
      <c r="F585" s="1" t="s">
        <v>71</v>
      </c>
      <c r="G585" s="1" t="s">
        <v>32</v>
      </c>
      <c r="H585">
        <v>31</v>
      </c>
      <c r="I585">
        <v>28</v>
      </c>
      <c r="K585" s="1" t="s">
        <v>23</v>
      </c>
      <c r="L585" s="1" t="s">
        <v>24</v>
      </c>
      <c r="M585" s="1" t="s">
        <v>1292</v>
      </c>
      <c r="N585" s="1" t="s">
        <v>1301</v>
      </c>
    </row>
    <row r="586" spans="1:14" x14ac:dyDescent="0.35">
      <c r="A586">
        <v>3217042</v>
      </c>
      <c r="B586" s="1" t="s">
        <v>1255</v>
      </c>
      <c r="C586">
        <v>51163.9</v>
      </c>
      <c r="D586">
        <v>1381</v>
      </c>
      <c r="E586" s="1" t="s">
        <v>1302</v>
      </c>
      <c r="F586" s="1" t="s">
        <v>129</v>
      </c>
      <c r="G586" s="1" t="s">
        <v>130</v>
      </c>
      <c r="H586">
        <v>284</v>
      </c>
      <c r="I586">
        <v>34</v>
      </c>
      <c r="J586">
        <v>439</v>
      </c>
      <c r="K586" s="1" t="s">
        <v>124</v>
      </c>
      <c r="L586" s="1" t="s">
        <v>18</v>
      </c>
      <c r="M586" s="1" t="s">
        <v>1292</v>
      </c>
      <c r="N586" s="1" t="s">
        <v>1303</v>
      </c>
    </row>
    <row r="587" spans="1:14" x14ac:dyDescent="0.35">
      <c r="A587">
        <v>3217121</v>
      </c>
      <c r="B587" s="1" t="s">
        <v>1255</v>
      </c>
      <c r="C587">
        <v>51163.9</v>
      </c>
      <c r="D587">
        <v>1381</v>
      </c>
      <c r="E587" s="1" t="s">
        <v>1304</v>
      </c>
      <c r="F587" s="1" t="s">
        <v>15</v>
      </c>
      <c r="G587" s="1" t="s">
        <v>32</v>
      </c>
      <c r="H587">
        <v>169</v>
      </c>
      <c r="I587">
        <v>40</v>
      </c>
      <c r="J587">
        <v>426</v>
      </c>
      <c r="K587" s="1" t="s">
        <v>572</v>
      </c>
      <c r="L587" s="1" t="s">
        <v>24</v>
      </c>
      <c r="M587" s="1" t="s">
        <v>1292</v>
      </c>
      <c r="N587" s="1" t="s">
        <v>1305</v>
      </c>
    </row>
    <row r="588" spans="1:14" x14ac:dyDescent="0.35">
      <c r="A588">
        <v>3217007</v>
      </c>
      <c r="B588" s="1" t="s">
        <v>1255</v>
      </c>
      <c r="C588">
        <v>51163.9</v>
      </c>
      <c r="D588">
        <v>1381</v>
      </c>
      <c r="E588" s="1" t="s">
        <v>1306</v>
      </c>
      <c r="F588" s="1" t="s">
        <v>15</v>
      </c>
      <c r="G588" s="1" t="s">
        <v>32</v>
      </c>
      <c r="H588">
        <v>101</v>
      </c>
      <c r="I588">
        <v>27</v>
      </c>
      <c r="J588">
        <v>253</v>
      </c>
      <c r="K588" s="1" t="s">
        <v>17</v>
      </c>
      <c r="L588" s="1" t="s">
        <v>18</v>
      </c>
      <c r="M588" s="1" t="s">
        <v>1292</v>
      </c>
      <c r="N588" s="1" t="s">
        <v>1307</v>
      </c>
    </row>
    <row r="589" spans="1:14" x14ac:dyDescent="0.35">
      <c r="A589">
        <v>3217002</v>
      </c>
      <c r="B589" s="1" t="s">
        <v>1255</v>
      </c>
      <c r="C589">
        <v>51163.9</v>
      </c>
      <c r="D589">
        <v>1381</v>
      </c>
      <c r="E589" s="1" t="s">
        <v>1308</v>
      </c>
      <c r="F589" s="1" t="s">
        <v>15</v>
      </c>
      <c r="G589" s="1" t="s">
        <v>32</v>
      </c>
      <c r="H589">
        <v>142</v>
      </c>
      <c r="I589">
        <v>31</v>
      </c>
      <c r="J589">
        <v>418</v>
      </c>
      <c r="K589" s="1" t="s">
        <v>17</v>
      </c>
      <c r="L589" s="1" t="s">
        <v>18</v>
      </c>
      <c r="M589" s="1" t="s">
        <v>1292</v>
      </c>
      <c r="N589" s="1" t="s">
        <v>1309</v>
      </c>
    </row>
    <row r="590" spans="1:14" x14ac:dyDescent="0.35">
      <c r="A590">
        <v>3217004</v>
      </c>
      <c r="B590" s="1" t="s">
        <v>1255</v>
      </c>
      <c r="C590">
        <v>51163.9</v>
      </c>
      <c r="D590">
        <v>1381</v>
      </c>
      <c r="E590" s="1" t="s">
        <v>1310</v>
      </c>
      <c r="F590" s="1" t="s">
        <v>15</v>
      </c>
      <c r="G590" s="1" t="s">
        <v>32</v>
      </c>
      <c r="H590">
        <v>99</v>
      </c>
      <c r="I590">
        <v>31</v>
      </c>
      <c r="J590">
        <v>223</v>
      </c>
      <c r="K590" s="1" t="s">
        <v>17</v>
      </c>
      <c r="L590" s="1" t="s">
        <v>18</v>
      </c>
      <c r="M590" s="1" t="s">
        <v>1292</v>
      </c>
      <c r="N590" s="1" t="s">
        <v>1311</v>
      </c>
    </row>
    <row r="591" spans="1:14" x14ac:dyDescent="0.35">
      <c r="A591">
        <v>3217005</v>
      </c>
      <c r="B591" s="1" t="s">
        <v>1255</v>
      </c>
      <c r="C591">
        <v>51163.9</v>
      </c>
      <c r="D591">
        <v>1381</v>
      </c>
      <c r="E591" s="1" t="s">
        <v>1312</v>
      </c>
      <c r="F591" s="1" t="s">
        <v>15</v>
      </c>
      <c r="G591" s="1" t="s">
        <v>32</v>
      </c>
      <c r="H591">
        <v>112</v>
      </c>
      <c r="I591">
        <v>46</v>
      </c>
      <c r="J591">
        <v>132</v>
      </c>
      <c r="K591" s="1" t="s">
        <v>90</v>
      </c>
      <c r="L591" s="1" t="s">
        <v>24</v>
      </c>
      <c r="M591" s="1" t="s">
        <v>1292</v>
      </c>
      <c r="N591" s="1" t="s">
        <v>1313</v>
      </c>
    </row>
    <row r="592" spans="1:14" x14ac:dyDescent="0.35">
      <c r="A592">
        <v>3216424</v>
      </c>
      <c r="B592" s="1" t="s">
        <v>1255</v>
      </c>
      <c r="C592">
        <v>51163.9</v>
      </c>
      <c r="D592">
        <v>1381</v>
      </c>
      <c r="E592" s="1" t="s">
        <v>1314</v>
      </c>
      <c r="F592" s="1" t="s">
        <v>71</v>
      </c>
      <c r="G592" s="1" t="s">
        <v>32</v>
      </c>
      <c r="H592">
        <v>39</v>
      </c>
      <c r="I592">
        <v>19</v>
      </c>
      <c r="J592">
        <v>9</v>
      </c>
      <c r="K592" s="1" t="s">
        <v>90</v>
      </c>
      <c r="L592" s="1" t="s">
        <v>24</v>
      </c>
      <c r="M592" s="1" t="s">
        <v>1315</v>
      </c>
      <c r="N592" s="1" t="s">
        <v>1316</v>
      </c>
    </row>
    <row r="593" spans="1:14" x14ac:dyDescent="0.35">
      <c r="A593">
        <v>3216432</v>
      </c>
      <c r="B593" s="1" t="s">
        <v>1255</v>
      </c>
      <c r="C593">
        <v>51163.9</v>
      </c>
      <c r="D593">
        <v>1381</v>
      </c>
      <c r="E593" s="1" t="s">
        <v>1317</v>
      </c>
      <c r="F593" s="1" t="s">
        <v>71</v>
      </c>
      <c r="G593" s="1" t="s">
        <v>32</v>
      </c>
      <c r="H593">
        <v>45</v>
      </c>
      <c r="I593">
        <v>23</v>
      </c>
      <c r="J593">
        <v>13</v>
      </c>
      <c r="K593" s="1" t="s">
        <v>95</v>
      </c>
      <c r="L593" s="1" t="s">
        <v>24</v>
      </c>
      <c r="M593" s="1" t="s">
        <v>1315</v>
      </c>
      <c r="N593" s="1" t="s">
        <v>1318</v>
      </c>
    </row>
    <row r="594" spans="1:14" x14ac:dyDescent="0.35">
      <c r="A594">
        <v>3216447</v>
      </c>
      <c r="B594" s="1" t="s">
        <v>1255</v>
      </c>
      <c r="C594">
        <v>51163.9</v>
      </c>
      <c r="D594">
        <v>1381</v>
      </c>
      <c r="E594" s="1" t="s">
        <v>1319</v>
      </c>
      <c r="F594" s="1" t="s">
        <v>71</v>
      </c>
      <c r="G594" s="1" t="s">
        <v>22</v>
      </c>
      <c r="H594">
        <v>17</v>
      </c>
      <c r="I594">
        <v>4</v>
      </c>
      <c r="K594" s="1" t="s">
        <v>23</v>
      </c>
      <c r="L594" s="1" t="s">
        <v>24</v>
      </c>
      <c r="M594" s="1" t="s">
        <v>1315</v>
      </c>
      <c r="N594" s="1" t="s">
        <v>1320</v>
      </c>
    </row>
    <row r="595" spans="1:14" x14ac:dyDescent="0.35">
      <c r="A595">
        <v>3216450</v>
      </c>
      <c r="B595" s="1" t="s">
        <v>1255</v>
      </c>
      <c r="C595">
        <v>51163.9</v>
      </c>
      <c r="D595">
        <v>1381</v>
      </c>
      <c r="E595" s="1" t="s">
        <v>1321</v>
      </c>
      <c r="F595" s="1" t="s">
        <v>15</v>
      </c>
      <c r="G595" s="1" t="s">
        <v>16</v>
      </c>
      <c r="H595">
        <v>149</v>
      </c>
      <c r="I595">
        <v>94</v>
      </c>
      <c r="J595">
        <v>235</v>
      </c>
      <c r="K595" s="1" t="s">
        <v>23</v>
      </c>
      <c r="L595" s="1" t="s">
        <v>24</v>
      </c>
      <c r="M595" s="1" t="s">
        <v>1315</v>
      </c>
      <c r="N595" s="1" t="s">
        <v>1322</v>
      </c>
    </row>
    <row r="596" spans="1:14" x14ac:dyDescent="0.35">
      <c r="A596">
        <v>3216393</v>
      </c>
      <c r="B596" s="1" t="s">
        <v>1255</v>
      </c>
      <c r="C596">
        <v>51163.9</v>
      </c>
      <c r="D596">
        <v>1381</v>
      </c>
      <c r="E596" s="1" t="s">
        <v>1323</v>
      </c>
      <c r="F596" s="1" t="s">
        <v>15</v>
      </c>
      <c r="G596" s="1" t="s">
        <v>16</v>
      </c>
      <c r="H596">
        <v>200</v>
      </c>
      <c r="I596">
        <v>76</v>
      </c>
      <c r="J596">
        <v>344</v>
      </c>
      <c r="K596" s="1" t="s">
        <v>90</v>
      </c>
      <c r="L596" s="1" t="s">
        <v>24</v>
      </c>
      <c r="M596" s="1" t="s">
        <v>1315</v>
      </c>
      <c r="N596" s="1" t="s">
        <v>1324</v>
      </c>
    </row>
    <row r="597" spans="1:14" x14ac:dyDescent="0.35">
      <c r="A597">
        <v>3216436</v>
      </c>
      <c r="B597" s="1" t="s">
        <v>1255</v>
      </c>
      <c r="C597">
        <v>51163.9</v>
      </c>
      <c r="D597">
        <v>1381</v>
      </c>
      <c r="E597" s="1" t="s">
        <v>1325</v>
      </c>
      <c r="F597" s="1" t="s">
        <v>15</v>
      </c>
      <c r="G597" s="1" t="s">
        <v>16</v>
      </c>
      <c r="H597">
        <v>200</v>
      </c>
      <c r="I597">
        <v>93</v>
      </c>
      <c r="J597">
        <v>281</v>
      </c>
      <c r="K597" s="1" t="s">
        <v>90</v>
      </c>
      <c r="L597" s="1" t="s">
        <v>24</v>
      </c>
      <c r="M597" s="1" t="s">
        <v>1315</v>
      </c>
      <c r="N597" s="1" t="s">
        <v>1326</v>
      </c>
    </row>
    <row r="598" spans="1:14" x14ac:dyDescent="0.35">
      <c r="A598">
        <v>3216152</v>
      </c>
      <c r="B598" s="1" t="s">
        <v>1255</v>
      </c>
      <c r="C598">
        <v>51163.9</v>
      </c>
      <c r="D598">
        <v>1381</v>
      </c>
      <c r="E598" s="1" t="s">
        <v>1327</v>
      </c>
      <c r="F598" s="1" t="s">
        <v>15</v>
      </c>
      <c r="G598" s="1" t="s">
        <v>16</v>
      </c>
      <c r="H598">
        <v>216</v>
      </c>
      <c r="I598">
        <v>67</v>
      </c>
      <c r="J598">
        <v>400</v>
      </c>
      <c r="K598" s="1" t="s">
        <v>23</v>
      </c>
      <c r="L598" s="1" t="s">
        <v>24</v>
      </c>
      <c r="M598" s="1" t="s">
        <v>1315</v>
      </c>
      <c r="N598" s="1" t="s">
        <v>1328</v>
      </c>
    </row>
    <row r="599" spans="1:14" x14ac:dyDescent="0.35">
      <c r="A599">
        <v>3216318</v>
      </c>
      <c r="B599" s="1" t="s">
        <v>1255</v>
      </c>
      <c r="C599">
        <v>51163.9</v>
      </c>
      <c r="D599">
        <v>1381</v>
      </c>
      <c r="E599" s="1" t="s">
        <v>1329</v>
      </c>
      <c r="F599" s="1" t="s">
        <v>15</v>
      </c>
      <c r="G599" s="1" t="s">
        <v>16</v>
      </c>
      <c r="H599">
        <v>250</v>
      </c>
      <c r="I599">
        <v>102</v>
      </c>
      <c r="J599">
        <v>592</v>
      </c>
      <c r="K599" s="1" t="s">
        <v>23</v>
      </c>
      <c r="L599" s="1" t="s">
        <v>24</v>
      </c>
      <c r="M599" s="1" t="s">
        <v>1315</v>
      </c>
      <c r="N599" s="1" t="s">
        <v>1330</v>
      </c>
    </row>
    <row r="600" spans="1:14" x14ac:dyDescent="0.35">
      <c r="A600">
        <v>3216252</v>
      </c>
      <c r="B600" s="1" t="s">
        <v>1255</v>
      </c>
      <c r="C600">
        <v>51163.9</v>
      </c>
      <c r="D600">
        <v>1381</v>
      </c>
      <c r="E600" s="1" t="s">
        <v>1331</v>
      </c>
      <c r="F600" s="1" t="s">
        <v>15</v>
      </c>
      <c r="G600" s="1" t="s">
        <v>16</v>
      </c>
      <c r="H600">
        <v>256</v>
      </c>
      <c r="I600">
        <v>118</v>
      </c>
      <c r="J600">
        <v>861</v>
      </c>
      <c r="K600" s="1" t="s">
        <v>17</v>
      </c>
      <c r="L600" s="1" t="s">
        <v>18</v>
      </c>
      <c r="M600" s="1" t="s">
        <v>1315</v>
      </c>
      <c r="N600" s="1" t="s">
        <v>1332</v>
      </c>
    </row>
    <row r="601" spans="1:14" x14ac:dyDescent="0.35">
      <c r="A601">
        <v>3216163</v>
      </c>
      <c r="B601" s="1" t="s">
        <v>1255</v>
      </c>
      <c r="C601">
        <v>51163.9</v>
      </c>
      <c r="D601">
        <v>1381</v>
      </c>
      <c r="E601" s="1" t="s">
        <v>1333</v>
      </c>
      <c r="F601" s="1" t="s">
        <v>15</v>
      </c>
      <c r="G601" s="1" t="s">
        <v>16</v>
      </c>
      <c r="H601">
        <v>200</v>
      </c>
      <c r="I601">
        <v>87</v>
      </c>
      <c r="J601">
        <v>588</v>
      </c>
      <c r="K601" s="1" t="s">
        <v>84</v>
      </c>
      <c r="L601" s="1" t="s">
        <v>24</v>
      </c>
      <c r="M601" s="1" t="s">
        <v>1315</v>
      </c>
      <c r="N601" s="1" t="s">
        <v>1334</v>
      </c>
    </row>
    <row r="602" spans="1:14" x14ac:dyDescent="0.35">
      <c r="A602">
        <v>3216449</v>
      </c>
      <c r="B602" s="1" t="s">
        <v>1255</v>
      </c>
      <c r="C602">
        <v>51163.9</v>
      </c>
      <c r="D602">
        <v>1381</v>
      </c>
      <c r="E602" s="1" t="s">
        <v>1335</v>
      </c>
      <c r="F602" s="1" t="s">
        <v>15</v>
      </c>
      <c r="G602" s="1" t="s">
        <v>32</v>
      </c>
      <c r="H602">
        <v>292</v>
      </c>
      <c r="I602">
        <v>43</v>
      </c>
      <c r="J602">
        <v>41</v>
      </c>
      <c r="K602" s="1" t="s">
        <v>23</v>
      </c>
      <c r="L602" s="1" t="s">
        <v>24</v>
      </c>
      <c r="M602" s="1" t="s">
        <v>1315</v>
      </c>
      <c r="N602" s="1" t="s">
        <v>1336</v>
      </c>
    </row>
    <row r="603" spans="1:14" x14ac:dyDescent="0.35">
      <c r="A603">
        <v>3216399</v>
      </c>
      <c r="B603" s="1" t="s">
        <v>1255</v>
      </c>
      <c r="C603">
        <v>51163.9</v>
      </c>
      <c r="D603">
        <v>1381</v>
      </c>
      <c r="E603" s="1" t="s">
        <v>1337</v>
      </c>
      <c r="F603" s="1" t="s">
        <v>15</v>
      </c>
      <c r="G603" s="1" t="s">
        <v>32</v>
      </c>
      <c r="H603">
        <v>104</v>
      </c>
      <c r="I603">
        <v>26</v>
      </c>
      <c r="J603">
        <v>37</v>
      </c>
      <c r="K603" s="1" t="s">
        <v>23</v>
      </c>
      <c r="L603" s="1" t="s">
        <v>24</v>
      </c>
      <c r="M603" s="1" t="s">
        <v>1315</v>
      </c>
      <c r="N603" s="1" t="s">
        <v>1338</v>
      </c>
    </row>
    <row r="604" spans="1:14" x14ac:dyDescent="0.35">
      <c r="A604">
        <v>3216387</v>
      </c>
      <c r="B604" s="1" t="s">
        <v>1255</v>
      </c>
      <c r="C604">
        <v>51163.9</v>
      </c>
      <c r="D604">
        <v>1381</v>
      </c>
      <c r="E604" s="1" t="s">
        <v>1339</v>
      </c>
      <c r="F604" s="1" t="s">
        <v>15</v>
      </c>
      <c r="G604" s="1" t="s">
        <v>32</v>
      </c>
      <c r="H604">
        <v>112</v>
      </c>
      <c r="I604">
        <v>30</v>
      </c>
      <c r="J604">
        <v>16</v>
      </c>
      <c r="K604" s="1" t="s">
        <v>90</v>
      </c>
      <c r="L604" s="1" t="s">
        <v>24</v>
      </c>
      <c r="M604" s="1" t="s">
        <v>1315</v>
      </c>
      <c r="N604" s="1" t="s">
        <v>1340</v>
      </c>
    </row>
    <row r="605" spans="1:14" x14ac:dyDescent="0.35">
      <c r="A605">
        <v>3216463</v>
      </c>
      <c r="B605" s="1" t="s">
        <v>1255</v>
      </c>
      <c r="C605">
        <v>51163.9</v>
      </c>
      <c r="D605">
        <v>1381</v>
      </c>
      <c r="E605" s="1" t="s">
        <v>1341</v>
      </c>
      <c r="F605" s="1" t="s">
        <v>15</v>
      </c>
      <c r="G605" s="1" t="s">
        <v>32</v>
      </c>
      <c r="H605">
        <v>107</v>
      </c>
      <c r="I605">
        <v>16</v>
      </c>
      <c r="K605" s="1" t="s">
        <v>90</v>
      </c>
      <c r="L605" s="1" t="s">
        <v>24</v>
      </c>
      <c r="M605" s="1" t="s">
        <v>1315</v>
      </c>
      <c r="N605" s="1" t="s">
        <v>1342</v>
      </c>
    </row>
    <row r="606" spans="1:14" x14ac:dyDescent="0.35">
      <c r="A606">
        <v>3216340</v>
      </c>
      <c r="B606" s="1" t="s">
        <v>1255</v>
      </c>
      <c r="C606">
        <v>51163.9</v>
      </c>
      <c r="D606">
        <v>1381</v>
      </c>
      <c r="E606" s="1" t="s">
        <v>1343</v>
      </c>
      <c r="F606" s="1" t="s">
        <v>15</v>
      </c>
      <c r="G606" s="1" t="s">
        <v>32</v>
      </c>
      <c r="H606">
        <v>109</v>
      </c>
      <c r="I606">
        <v>28</v>
      </c>
      <c r="J606">
        <v>222</v>
      </c>
      <c r="K606" s="1" t="s">
        <v>84</v>
      </c>
      <c r="L606" s="1" t="s">
        <v>24</v>
      </c>
      <c r="M606" s="1" t="s">
        <v>1315</v>
      </c>
      <c r="N606" s="1" t="s">
        <v>1344</v>
      </c>
    </row>
    <row r="607" spans="1:14" x14ac:dyDescent="0.35">
      <c r="A607">
        <v>3216464</v>
      </c>
      <c r="B607" s="1" t="s">
        <v>1255</v>
      </c>
      <c r="C607">
        <v>51163.9</v>
      </c>
      <c r="D607">
        <v>1381</v>
      </c>
      <c r="E607" s="1" t="s">
        <v>1345</v>
      </c>
      <c r="F607" s="1" t="s">
        <v>15</v>
      </c>
      <c r="G607" s="1" t="s">
        <v>32</v>
      </c>
      <c r="H607">
        <v>98</v>
      </c>
      <c r="I607">
        <v>29</v>
      </c>
      <c r="K607" s="1" t="s">
        <v>23</v>
      </c>
      <c r="L607" s="1" t="s">
        <v>24</v>
      </c>
      <c r="M607" s="1" t="s">
        <v>1315</v>
      </c>
      <c r="N607" s="1" t="s">
        <v>1346</v>
      </c>
    </row>
    <row r="608" spans="1:14" x14ac:dyDescent="0.35">
      <c r="A608">
        <v>3216414</v>
      </c>
      <c r="B608" s="1" t="s">
        <v>1255</v>
      </c>
      <c r="C608">
        <v>51163.9</v>
      </c>
      <c r="D608">
        <v>1381</v>
      </c>
      <c r="E608" s="1" t="s">
        <v>1347</v>
      </c>
      <c r="F608" s="1" t="s">
        <v>15</v>
      </c>
      <c r="G608" s="1" t="s">
        <v>32</v>
      </c>
      <c r="H608">
        <v>102</v>
      </c>
      <c r="I608">
        <v>28</v>
      </c>
      <c r="J608">
        <v>164</v>
      </c>
      <c r="K608" s="1" t="s">
        <v>90</v>
      </c>
      <c r="L608" s="1" t="s">
        <v>24</v>
      </c>
      <c r="M608" s="1" t="s">
        <v>1315</v>
      </c>
      <c r="N608" s="1" t="s">
        <v>1348</v>
      </c>
    </row>
    <row r="609" spans="1:14" x14ac:dyDescent="0.35">
      <c r="A609">
        <v>3275054</v>
      </c>
      <c r="B609" s="1" t="s">
        <v>1255</v>
      </c>
      <c r="C609">
        <v>51163.9</v>
      </c>
      <c r="D609">
        <v>1381</v>
      </c>
      <c r="E609" s="1" t="s">
        <v>1349</v>
      </c>
      <c r="F609" s="1" t="s">
        <v>15</v>
      </c>
      <c r="G609" s="1" t="s">
        <v>32</v>
      </c>
      <c r="H609">
        <v>100</v>
      </c>
      <c r="I609">
        <v>30</v>
      </c>
      <c r="J609">
        <v>58</v>
      </c>
      <c r="K609" s="1" t="s">
        <v>23</v>
      </c>
      <c r="L609" s="1" t="s">
        <v>24</v>
      </c>
      <c r="M609" s="1" t="s">
        <v>1315</v>
      </c>
      <c r="N609" s="1" t="s">
        <v>1350</v>
      </c>
    </row>
    <row r="610" spans="1:14" x14ac:dyDescent="0.35">
      <c r="A610">
        <v>3216417</v>
      </c>
      <c r="B610" s="1" t="s">
        <v>1255</v>
      </c>
      <c r="C610">
        <v>51163.9</v>
      </c>
      <c r="D610">
        <v>1381</v>
      </c>
      <c r="E610" s="1" t="s">
        <v>1351</v>
      </c>
      <c r="F610" s="1" t="s">
        <v>15</v>
      </c>
      <c r="G610" s="1" t="s">
        <v>32</v>
      </c>
      <c r="H610">
        <v>201</v>
      </c>
      <c r="I610">
        <v>34</v>
      </c>
      <c r="J610">
        <v>63</v>
      </c>
      <c r="K610" s="1" t="s">
        <v>90</v>
      </c>
      <c r="L610" s="1" t="s">
        <v>24</v>
      </c>
      <c r="M610" s="1" t="s">
        <v>1315</v>
      </c>
      <c r="N610" s="1" t="s">
        <v>1352</v>
      </c>
    </row>
    <row r="611" spans="1:14" x14ac:dyDescent="0.35">
      <c r="A611">
        <v>3216415</v>
      </c>
      <c r="B611" s="1" t="s">
        <v>1255</v>
      </c>
      <c r="C611">
        <v>51163.9</v>
      </c>
      <c r="D611">
        <v>1381</v>
      </c>
      <c r="E611" s="1" t="s">
        <v>1353</v>
      </c>
      <c r="F611" s="1" t="s">
        <v>15</v>
      </c>
      <c r="G611" s="1" t="s">
        <v>32</v>
      </c>
      <c r="H611">
        <v>100</v>
      </c>
      <c r="I611">
        <v>32</v>
      </c>
      <c r="J611">
        <v>130</v>
      </c>
      <c r="K611" s="1" t="s">
        <v>23</v>
      </c>
      <c r="L611" s="1" t="s">
        <v>24</v>
      </c>
      <c r="M611" s="1" t="s">
        <v>1315</v>
      </c>
      <c r="N611" s="1" t="s">
        <v>1354</v>
      </c>
    </row>
    <row r="612" spans="1:14" x14ac:dyDescent="0.35">
      <c r="A612">
        <v>3216185</v>
      </c>
      <c r="B612" s="1" t="s">
        <v>1255</v>
      </c>
      <c r="C612">
        <v>51163.9</v>
      </c>
      <c r="D612">
        <v>1381</v>
      </c>
      <c r="E612" s="1" t="s">
        <v>1355</v>
      </c>
      <c r="F612" s="1" t="s">
        <v>15</v>
      </c>
      <c r="G612" s="1" t="s">
        <v>32</v>
      </c>
      <c r="H612">
        <v>104</v>
      </c>
      <c r="I612">
        <v>29</v>
      </c>
      <c r="J612">
        <v>84</v>
      </c>
      <c r="K612" s="1" t="s">
        <v>23</v>
      </c>
      <c r="L612" s="1" t="s">
        <v>24</v>
      </c>
      <c r="M612" s="1" t="s">
        <v>1315</v>
      </c>
      <c r="N612" s="1" t="s">
        <v>1356</v>
      </c>
    </row>
    <row r="613" spans="1:14" x14ac:dyDescent="0.35">
      <c r="A613">
        <v>3216351</v>
      </c>
      <c r="B613" s="1" t="s">
        <v>1255</v>
      </c>
      <c r="C613">
        <v>51163.9</v>
      </c>
      <c r="D613">
        <v>1381</v>
      </c>
      <c r="E613" s="1" t="s">
        <v>1357</v>
      </c>
      <c r="F613" s="1" t="s">
        <v>15</v>
      </c>
      <c r="G613" s="1" t="s">
        <v>32</v>
      </c>
      <c r="H613">
        <v>102</v>
      </c>
      <c r="I613">
        <v>28</v>
      </c>
      <c r="J613">
        <v>148</v>
      </c>
      <c r="K613" s="1" t="s">
        <v>23</v>
      </c>
      <c r="L613" s="1" t="s">
        <v>24</v>
      </c>
      <c r="M613" s="1" t="s">
        <v>1315</v>
      </c>
      <c r="N613" s="1" t="s">
        <v>1358</v>
      </c>
    </row>
    <row r="614" spans="1:14" x14ac:dyDescent="0.35">
      <c r="A614">
        <v>3216072</v>
      </c>
      <c r="B614" s="1" t="s">
        <v>1255</v>
      </c>
      <c r="C614">
        <v>51163.9</v>
      </c>
      <c r="D614">
        <v>1381</v>
      </c>
      <c r="E614" s="1" t="s">
        <v>1359</v>
      </c>
      <c r="F614" s="1" t="s">
        <v>15</v>
      </c>
      <c r="G614" s="1" t="s">
        <v>32</v>
      </c>
      <c r="H614">
        <v>120</v>
      </c>
      <c r="I614">
        <v>33</v>
      </c>
      <c r="J614">
        <v>228</v>
      </c>
      <c r="K614" s="1" t="s">
        <v>84</v>
      </c>
      <c r="L614" s="1" t="s">
        <v>24</v>
      </c>
      <c r="M614" s="1" t="s">
        <v>1315</v>
      </c>
      <c r="N614" s="1" t="s">
        <v>1360</v>
      </c>
    </row>
    <row r="615" spans="1:14" x14ac:dyDescent="0.35">
      <c r="A615">
        <v>3216441</v>
      </c>
      <c r="B615" s="1" t="s">
        <v>1255</v>
      </c>
      <c r="C615">
        <v>51163.9</v>
      </c>
      <c r="D615">
        <v>1381</v>
      </c>
      <c r="E615" s="1" t="s">
        <v>1361</v>
      </c>
      <c r="F615" s="1" t="s">
        <v>15</v>
      </c>
      <c r="G615" s="1" t="s">
        <v>32</v>
      </c>
      <c r="H615">
        <v>131</v>
      </c>
      <c r="I615">
        <v>31</v>
      </c>
      <c r="J615">
        <v>333</v>
      </c>
      <c r="K615" s="1" t="s">
        <v>23</v>
      </c>
      <c r="L615" s="1" t="s">
        <v>24</v>
      </c>
      <c r="M615" s="1" t="s">
        <v>1315</v>
      </c>
      <c r="N615" s="1" t="s">
        <v>1362</v>
      </c>
    </row>
    <row r="616" spans="1:14" x14ac:dyDescent="0.35">
      <c r="A616">
        <v>3216374</v>
      </c>
      <c r="B616" s="1" t="s">
        <v>1255</v>
      </c>
      <c r="C616">
        <v>51163.9</v>
      </c>
      <c r="D616">
        <v>1381</v>
      </c>
      <c r="E616" s="1" t="s">
        <v>1363</v>
      </c>
      <c r="F616" s="1" t="s">
        <v>15</v>
      </c>
      <c r="G616" s="1" t="s">
        <v>32</v>
      </c>
      <c r="H616">
        <v>175</v>
      </c>
      <c r="I616">
        <v>28</v>
      </c>
      <c r="J616">
        <v>11</v>
      </c>
      <c r="K616" s="1" t="s">
        <v>90</v>
      </c>
      <c r="L616" s="1" t="s">
        <v>24</v>
      </c>
      <c r="M616" s="1" t="s">
        <v>1315</v>
      </c>
      <c r="N616" s="1" t="s">
        <v>1364</v>
      </c>
    </row>
    <row r="617" spans="1:14" x14ac:dyDescent="0.35">
      <c r="A617">
        <v>3216420</v>
      </c>
      <c r="B617" s="1" t="s">
        <v>1255</v>
      </c>
      <c r="C617">
        <v>51163.9</v>
      </c>
      <c r="D617">
        <v>1381</v>
      </c>
      <c r="E617" s="1" t="s">
        <v>1365</v>
      </c>
      <c r="F617" s="1" t="s">
        <v>15</v>
      </c>
      <c r="G617" s="1" t="s">
        <v>32</v>
      </c>
      <c r="H617">
        <v>116</v>
      </c>
      <c r="I617">
        <v>53</v>
      </c>
      <c r="J617">
        <v>185</v>
      </c>
      <c r="K617" s="1" t="s">
        <v>90</v>
      </c>
      <c r="L617" s="1" t="s">
        <v>24</v>
      </c>
      <c r="M617" s="1" t="s">
        <v>1315</v>
      </c>
      <c r="N617" s="1" t="s">
        <v>1366</v>
      </c>
    </row>
    <row r="618" spans="1:14" x14ac:dyDescent="0.35">
      <c r="A618">
        <v>3216444</v>
      </c>
      <c r="B618" s="1" t="s">
        <v>1255</v>
      </c>
      <c r="C618">
        <v>51163.9</v>
      </c>
      <c r="D618">
        <v>1381</v>
      </c>
      <c r="E618" s="1" t="s">
        <v>1367</v>
      </c>
      <c r="F618" s="1" t="s">
        <v>15</v>
      </c>
      <c r="G618" s="1" t="s">
        <v>32</v>
      </c>
      <c r="H618">
        <v>101</v>
      </c>
      <c r="I618">
        <v>28</v>
      </c>
      <c r="J618">
        <v>103</v>
      </c>
      <c r="K618" s="1" t="s">
        <v>95</v>
      </c>
      <c r="L618" s="1" t="s">
        <v>24</v>
      </c>
      <c r="M618" s="1" t="s">
        <v>1315</v>
      </c>
      <c r="N618" s="1" t="s">
        <v>1368</v>
      </c>
    </row>
    <row r="619" spans="1:14" x14ac:dyDescent="0.35">
      <c r="A619">
        <v>3216386</v>
      </c>
      <c r="B619" s="1" t="s">
        <v>1255</v>
      </c>
      <c r="C619">
        <v>51163.9</v>
      </c>
      <c r="D619">
        <v>1381</v>
      </c>
      <c r="E619" s="1" t="s">
        <v>1369</v>
      </c>
      <c r="F619" s="1" t="s">
        <v>15</v>
      </c>
      <c r="G619" s="1" t="s">
        <v>32</v>
      </c>
      <c r="H619">
        <v>135</v>
      </c>
      <c r="I619">
        <v>32</v>
      </c>
      <c r="J619">
        <v>211</v>
      </c>
      <c r="K619" s="1" t="s">
        <v>90</v>
      </c>
      <c r="L619" s="1" t="s">
        <v>24</v>
      </c>
      <c r="M619" s="1" t="s">
        <v>1315</v>
      </c>
      <c r="N619" s="1" t="s">
        <v>1370</v>
      </c>
    </row>
    <row r="620" spans="1:14" x14ac:dyDescent="0.35">
      <c r="A620">
        <v>3216426</v>
      </c>
      <c r="B620" s="1" t="s">
        <v>1255</v>
      </c>
      <c r="C620">
        <v>51163.9</v>
      </c>
      <c r="D620">
        <v>1381</v>
      </c>
      <c r="E620" s="1" t="s">
        <v>1371</v>
      </c>
      <c r="F620" s="1" t="s">
        <v>15</v>
      </c>
      <c r="G620" s="1" t="s">
        <v>32</v>
      </c>
      <c r="H620">
        <v>110</v>
      </c>
      <c r="I620">
        <v>24</v>
      </c>
      <c r="J620">
        <v>42</v>
      </c>
      <c r="K620" s="1" t="s">
        <v>90</v>
      </c>
      <c r="L620" s="1" t="s">
        <v>24</v>
      </c>
      <c r="M620" s="1" t="s">
        <v>1315</v>
      </c>
      <c r="N620" s="1" t="s">
        <v>1372</v>
      </c>
    </row>
    <row r="621" spans="1:14" x14ac:dyDescent="0.35">
      <c r="A621">
        <v>3216465</v>
      </c>
      <c r="B621" s="1" t="s">
        <v>1255</v>
      </c>
      <c r="C621">
        <v>51163.9</v>
      </c>
      <c r="D621">
        <v>1381</v>
      </c>
      <c r="E621" s="1" t="s">
        <v>1373</v>
      </c>
      <c r="F621" s="1" t="s">
        <v>15</v>
      </c>
      <c r="G621" s="1" t="s">
        <v>32</v>
      </c>
      <c r="H621">
        <v>101</v>
      </c>
      <c r="I621">
        <v>29</v>
      </c>
      <c r="K621" s="1" t="s">
        <v>23</v>
      </c>
      <c r="L621" s="1" t="s">
        <v>24</v>
      </c>
      <c r="M621" s="1" t="s">
        <v>1315</v>
      </c>
      <c r="N621" s="1" t="s">
        <v>1374</v>
      </c>
    </row>
    <row r="622" spans="1:14" x14ac:dyDescent="0.35">
      <c r="A622">
        <v>3216408</v>
      </c>
      <c r="B622" s="1" t="s">
        <v>1255</v>
      </c>
      <c r="C622">
        <v>51163.9</v>
      </c>
      <c r="D622">
        <v>1381</v>
      </c>
      <c r="E622" s="1" t="s">
        <v>1375</v>
      </c>
      <c r="F622" s="1" t="s">
        <v>15</v>
      </c>
      <c r="G622" s="1" t="s">
        <v>32</v>
      </c>
      <c r="H622">
        <v>104</v>
      </c>
      <c r="I622">
        <v>27</v>
      </c>
      <c r="J622">
        <v>257</v>
      </c>
      <c r="K622" s="1" t="s">
        <v>23</v>
      </c>
      <c r="L622" s="1" t="s">
        <v>24</v>
      </c>
      <c r="M622" s="1" t="s">
        <v>1315</v>
      </c>
      <c r="N622" s="1" t="s">
        <v>1376</v>
      </c>
    </row>
    <row r="623" spans="1:14" x14ac:dyDescent="0.35">
      <c r="A623">
        <v>3216416</v>
      </c>
      <c r="B623" s="1" t="s">
        <v>1255</v>
      </c>
      <c r="C623">
        <v>51163.9</v>
      </c>
      <c r="D623">
        <v>1381</v>
      </c>
      <c r="E623" s="1" t="s">
        <v>1377</v>
      </c>
      <c r="F623" s="1" t="s">
        <v>15</v>
      </c>
      <c r="G623" s="1" t="s">
        <v>32</v>
      </c>
      <c r="H623">
        <v>100</v>
      </c>
      <c r="I623">
        <v>65</v>
      </c>
      <c r="J623">
        <v>205</v>
      </c>
      <c r="K623" s="1" t="s">
        <v>23</v>
      </c>
      <c r="L623" s="1" t="s">
        <v>24</v>
      </c>
      <c r="M623" s="1" t="s">
        <v>1315</v>
      </c>
      <c r="N623" s="1" t="s">
        <v>1378</v>
      </c>
    </row>
    <row r="624" spans="1:14" x14ac:dyDescent="0.35">
      <c r="A624">
        <v>3216362</v>
      </c>
      <c r="B624" s="1" t="s">
        <v>1255</v>
      </c>
      <c r="C624">
        <v>51163.9</v>
      </c>
      <c r="D624">
        <v>1381</v>
      </c>
      <c r="E624" s="1" t="s">
        <v>1379</v>
      </c>
      <c r="F624" s="1" t="s">
        <v>15</v>
      </c>
      <c r="G624" s="1" t="s">
        <v>32</v>
      </c>
      <c r="H624">
        <v>128</v>
      </c>
      <c r="I624">
        <v>37</v>
      </c>
      <c r="J624">
        <v>350</v>
      </c>
      <c r="K624" s="1" t="s">
        <v>23</v>
      </c>
      <c r="L624" s="1" t="s">
        <v>24</v>
      </c>
      <c r="M624" s="1" t="s">
        <v>1315</v>
      </c>
      <c r="N624" s="1" t="s">
        <v>1380</v>
      </c>
    </row>
    <row r="625" spans="1:14" x14ac:dyDescent="0.35">
      <c r="A625">
        <v>3216388</v>
      </c>
      <c r="B625" s="1" t="s">
        <v>1255</v>
      </c>
      <c r="C625">
        <v>51163.9</v>
      </c>
      <c r="D625">
        <v>1381</v>
      </c>
      <c r="E625" s="1" t="s">
        <v>1381</v>
      </c>
      <c r="F625" s="1" t="s">
        <v>15</v>
      </c>
      <c r="G625" s="1" t="s">
        <v>32</v>
      </c>
      <c r="H625">
        <v>237</v>
      </c>
      <c r="I625">
        <v>26</v>
      </c>
      <c r="J625">
        <v>538</v>
      </c>
      <c r="K625" s="1" t="s">
        <v>90</v>
      </c>
      <c r="L625" s="1" t="s">
        <v>24</v>
      </c>
      <c r="M625" s="1" t="s">
        <v>1315</v>
      </c>
      <c r="N625" s="1" t="s">
        <v>1382</v>
      </c>
    </row>
    <row r="626" spans="1:14" x14ac:dyDescent="0.35">
      <c r="A626">
        <v>3216443</v>
      </c>
      <c r="B626" s="1" t="s">
        <v>1255</v>
      </c>
      <c r="C626">
        <v>51163.9</v>
      </c>
      <c r="D626">
        <v>1381</v>
      </c>
      <c r="E626" s="1" t="s">
        <v>1383</v>
      </c>
      <c r="F626" s="1" t="s">
        <v>15</v>
      </c>
      <c r="G626" s="1" t="s">
        <v>32</v>
      </c>
      <c r="H626">
        <v>100</v>
      </c>
      <c r="I626">
        <v>40</v>
      </c>
      <c r="J626">
        <v>127</v>
      </c>
      <c r="K626" s="1" t="s">
        <v>23</v>
      </c>
      <c r="L626" s="1" t="s">
        <v>24</v>
      </c>
      <c r="M626" s="1" t="s">
        <v>1315</v>
      </c>
      <c r="N626" s="1" t="s">
        <v>1384</v>
      </c>
    </row>
    <row r="627" spans="1:14" x14ac:dyDescent="0.35">
      <c r="A627">
        <v>3216400</v>
      </c>
      <c r="B627" s="1" t="s">
        <v>1255</v>
      </c>
      <c r="C627">
        <v>51163.9</v>
      </c>
      <c r="D627">
        <v>1381</v>
      </c>
      <c r="E627" s="1" t="s">
        <v>1385</v>
      </c>
      <c r="F627" s="1" t="s">
        <v>15</v>
      </c>
      <c r="G627" s="1" t="s">
        <v>32</v>
      </c>
      <c r="H627">
        <v>140</v>
      </c>
      <c r="I627">
        <v>34</v>
      </c>
      <c r="J627">
        <v>49</v>
      </c>
      <c r="K627" s="1" t="s">
        <v>90</v>
      </c>
      <c r="L627" s="1" t="s">
        <v>24</v>
      </c>
      <c r="M627" s="1" t="s">
        <v>1315</v>
      </c>
      <c r="N627" s="1" t="s">
        <v>1386</v>
      </c>
    </row>
    <row r="628" spans="1:14" x14ac:dyDescent="0.35">
      <c r="A628">
        <v>3216409</v>
      </c>
      <c r="B628" s="1" t="s">
        <v>1255</v>
      </c>
      <c r="C628">
        <v>51163.9</v>
      </c>
      <c r="D628">
        <v>1381</v>
      </c>
      <c r="E628" s="1" t="s">
        <v>1387</v>
      </c>
      <c r="F628" s="1" t="s">
        <v>15</v>
      </c>
      <c r="G628" s="1" t="s">
        <v>32</v>
      </c>
      <c r="H628">
        <v>116</v>
      </c>
      <c r="I628">
        <v>22</v>
      </c>
      <c r="J628">
        <v>191</v>
      </c>
      <c r="K628" s="1" t="s">
        <v>23</v>
      </c>
      <c r="L628" s="1" t="s">
        <v>24</v>
      </c>
      <c r="M628" s="1" t="s">
        <v>1315</v>
      </c>
      <c r="N628" s="1" t="s">
        <v>1388</v>
      </c>
    </row>
    <row r="629" spans="1:14" x14ac:dyDescent="0.35">
      <c r="A629">
        <v>3216104</v>
      </c>
      <c r="B629" s="1" t="s">
        <v>1255</v>
      </c>
      <c r="C629">
        <v>51163.9</v>
      </c>
      <c r="D629">
        <v>1381</v>
      </c>
      <c r="E629" s="1" t="s">
        <v>1389</v>
      </c>
      <c r="F629" s="1" t="s">
        <v>15</v>
      </c>
      <c r="G629" s="1" t="s">
        <v>32</v>
      </c>
      <c r="H629">
        <v>120</v>
      </c>
      <c r="I629">
        <v>37</v>
      </c>
      <c r="J629">
        <v>383</v>
      </c>
      <c r="K629" s="1" t="s">
        <v>84</v>
      </c>
      <c r="L629" s="1" t="s">
        <v>24</v>
      </c>
      <c r="M629" s="1" t="s">
        <v>1315</v>
      </c>
      <c r="N629" s="1" t="s">
        <v>1390</v>
      </c>
    </row>
    <row r="630" spans="1:14" x14ac:dyDescent="0.35">
      <c r="A630">
        <v>3216413</v>
      </c>
      <c r="B630" s="1" t="s">
        <v>1255</v>
      </c>
      <c r="C630">
        <v>51163.9</v>
      </c>
      <c r="D630">
        <v>1381</v>
      </c>
      <c r="E630" s="1" t="s">
        <v>1391</v>
      </c>
      <c r="F630" s="1" t="s">
        <v>15</v>
      </c>
      <c r="G630" s="1" t="s">
        <v>32</v>
      </c>
      <c r="H630">
        <v>106</v>
      </c>
      <c r="I630">
        <v>24</v>
      </c>
      <c r="J630">
        <v>216</v>
      </c>
      <c r="K630" s="1" t="s">
        <v>90</v>
      </c>
      <c r="L630" s="1" t="s">
        <v>24</v>
      </c>
      <c r="M630" s="1" t="s">
        <v>1315</v>
      </c>
      <c r="N630" s="1" t="s">
        <v>1392</v>
      </c>
    </row>
    <row r="631" spans="1:14" x14ac:dyDescent="0.35">
      <c r="A631">
        <v>3216451</v>
      </c>
      <c r="B631" s="1" t="s">
        <v>1255</v>
      </c>
      <c r="C631">
        <v>51163.9</v>
      </c>
      <c r="D631">
        <v>1381</v>
      </c>
      <c r="E631" s="1" t="s">
        <v>1393</v>
      </c>
      <c r="F631" s="1" t="s">
        <v>15</v>
      </c>
      <c r="G631" s="1" t="s">
        <v>32</v>
      </c>
      <c r="H631">
        <v>100</v>
      </c>
      <c r="I631">
        <v>56</v>
      </c>
      <c r="K631" s="1" t="s">
        <v>90</v>
      </c>
      <c r="L631" s="1" t="s">
        <v>24</v>
      </c>
      <c r="M631" s="1" t="s">
        <v>1315</v>
      </c>
      <c r="N631" s="1" t="s">
        <v>1394</v>
      </c>
    </row>
    <row r="632" spans="1:14" x14ac:dyDescent="0.35">
      <c r="A632">
        <v>3216406</v>
      </c>
      <c r="B632" s="1" t="s">
        <v>1255</v>
      </c>
      <c r="C632">
        <v>51163.9</v>
      </c>
      <c r="D632">
        <v>1381</v>
      </c>
      <c r="E632" s="1" t="s">
        <v>1395</v>
      </c>
      <c r="F632" s="1" t="s">
        <v>15</v>
      </c>
      <c r="G632" s="1" t="s">
        <v>32</v>
      </c>
      <c r="H632">
        <v>100</v>
      </c>
      <c r="I632">
        <v>27</v>
      </c>
      <c r="J632">
        <v>118</v>
      </c>
      <c r="K632" s="1" t="s">
        <v>90</v>
      </c>
      <c r="L632" s="1" t="s">
        <v>24</v>
      </c>
      <c r="M632" s="1" t="s">
        <v>1315</v>
      </c>
      <c r="N632" s="1" t="s">
        <v>1396</v>
      </c>
    </row>
    <row r="633" spans="1:14" x14ac:dyDescent="0.35">
      <c r="A633">
        <v>3216385</v>
      </c>
      <c r="B633" s="1" t="s">
        <v>1255</v>
      </c>
      <c r="C633">
        <v>51163.9</v>
      </c>
      <c r="D633">
        <v>1381</v>
      </c>
      <c r="E633" s="1" t="s">
        <v>1397</v>
      </c>
      <c r="F633" s="1" t="s">
        <v>15</v>
      </c>
      <c r="G633" s="1" t="s">
        <v>32</v>
      </c>
      <c r="H633">
        <v>116</v>
      </c>
      <c r="I633">
        <v>34</v>
      </c>
      <c r="J633">
        <v>143</v>
      </c>
      <c r="K633" s="1" t="s">
        <v>90</v>
      </c>
      <c r="L633" s="1" t="s">
        <v>24</v>
      </c>
      <c r="M633" s="1" t="s">
        <v>1315</v>
      </c>
      <c r="N633" s="1" t="s">
        <v>1398</v>
      </c>
    </row>
    <row r="634" spans="1:14" x14ac:dyDescent="0.35">
      <c r="A634">
        <v>3216466</v>
      </c>
      <c r="B634" s="1" t="s">
        <v>1255</v>
      </c>
      <c r="C634">
        <v>51163.9</v>
      </c>
      <c r="D634">
        <v>1381</v>
      </c>
      <c r="E634" s="1" t="s">
        <v>1399</v>
      </c>
      <c r="F634" s="1" t="s">
        <v>15</v>
      </c>
      <c r="G634" s="1" t="s">
        <v>32</v>
      </c>
      <c r="H634">
        <v>112</v>
      </c>
      <c r="I634">
        <v>14</v>
      </c>
      <c r="K634" s="1" t="s">
        <v>49</v>
      </c>
      <c r="L634" s="1" t="s">
        <v>24</v>
      </c>
      <c r="M634" s="1" t="s">
        <v>1315</v>
      </c>
      <c r="N634" s="1" t="s">
        <v>1400</v>
      </c>
    </row>
    <row r="635" spans="1:14" x14ac:dyDescent="0.35">
      <c r="A635">
        <v>3216126</v>
      </c>
      <c r="B635" s="1" t="s">
        <v>1255</v>
      </c>
      <c r="C635">
        <v>51163.9</v>
      </c>
      <c r="D635">
        <v>1381</v>
      </c>
      <c r="E635" s="1" t="s">
        <v>1401</v>
      </c>
      <c r="F635" s="1" t="s">
        <v>15</v>
      </c>
      <c r="G635" s="1" t="s">
        <v>32</v>
      </c>
      <c r="H635">
        <v>189</v>
      </c>
      <c r="I635">
        <v>80</v>
      </c>
      <c r="J635">
        <v>526</v>
      </c>
      <c r="K635" s="1" t="s">
        <v>23</v>
      </c>
      <c r="L635" s="1" t="s">
        <v>24</v>
      </c>
      <c r="M635" s="1" t="s">
        <v>1315</v>
      </c>
      <c r="N635" s="1" t="s">
        <v>1402</v>
      </c>
    </row>
    <row r="636" spans="1:14" x14ac:dyDescent="0.35">
      <c r="A636">
        <v>3216435</v>
      </c>
      <c r="B636" s="1" t="s">
        <v>1255</v>
      </c>
      <c r="C636">
        <v>51163.9</v>
      </c>
      <c r="D636">
        <v>1381</v>
      </c>
      <c r="E636" s="1" t="s">
        <v>1403</v>
      </c>
      <c r="F636" s="1" t="s">
        <v>15</v>
      </c>
      <c r="G636" s="1" t="s">
        <v>22</v>
      </c>
      <c r="H636">
        <v>73</v>
      </c>
      <c r="I636">
        <v>24</v>
      </c>
      <c r="J636">
        <v>62</v>
      </c>
      <c r="K636" s="1" t="s">
        <v>23</v>
      </c>
      <c r="L636" s="1" t="s">
        <v>24</v>
      </c>
      <c r="M636" s="1" t="s">
        <v>1315</v>
      </c>
      <c r="N636" s="1" t="s">
        <v>1404</v>
      </c>
    </row>
    <row r="637" spans="1:14" x14ac:dyDescent="0.35">
      <c r="A637">
        <v>3216407</v>
      </c>
      <c r="B637" s="1" t="s">
        <v>1255</v>
      </c>
      <c r="C637">
        <v>51163.9</v>
      </c>
      <c r="D637">
        <v>1381</v>
      </c>
      <c r="E637" s="1" t="s">
        <v>1405</v>
      </c>
      <c r="F637" s="1" t="s">
        <v>15</v>
      </c>
      <c r="G637" s="1" t="s">
        <v>22</v>
      </c>
      <c r="H637">
        <v>30</v>
      </c>
      <c r="I637">
        <v>18</v>
      </c>
      <c r="J637">
        <v>6</v>
      </c>
      <c r="K637" s="1" t="s">
        <v>90</v>
      </c>
      <c r="L637" s="1" t="s">
        <v>24</v>
      </c>
      <c r="M637" s="1" t="s">
        <v>1315</v>
      </c>
      <c r="N637" s="1" t="s">
        <v>1406</v>
      </c>
    </row>
    <row r="638" spans="1:14" x14ac:dyDescent="0.35">
      <c r="A638">
        <v>3216462</v>
      </c>
      <c r="B638" s="1" t="s">
        <v>1255</v>
      </c>
      <c r="C638">
        <v>51163.9</v>
      </c>
      <c r="D638">
        <v>1381</v>
      </c>
      <c r="E638" s="1" t="s">
        <v>1407</v>
      </c>
      <c r="F638" s="1" t="s">
        <v>15</v>
      </c>
      <c r="G638" s="1" t="s">
        <v>22</v>
      </c>
      <c r="H638">
        <v>50</v>
      </c>
      <c r="I638">
        <v>18</v>
      </c>
      <c r="K638" s="1" t="s">
        <v>90</v>
      </c>
      <c r="L638" s="1" t="s">
        <v>24</v>
      </c>
      <c r="M638" s="1" t="s">
        <v>1315</v>
      </c>
      <c r="N638" s="1" t="s">
        <v>1408</v>
      </c>
    </row>
    <row r="639" spans="1:14" x14ac:dyDescent="0.35">
      <c r="A639">
        <v>3216434</v>
      </c>
      <c r="B639" s="1" t="s">
        <v>1255</v>
      </c>
      <c r="C639">
        <v>51163.9</v>
      </c>
      <c r="D639">
        <v>1381</v>
      </c>
      <c r="E639" s="1" t="s">
        <v>1409</v>
      </c>
      <c r="F639" s="1" t="s">
        <v>15</v>
      </c>
      <c r="G639" s="1" t="s">
        <v>22</v>
      </c>
      <c r="H639">
        <v>46</v>
      </c>
      <c r="I639">
        <v>27</v>
      </c>
      <c r="J639">
        <v>60</v>
      </c>
      <c r="K639" s="1" t="s">
        <v>95</v>
      </c>
      <c r="L639" s="1" t="s">
        <v>24</v>
      </c>
      <c r="M639" s="1" t="s">
        <v>1315</v>
      </c>
      <c r="N639" s="1" t="s">
        <v>1410</v>
      </c>
    </row>
    <row r="640" spans="1:14" x14ac:dyDescent="0.35">
      <c r="A640">
        <v>3216440</v>
      </c>
      <c r="B640" s="1" t="s">
        <v>1255</v>
      </c>
      <c r="C640">
        <v>51163.9</v>
      </c>
      <c r="D640">
        <v>1381</v>
      </c>
      <c r="E640" s="1" t="s">
        <v>1411</v>
      </c>
      <c r="F640" s="1" t="s">
        <v>15</v>
      </c>
      <c r="G640" s="1" t="s">
        <v>22</v>
      </c>
      <c r="H640">
        <v>50</v>
      </c>
      <c r="I640">
        <v>12</v>
      </c>
      <c r="J640">
        <v>141</v>
      </c>
      <c r="K640" s="1" t="s">
        <v>17</v>
      </c>
      <c r="L640" s="1" t="s">
        <v>18</v>
      </c>
      <c r="M640" s="1" t="s">
        <v>1315</v>
      </c>
      <c r="N640" s="1" t="s">
        <v>1412</v>
      </c>
    </row>
    <row r="641" spans="1:14" x14ac:dyDescent="0.35">
      <c r="A641">
        <v>3216439</v>
      </c>
      <c r="B641" s="1" t="s">
        <v>1255</v>
      </c>
      <c r="C641">
        <v>51163.9</v>
      </c>
      <c r="D641">
        <v>1381</v>
      </c>
      <c r="E641" s="1" t="s">
        <v>1413</v>
      </c>
      <c r="F641" s="1" t="s">
        <v>15</v>
      </c>
      <c r="G641" s="1" t="s">
        <v>22</v>
      </c>
      <c r="H641">
        <v>49</v>
      </c>
      <c r="I641">
        <v>20</v>
      </c>
      <c r="J641">
        <v>14</v>
      </c>
      <c r="K641" s="1" t="s">
        <v>95</v>
      </c>
      <c r="L641" s="1" t="s">
        <v>24</v>
      </c>
      <c r="M641" s="1" t="s">
        <v>1315</v>
      </c>
      <c r="N641" s="1" t="s">
        <v>1414</v>
      </c>
    </row>
    <row r="642" spans="1:14" x14ac:dyDescent="0.35">
      <c r="A642">
        <v>3216425</v>
      </c>
      <c r="B642" s="1" t="s">
        <v>1255</v>
      </c>
      <c r="C642">
        <v>51163.9</v>
      </c>
      <c r="D642">
        <v>1381</v>
      </c>
      <c r="E642" s="1" t="s">
        <v>1415</v>
      </c>
      <c r="F642" s="1" t="s">
        <v>15</v>
      </c>
      <c r="G642" s="1" t="s">
        <v>22</v>
      </c>
      <c r="H642">
        <v>52</v>
      </c>
      <c r="I642">
        <v>18</v>
      </c>
      <c r="J642">
        <v>102</v>
      </c>
      <c r="K642" s="1" t="s">
        <v>23</v>
      </c>
      <c r="L642" s="1" t="s">
        <v>24</v>
      </c>
      <c r="M642" s="1" t="s">
        <v>1315</v>
      </c>
      <c r="N642" s="1" t="s">
        <v>1416</v>
      </c>
    </row>
    <row r="643" spans="1:14" x14ac:dyDescent="0.35">
      <c r="A643">
        <v>3216397</v>
      </c>
      <c r="B643" s="1" t="s">
        <v>1255</v>
      </c>
      <c r="C643">
        <v>51163.9</v>
      </c>
      <c r="D643">
        <v>1381</v>
      </c>
      <c r="E643" s="1" t="s">
        <v>1417</v>
      </c>
      <c r="F643" s="1" t="s">
        <v>15</v>
      </c>
      <c r="G643" s="1" t="s">
        <v>22</v>
      </c>
      <c r="H643">
        <v>55</v>
      </c>
      <c r="I643">
        <v>20</v>
      </c>
      <c r="J643">
        <v>134</v>
      </c>
      <c r="K643" s="1" t="s">
        <v>90</v>
      </c>
      <c r="L643" s="1" t="s">
        <v>24</v>
      </c>
      <c r="M643" s="1" t="s">
        <v>1315</v>
      </c>
      <c r="N643" s="1" t="s">
        <v>1418</v>
      </c>
    </row>
    <row r="644" spans="1:14" x14ac:dyDescent="0.35">
      <c r="A644">
        <v>3216421</v>
      </c>
      <c r="B644" s="1" t="s">
        <v>1255</v>
      </c>
      <c r="C644">
        <v>51163.9</v>
      </c>
      <c r="D644">
        <v>1381</v>
      </c>
      <c r="E644" s="1" t="s">
        <v>1419</v>
      </c>
      <c r="F644" s="1" t="s">
        <v>15</v>
      </c>
      <c r="G644" s="1" t="s">
        <v>22</v>
      </c>
      <c r="H644">
        <v>50</v>
      </c>
      <c r="I644">
        <v>22</v>
      </c>
      <c r="J644">
        <v>64</v>
      </c>
      <c r="K644" s="1" t="s">
        <v>23</v>
      </c>
      <c r="L644" s="1" t="s">
        <v>24</v>
      </c>
      <c r="M644" s="1" t="s">
        <v>1315</v>
      </c>
      <c r="N644" s="1" t="s">
        <v>1420</v>
      </c>
    </row>
    <row r="645" spans="1:14" x14ac:dyDescent="0.35">
      <c r="A645">
        <v>3216438</v>
      </c>
      <c r="B645" s="1" t="s">
        <v>1255</v>
      </c>
      <c r="C645">
        <v>51163.9</v>
      </c>
      <c r="D645">
        <v>1381</v>
      </c>
      <c r="E645" s="1" t="s">
        <v>1421</v>
      </c>
      <c r="F645" s="1" t="s">
        <v>15</v>
      </c>
      <c r="G645" s="1" t="s">
        <v>22</v>
      </c>
      <c r="H645">
        <v>98</v>
      </c>
      <c r="I645">
        <v>24</v>
      </c>
      <c r="J645">
        <v>50</v>
      </c>
      <c r="K645" s="1" t="s">
        <v>23</v>
      </c>
      <c r="L645" s="1" t="s">
        <v>24</v>
      </c>
      <c r="M645" s="1" t="s">
        <v>1315</v>
      </c>
      <c r="N645" s="1" t="s">
        <v>1422</v>
      </c>
    </row>
    <row r="646" spans="1:14" x14ac:dyDescent="0.35">
      <c r="A646">
        <v>3201242</v>
      </c>
      <c r="B646" s="1" t="s">
        <v>1255</v>
      </c>
      <c r="C646">
        <v>51163.9</v>
      </c>
      <c r="D646">
        <v>1381</v>
      </c>
      <c r="E646" s="1" t="s">
        <v>1423</v>
      </c>
      <c r="F646" s="1" t="s">
        <v>71</v>
      </c>
      <c r="G646" s="1" t="s">
        <v>32</v>
      </c>
      <c r="H646">
        <v>54</v>
      </c>
      <c r="I646">
        <v>23</v>
      </c>
      <c r="J646">
        <v>160</v>
      </c>
      <c r="K646" s="1" t="s">
        <v>23</v>
      </c>
      <c r="L646" s="1" t="s">
        <v>24</v>
      </c>
      <c r="M646" s="1" t="s">
        <v>1424</v>
      </c>
      <c r="N646" s="1" t="s">
        <v>1425</v>
      </c>
    </row>
    <row r="647" spans="1:14" x14ac:dyDescent="0.35">
      <c r="A647">
        <v>3201130</v>
      </c>
      <c r="B647" s="1" t="s">
        <v>1255</v>
      </c>
      <c r="C647">
        <v>51163.9</v>
      </c>
      <c r="D647">
        <v>1381</v>
      </c>
      <c r="E647" s="1" t="s">
        <v>1426</v>
      </c>
      <c r="F647" s="1" t="s">
        <v>71</v>
      </c>
      <c r="G647" s="1" t="s">
        <v>32</v>
      </c>
      <c r="H647">
        <v>57</v>
      </c>
      <c r="I647">
        <v>20</v>
      </c>
      <c r="J647">
        <v>165</v>
      </c>
      <c r="K647" s="1" t="s">
        <v>23</v>
      </c>
      <c r="L647" s="1" t="s">
        <v>24</v>
      </c>
      <c r="M647" s="1" t="s">
        <v>1424</v>
      </c>
      <c r="N647" s="1" t="s">
        <v>1427</v>
      </c>
    </row>
    <row r="648" spans="1:14" x14ac:dyDescent="0.35">
      <c r="A648">
        <v>3201239</v>
      </c>
      <c r="B648" s="1" t="s">
        <v>1255</v>
      </c>
      <c r="C648">
        <v>51163.9</v>
      </c>
      <c r="D648">
        <v>1381</v>
      </c>
      <c r="E648" s="1" t="s">
        <v>1428</v>
      </c>
      <c r="F648" s="1" t="s">
        <v>71</v>
      </c>
      <c r="G648" s="1" t="s">
        <v>32</v>
      </c>
      <c r="H648">
        <v>61</v>
      </c>
      <c r="I648">
        <v>20</v>
      </c>
      <c r="J648">
        <v>153</v>
      </c>
      <c r="K648" s="1" t="s">
        <v>90</v>
      </c>
      <c r="L648" s="1" t="s">
        <v>24</v>
      </c>
      <c r="M648" s="1" t="s">
        <v>1424</v>
      </c>
      <c r="N648" s="1" t="s">
        <v>1429</v>
      </c>
    </row>
    <row r="649" spans="1:14" x14ac:dyDescent="0.35">
      <c r="A649">
        <v>3201024</v>
      </c>
      <c r="B649" s="1" t="s">
        <v>1255</v>
      </c>
      <c r="C649">
        <v>51163.9</v>
      </c>
      <c r="D649">
        <v>1381</v>
      </c>
      <c r="E649" s="1" t="s">
        <v>1430</v>
      </c>
      <c r="F649" s="1" t="s">
        <v>1431</v>
      </c>
      <c r="G649" s="1" t="s">
        <v>130</v>
      </c>
      <c r="H649">
        <v>175</v>
      </c>
      <c r="I649">
        <v>43</v>
      </c>
      <c r="J649">
        <v>475</v>
      </c>
      <c r="K649" s="1" t="s">
        <v>339</v>
      </c>
      <c r="L649" s="1" t="s">
        <v>120</v>
      </c>
      <c r="M649" s="1" t="s">
        <v>1424</v>
      </c>
      <c r="N649" s="1" t="s">
        <v>1432</v>
      </c>
    </row>
    <row r="650" spans="1:14" x14ac:dyDescent="0.35">
      <c r="A650">
        <v>3201050</v>
      </c>
      <c r="B650" s="1" t="s">
        <v>1255</v>
      </c>
      <c r="C650">
        <v>51163.9</v>
      </c>
      <c r="D650">
        <v>1381</v>
      </c>
      <c r="E650" s="1" t="s">
        <v>1433</v>
      </c>
      <c r="F650" s="1" t="s">
        <v>15</v>
      </c>
      <c r="G650" s="1" t="s">
        <v>16</v>
      </c>
      <c r="H650">
        <v>421</v>
      </c>
      <c r="I650">
        <v>81</v>
      </c>
      <c r="J650">
        <v>813</v>
      </c>
      <c r="K650" s="1" t="s">
        <v>17</v>
      </c>
      <c r="L650" s="1" t="s">
        <v>18</v>
      </c>
      <c r="M650" s="1" t="s">
        <v>1424</v>
      </c>
      <c r="N650" s="1" t="s">
        <v>1434</v>
      </c>
    </row>
    <row r="651" spans="1:14" x14ac:dyDescent="0.35">
      <c r="A651">
        <v>3201258</v>
      </c>
      <c r="B651" s="1" t="s">
        <v>1255</v>
      </c>
      <c r="C651">
        <v>51163.9</v>
      </c>
      <c r="D651">
        <v>1381</v>
      </c>
      <c r="E651" s="1" t="s">
        <v>1435</v>
      </c>
      <c r="F651" s="1" t="s">
        <v>15</v>
      </c>
      <c r="G651" s="1" t="s">
        <v>16</v>
      </c>
      <c r="H651">
        <v>210</v>
      </c>
      <c r="I651">
        <v>30</v>
      </c>
      <c r="K651" s="1" t="s">
        <v>90</v>
      </c>
      <c r="L651" s="1" t="s">
        <v>24</v>
      </c>
      <c r="M651" s="1" t="s">
        <v>1424</v>
      </c>
      <c r="N651" s="1" t="s">
        <v>1436</v>
      </c>
    </row>
    <row r="652" spans="1:14" x14ac:dyDescent="0.35">
      <c r="A652">
        <v>3201232</v>
      </c>
      <c r="B652" s="1" t="s">
        <v>1255</v>
      </c>
      <c r="C652">
        <v>51163.9</v>
      </c>
      <c r="D652">
        <v>1381</v>
      </c>
      <c r="E652" s="1" t="s">
        <v>1437</v>
      </c>
      <c r="F652" s="1" t="s">
        <v>15</v>
      </c>
      <c r="G652" s="1" t="s">
        <v>16</v>
      </c>
      <c r="H652">
        <v>299</v>
      </c>
      <c r="I652">
        <v>38</v>
      </c>
      <c r="J652">
        <v>213</v>
      </c>
      <c r="K652" s="1" t="s">
        <v>17</v>
      </c>
      <c r="L652" s="1" t="s">
        <v>18</v>
      </c>
      <c r="M652" s="1" t="s">
        <v>1424</v>
      </c>
      <c r="N652" s="1" t="s">
        <v>1438</v>
      </c>
    </row>
    <row r="653" spans="1:14" x14ac:dyDescent="0.35">
      <c r="A653">
        <v>3201230</v>
      </c>
      <c r="B653" s="1" t="s">
        <v>1255</v>
      </c>
      <c r="C653">
        <v>51163.9</v>
      </c>
      <c r="D653">
        <v>1381</v>
      </c>
      <c r="E653" s="1" t="s">
        <v>1439</v>
      </c>
      <c r="F653" s="1" t="s">
        <v>15</v>
      </c>
      <c r="G653" s="1" t="s">
        <v>16</v>
      </c>
      <c r="H653">
        <v>225</v>
      </c>
      <c r="I653">
        <v>46</v>
      </c>
      <c r="J653">
        <v>863</v>
      </c>
      <c r="K653" s="1" t="s">
        <v>23</v>
      </c>
      <c r="L653" s="1" t="s">
        <v>24</v>
      </c>
      <c r="M653" s="1" t="s">
        <v>1424</v>
      </c>
      <c r="N653" s="1" t="s">
        <v>1440</v>
      </c>
    </row>
    <row r="654" spans="1:14" x14ac:dyDescent="0.35">
      <c r="A654">
        <v>3201247</v>
      </c>
      <c r="B654" s="1" t="s">
        <v>1255</v>
      </c>
      <c r="C654">
        <v>51163.9</v>
      </c>
      <c r="D654">
        <v>1381</v>
      </c>
      <c r="E654" s="1" t="s">
        <v>1441</v>
      </c>
      <c r="F654" s="1" t="s">
        <v>15</v>
      </c>
      <c r="G654" s="1" t="s">
        <v>16</v>
      </c>
      <c r="H654">
        <v>200</v>
      </c>
      <c r="I654">
        <v>83</v>
      </c>
      <c r="J654">
        <v>382</v>
      </c>
      <c r="K654" s="1" t="s">
        <v>90</v>
      </c>
      <c r="L654" s="1" t="s">
        <v>24</v>
      </c>
      <c r="M654" s="1" t="s">
        <v>1424</v>
      </c>
      <c r="N654" s="1" t="s">
        <v>1442</v>
      </c>
    </row>
    <row r="655" spans="1:14" x14ac:dyDescent="0.35">
      <c r="A655">
        <v>3201083</v>
      </c>
      <c r="B655" s="1" t="s">
        <v>1255</v>
      </c>
      <c r="C655">
        <v>51163.9</v>
      </c>
      <c r="D655">
        <v>1381</v>
      </c>
      <c r="E655" s="1" t="s">
        <v>1443</v>
      </c>
      <c r="F655" s="1" t="s">
        <v>15</v>
      </c>
      <c r="G655" s="1" t="s">
        <v>16</v>
      </c>
      <c r="H655">
        <v>380</v>
      </c>
      <c r="I655">
        <v>69</v>
      </c>
      <c r="J655">
        <v>733</v>
      </c>
      <c r="K655" s="1" t="s">
        <v>17</v>
      </c>
      <c r="L655" s="1" t="s">
        <v>18</v>
      </c>
      <c r="M655" s="1" t="s">
        <v>1424</v>
      </c>
      <c r="N655" s="1" t="s">
        <v>1444</v>
      </c>
    </row>
    <row r="656" spans="1:14" x14ac:dyDescent="0.35">
      <c r="A656">
        <v>3201046</v>
      </c>
      <c r="B656" s="1" t="s">
        <v>1255</v>
      </c>
      <c r="C656">
        <v>51163.9</v>
      </c>
      <c r="D656">
        <v>1381</v>
      </c>
      <c r="E656" s="1" t="s">
        <v>1445</v>
      </c>
      <c r="F656" s="1" t="s">
        <v>15</v>
      </c>
      <c r="G656" s="1" t="s">
        <v>16</v>
      </c>
      <c r="H656">
        <v>515</v>
      </c>
      <c r="I656">
        <v>103</v>
      </c>
      <c r="J656">
        <v>795</v>
      </c>
      <c r="K656" s="1" t="s">
        <v>17</v>
      </c>
      <c r="L656" s="1" t="s">
        <v>18</v>
      </c>
      <c r="M656" s="1" t="s">
        <v>1424</v>
      </c>
      <c r="N656" s="1" t="s">
        <v>1446</v>
      </c>
    </row>
    <row r="657" spans="1:14" x14ac:dyDescent="0.35">
      <c r="A657">
        <v>3201271</v>
      </c>
      <c r="B657" s="1" t="s">
        <v>1255</v>
      </c>
      <c r="C657">
        <v>51163.9</v>
      </c>
      <c r="D657">
        <v>1381</v>
      </c>
      <c r="E657" s="1" t="s">
        <v>1447</v>
      </c>
      <c r="F657" s="1" t="s">
        <v>15</v>
      </c>
      <c r="G657" s="1" t="s">
        <v>32</v>
      </c>
      <c r="H657">
        <v>126</v>
      </c>
      <c r="I657">
        <v>29</v>
      </c>
      <c r="K657" s="1" t="s">
        <v>90</v>
      </c>
      <c r="L657" s="1" t="s">
        <v>24</v>
      </c>
      <c r="M657" s="1" t="s">
        <v>1424</v>
      </c>
      <c r="N657" s="1" t="s">
        <v>1448</v>
      </c>
    </row>
    <row r="658" spans="1:14" x14ac:dyDescent="0.35">
      <c r="A658">
        <v>3201233</v>
      </c>
      <c r="B658" s="1" t="s">
        <v>1255</v>
      </c>
      <c r="C658">
        <v>51163.9</v>
      </c>
      <c r="D658">
        <v>1381</v>
      </c>
      <c r="E658" s="1" t="s">
        <v>1449</v>
      </c>
      <c r="F658" s="1" t="s">
        <v>15</v>
      </c>
      <c r="G658" s="1" t="s">
        <v>32</v>
      </c>
      <c r="H658">
        <v>155</v>
      </c>
      <c r="I658">
        <v>32</v>
      </c>
      <c r="J658">
        <v>333</v>
      </c>
      <c r="K658" s="1" t="s">
        <v>84</v>
      </c>
      <c r="L658" s="1" t="s">
        <v>24</v>
      </c>
      <c r="M658" s="1" t="s">
        <v>1424</v>
      </c>
      <c r="N658" s="1" t="s">
        <v>1450</v>
      </c>
    </row>
    <row r="659" spans="1:14" x14ac:dyDescent="0.35">
      <c r="A659">
        <v>3201259</v>
      </c>
      <c r="B659" s="1" t="s">
        <v>1255</v>
      </c>
      <c r="C659">
        <v>51163.9</v>
      </c>
      <c r="D659">
        <v>1381</v>
      </c>
      <c r="E659" s="1" t="s">
        <v>1451</v>
      </c>
      <c r="F659" s="1" t="s">
        <v>15</v>
      </c>
      <c r="G659" s="1" t="s">
        <v>32</v>
      </c>
      <c r="H659">
        <v>121</v>
      </c>
      <c r="I659">
        <v>30</v>
      </c>
      <c r="J659">
        <v>68</v>
      </c>
      <c r="K659" s="1" t="s">
        <v>23</v>
      </c>
      <c r="L659" s="1" t="s">
        <v>24</v>
      </c>
      <c r="M659" s="1" t="s">
        <v>1424</v>
      </c>
      <c r="N659" s="1" t="s">
        <v>1452</v>
      </c>
    </row>
    <row r="660" spans="1:14" x14ac:dyDescent="0.35">
      <c r="A660">
        <v>3201150</v>
      </c>
      <c r="B660" s="1" t="s">
        <v>1255</v>
      </c>
      <c r="C660">
        <v>51163.9</v>
      </c>
      <c r="D660">
        <v>1381</v>
      </c>
      <c r="E660" s="1" t="s">
        <v>1453</v>
      </c>
      <c r="F660" s="1" t="s">
        <v>15</v>
      </c>
      <c r="G660" s="1" t="s">
        <v>32</v>
      </c>
      <c r="H660">
        <v>105</v>
      </c>
      <c r="I660">
        <v>43</v>
      </c>
      <c r="J660">
        <v>344</v>
      </c>
      <c r="K660" s="1" t="s">
        <v>23</v>
      </c>
      <c r="L660" s="1" t="s">
        <v>24</v>
      </c>
      <c r="M660" s="1" t="s">
        <v>1424</v>
      </c>
      <c r="N660" s="1" t="s">
        <v>1454</v>
      </c>
    </row>
    <row r="661" spans="1:14" x14ac:dyDescent="0.35">
      <c r="A661">
        <v>3201244</v>
      </c>
      <c r="B661" s="1" t="s">
        <v>1255</v>
      </c>
      <c r="C661">
        <v>51163.9</v>
      </c>
      <c r="D661">
        <v>1381</v>
      </c>
      <c r="E661" s="1" t="s">
        <v>1455</v>
      </c>
      <c r="F661" s="1" t="s">
        <v>15</v>
      </c>
      <c r="G661" s="1" t="s">
        <v>32</v>
      </c>
      <c r="H661">
        <v>148</v>
      </c>
      <c r="I661">
        <v>71</v>
      </c>
      <c r="J661">
        <v>220</v>
      </c>
      <c r="K661" s="1" t="s">
        <v>90</v>
      </c>
      <c r="L661" s="1" t="s">
        <v>24</v>
      </c>
      <c r="M661" s="1" t="s">
        <v>1424</v>
      </c>
      <c r="N661" s="1" t="s">
        <v>1456</v>
      </c>
    </row>
    <row r="662" spans="1:14" x14ac:dyDescent="0.35">
      <c r="A662">
        <v>3201231</v>
      </c>
      <c r="B662" s="1" t="s">
        <v>1255</v>
      </c>
      <c r="C662">
        <v>51163.9</v>
      </c>
      <c r="D662">
        <v>1381</v>
      </c>
      <c r="E662" s="1" t="s">
        <v>1457</v>
      </c>
      <c r="F662" s="1" t="s">
        <v>15</v>
      </c>
      <c r="G662" s="1" t="s">
        <v>32</v>
      </c>
      <c r="H662">
        <v>108</v>
      </c>
      <c r="I662">
        <v>42</v>
      </c>
      <c r="J662">
        <v>282</v>
      </c>
      <c r="K662" s="1" t="s">
        <v>90</v>
      </c>
      <c r="L662" s="1" t="s">
        <v>24</v>
      </c>
      <c r="M662" s="1" t="s">
        <v>1424</v>
      </c>
      <c r="N662" s="1" t="s">
        <v>1458</v>
      </c>
    </row>
    <row r="663" spans="1:14" x14ac:dyDescent="0.35">
      <c r="A663">
        <v>3271139</v>
      </c>
      <c r="B663" s="1" t="s">
        <v>1255</v>
      </c>
      <c r="C663">
        <v>51163.9</v>
      </c>
      <c r="D663">
        <v>1381</v>
      </c>
      <c r="E663" s="1" t="s">
        <v>1459</v>
      </c>
      <c r="F663" s="1" t="s">
        <v>15</v>
      </c>
      <c r="G663" s="1" t="s">
        <v>32</v>
      </c>
      <c r="H663">
        <v>110</v>
      </c>
      <c r="I663">
        <v>49</v>
      </c>
      <c r="J663">
        <v>173</v>
      </c>
      <c r="K663" s="1" t="s">
        <v>90</v>
      </c>
      <c r="L663" s="1" t="s">
        <v>24</v>
      </c>
      <c r="M663" s="1" t="s">
        <v>1424</v>
      </c>
      <c r="N663" s="1" t="s">
        <v>1460</v>
      </c>
    </row>
    <row r="664" spans="1:14" x14ac:dyDescent="0.35">
      <c r="A664">
        <v>3201115</v>
      </c>
      <c r="B664" s="1" t="s">
        <v>1255</v>
      </c>
      <c r="C664">
        <v>51163.9</v>
      </c>
      <c r="D664">
        <v>1381</v>
      </c>
      <c r="E664" s="1" t="s">
        <v>1461</v>
      </c>
      <c r="F664" s="1" t="s">
        <v>15</v>
      </c>
      <c r="G664" s="1" t="s">
        <v>32</v>
      </c>
      <c r="H664">
        <v>120</v>
      </c>
      <c r="I664">
        <v>70</v>
      </c>
      <c r="J664">
        <v>155</v>
      </c>
      <c r="K664" s="1" t="s">
        <v>23</v>
      </c>
      <c r="L664" s="1" t="s">
        <v>24</v>
      </c>
      <c r="M664" s="1" t="s">
        <v>1424</v>
      </c>
      <c r="N664" s="1" t="s">
        <v>1462</v>
      </c>
    </row>
    <row r="665" spans="1:14" x14ac:dyDescent="0.35">
      <c r="A665">
        <v>3201250</v>
      </c>
      <c r="B665" s="1" t="s">
        <v>1255</v>
      </c>
      <c r="C665">
        <v>51163.9</v>
      </c>
      <c r="D665">
        <v>1381</v>
      </c>
      <c r="E665" s="1" t="s">
        <v>1463</v>
      </c>
      <c r="F665" s="1" t="s">
        <v>15</v>
      </c>
      <c r="G665" s="1" t="s">
        <v>32</v>
      </c>
      <c r="H665">
        <v>115</v>
      </c>
      <c r="I665">
        <v>23</v>
      </c>
      <c r="J665">
        <v>87</v>
      </c>
      <c r="K665" s="1" t="s">
        <v>90</v>
      </c>
      <c r="L665" s="1" t="s">
        <v>24</v>
      </c>
      <c r="M665" s="1" t="s">
        <v>1424</v>
      </c>
      <c r="N665" s="1" t="s">
        <v>1464</v>
      </c>
    </row>
    <row r="666" spans="1:14" x14ac:dyDescent="0.35">
      <c r="A666">
        <v>3201272</v>
      </c>
      <c r="B666" s="1" t="s">
        <v>1255</v>
      </c>
      <c r="C666">
        <v>51163.9</v>
      </c>
      <c r="D666">
        <v>1381</v>
      </c>
      <c r="E666" s="1" t="s">
        <v>1465</v>
      </c>
      <c r="F666" s="1" t="s">
        <v>15</v>
      </c>
      <c r="G666" s="1" t="s">
        <v>32</v>
      </c>
      <c r="H666">
        <v>110</v>
      </c>
      <c r="I666">
        <v>36</v>
      </c>
      <c r="K666" s="1" t="s">
        <v>23</v>
      </c>
      <c r="L666" s="1" t="s">
        <v>24</v>
      </c>
      <c r="M666" s="1" t="s">
        <v>1424</v>
      </c>
      <c r="N666" s="1" t="s">
        <v>1466</v>
      </c>
    </row>
    <row r="667" spans="1:14" x14ac:dyDescent="0.35">
      <c r="A667">
        <v>3201252</v>
      </c>
      <c r="B667" s="1" t="s">
        <v>1255</v>
      </c>
      <c r="C667">
        <v>51163.9</v>
      </c>
      <c r="D667">
        <v>1381</v>
      </c>
      <c r="E667" s="1" t="s">
        <v>1467</v>
      </c>
      <c r="F667" s="1" t="s">
        <v>15</v>
      </c>
      <c r="G667" s="1" t="s">
        <v>32</v>
      </c>
      <c r="H667">
        <v>130</v>
      </c>
      <c r="I667">
        <v>35</v>
      </c>
      <c r="J667">
        <v>96</v>
      </c>
      <c r="K667" s="1" t="s">
        <v>90</v>
      </c>
      <c r="L667" s="1" t="s">
        <v>24</v>
      </c>
      <c r="M667" s="1" t="s">
        <v>1424</v>
      </c>
      <c r="N667" s="1" t="s">
        <v>1468</v>
      </c>
    </row>
    <row r="668" spans="1:14" x14ac:dyDescent="0.35">
      <c r="A668">
        <v>3201273</v>
      </c>
      <c r="B668" s="1" t="s">
        <v>1255</v>
      </c>
      <c r="C668">
        <v>51163.9</v>
      </c>
      <c r="D668">
        <v>1381</v>
      </c>
      <c r="E668" s="1" t="s">
        <v>1469</v>
      </c>
      <c r="F668" s="1" t="s">
        <v>15</v>
      </c>
      <c r="G668" s="1" t="s">
        <v>32</v>
      </c>
      <c r="H668">
        <v>100</v>
      </c>
      <c r="I668">
        <v>39</v>
      </c>
      <c r="K668" s="1" t="s">
        <v>23</v>
      </c>
      <c r="L668" s="1" t="s">
        <v>24</v>
      </c>
      <c r="M668" s="1" t="s">
        <v>1424</v>
      </c>
      <c r="N668" s="1" t="s">
        <v>1470</v>
      </c>
    </row>
    <row r="669" spans="1:14" x14ac:dyDescent="0.35">
      <c r="A669">
        <v>3201238</v>
      </c>
      <c r="B669" s="1" t="s">
        <v>1255</v>
      </c>
      <c r="C669">
        <v>51163.9</v>
      </c>
      <c r="D669">
        <v>1381</v>
      </c>
      <c r="E669" s="1" t="s">
        <v>1471</v>
      </c>
      <c r="F669" s="1" t="s">
        <v>15</v>
      </c>
      <c r="G669" s="1" t="s">
        <v>32</v>
      </c>
      <c r="H669">
        <v>193</v>
      </c>
      <c r="I669">
        <v>46</v>
      </c>
      <c r="J669">
        <v>433</v>
      </c>
      <c r="K669" s="1" t="s">
        <v>90</v>
      </c>
      <c r="L669" s="1" t="s">
        <v>24</v>
      </c>
      <c r="M669" s="1" t="s">
        <v>1424</v>
      </c>
      <c r="N669" s="1" t="s">
        <v>1472</v>
      </c>
    </row>
    <row r="670" spans="1:14" x14ac:dyDescent="0.35">
      <c r="A670">
        <v>3201094</v>
      </c>
      <c r="B670" s="1" t="s">
        <v>1255</v>
      </c>
      <c r="C670">
        <v>51163.9</v>
      </c>
      <c r="D670">
        <v>1381</v>
      </c>
      <c r="E670" s="1" t="s">
        <v>1401</v>
      </c>
      <c r="F670" s="1" t="s">
        <v>15</v>
      </c>
      <c r="G670" s="1" t="s">
        <v>32</v>
      </c>
      <c r="H670">
        <v>129</v>
      </c>
      <c r="I670">
        <v>22</v>
      </c>
      <c r="J670">
        <v>133</v>
      </c>
      <c r="K670" s="1" t="s">
        <v>23</v>
      </c>
      <c r="L670" s="1" t="s">
        <v>24</v>
      </c>
      <c r="M670" s="1" t="s">
        <v>1424</v>
      </c>
      <c r="N670" s="1" t="s">
        <v>1473</v>
      </c>
    </row>
    <row r="671" spans="1:14" x14ac:dyDescent="0.35">
      <c r="A671">
        <v>3201207</v>
      </c>
      <c r="B671" s="1" t="s">
        <v>1255</v>
      </c>
      <c r="C671">
        <v>51163.9</v>
      </c>
      <c r="D671">
        <v>1381</v>
      </c>
      <c r="E671" s="1" t="s">
        <v>1474</v>
      </c>
      <c r="F671" s="1" t="s">
        <v>15</v>
      </c>
      <c r="G671" s="1" t="s">
        <v>32</v>
      </c>
      <c r="H671">
        <v>200</v>
      </c>
      <c r="I671">
        <v>35</v>
      </c>
      <c r="J671">
        <v>372</v>
      </c>
      <c r="K671" s="1" t="s">
        <v>23</v>
      </c>
      <c r="L671" s="1" t="s">
        <v>24</v>
      </c>
      <c r="M671" s="1" t="s">
        <v>1424</v>
      </c>
      <c r="N671" s="1" t="s">
        <v>1475</v>
      </c>
    </row>
    <row r="672" spans="1:14" x14ac:dyDescent="0.35">
      <c r="A672">
        <v>3201249</v>
      </c>
      <c r="B672" s="1" t="s">
        <v>1255</v>
      </c>
      <c r="C672">
        <v>51163.9</v>
      </c>
      <c r="D672">
        <v>1381</v>
      </c>
      <c r="E672" s="1" t="s">
        <v>1476</v>
      </c>
      <c r="F672" s="1" t="s">
        <v>15</v>
      </c>
      <c r="G672" s="1" t="s">
        <v>32</v>
      </c>
      <c r="H672">
        <v>100</v>
      </c>
      <c r="I672">
        <v>27</v>
      </c>
      <c r="J672">
        <v>62</v>
      </c>
      <c r="K672" s="1" t="s">
        <v>23</v>
      </c>
      <c r="L672" s="1" t="s">
        <v>24</v>
      </c>
      <c r="M672" s="1" t="s">
        <v>1424</v>
      </c>
      <c r="N672" s="1" t="s">
        <v>1477</v>
      </c>
    </row>
    <row r="673" spans="1:14" x14ac:dyDescent="0.35">
      <c r="A673">
        <v>3201152</v>
      </c>
      <c r="B673" s="1" t="s">
        <v>1255</v>
      </c>
      <c r="C673">
        <v>51163.9</v>
      </c>
      <c r="D673">
        <v>1381</v>
      </c>
      <c r="E673" s="1" t="s">
        <v>1478</v>
      </c>
      <c r="F673" s="1" t="s">
        <v>15</v>
      </c>
      <c r="G673" s="1" t="s">
        <v>32</v>
      </c>
      <c r="H673">
        <v>107</v>
      </c>
      <c r="I673">
        <v>37</v>
      </c>
      <c r="J673">
        <v>165</v>
      </c>
      <c r="K673" s="1" t="s">
        <v>23</v>
      </c>
      <c r="L673" s="1" t="s">
        <v>24</v>
      </c>
      <c r="M673" s="1" t="s">
        <v>1424</v>
      </c>
      <c r="N673" s="1" t="s">
        <v>1479</v>
      </c>
    </row>
    <row r="674" spans="1:14" x14ac:dyDescent="0.35">
      <c r="A674">
        <v>3201229</v>
      </c>
      <c r="B674" s="1" t="s">
        <v>1255</v>
      </c>
      <c r="C674">
        <v>51163.9</v>
      </c>
      <c r="D674">
        <v>1381</v>
      </c>
      <c r="E674" s="1" t="s">
        <v>1480</v>
      </c>
      <c r="F674" s="1" t="s">
        <v>15</v>
      </c>
      <c r="G674" s="1" t="s">
        <v>32</v>
      </c>
      <c r="H674">
        <v>115</v>
      </c>
      <c r="I674">
        <v>28</v>
      </c>
      <c r="J674">
        <v>249</v>
      </c>
      <c r="K674" s="1" t="s">
        <v>23</v>
      </c>
      <c r="L674" s="1" t="s">
        <v>24</v>
      </c>
      <c r="M674" s="1" t="s">
        <v>1424</v>
      </c>
      <c r="N674" s="1" t="s">
        <v>1481</v>
      </c>
    </row>
    <row r="675" spans="1:14" x14ac:dyDescent="0.35">
      <c r="A675">
        <v>3201245</v>
      </c>
      <c r="B675" s="1" t="s">
        <v>1255</v>
      </c>
      <c r="C675">
        <v>51163.9</v>
      </c>
      <c r="D675">
        <v>1381</v>
      </c>
      <c r="E675" s="1" t="s">
        <v>1482</v>
      </c>
      <c r="F675" s="1" t="s">
        <v>15</v>
      </c>
      <c r="G675" s="1" t="s">
        <v>32</v>
      </c>
      <c r="H675">
        <v>128</v>
      </c>
      <c r="I675">
        <v>129</v>
      </c>
      <c r="J675">
        <v>121</v>
      </c>
      <c r="K675" s="1" t="s">
        <v>23</v>
      </c>
      <c r="L675" s="1" t="s">
        <v>24</v>
      </c>
      <c r="M675" s="1" t="s">
        <v>1424</v>
      </c>
      <c r="N675" s="1" t="s">
        <v>1483</v>
      </c>
    </row>
    <row r="676" spans="1:14" x14ac:dyDescent="0.35">
      <c r="A676">
        <v>3271035</v>
      </c>
      <c r="B676" s="1" t="s">
        <v>1255</v>
      </c>
      <c r="C676">
        <v>51163.9</v>
      </c>
      <c r="D676">
        <v>1381</v>
      </c>
      <c r="E676" s="1" t="s">
        <v>1484</v>
      </c>
      <c r="F676" s="1" t="s">
        <v>15</v>
      </c>
      <c r="G676" s="1" t="s">
        <v>32</v>
      </c>
      <c r="H676">
        <v>143</v>
      </c>
      <c r="I676">
        <v>32</v>
      </c>
      <c r="J676">
        <v>327</v>
      </c>
      <c r="K676" s="1" t="s">
        <v>974</v>
      </c>
      <c r="L676" s="1" t="s">
        <v>24</v>
      </c>
      <c r="M676" s="1" t="s">
        <v>1424</v>
      </c>
      <c r="N676" s="1" t="s">
        <v>1485</v>
      </c>
    </row>
    <row r="677" spans="1:14" x14ac:dyDescent="0.35">
      <c r="A677">
        <v>3207059</v>
      </c>
      <c r="B677" s="1" t="s">
        <v>1255</v>
      </c>
      <c r="C677">
        <v>51163.9</v>
      </c>
      <c r="D677">
        <v>1381</v>
      </c>
      <c r="E677" s="1" t="s">
        <v>1486</v>
      </c>
      <c r="F677" s="1" t="s">
        <v>889</v>
      </c>
      <c r="G677" s="1" t="s">
        <v>32</v>
      </c>
      <c r="H677">
        <v>44</v>
      </c>
      <c r="I677">
        <v>22</v>
      </c>
      <c r="J677">
        <v>67</v>
      </c>
      <c r="K677" s="1" t="s">
        <v>23</v>
      </c>
      <c r="L677" s="1" t="s">
        <v>24</v>
      </c>
      <c r="M677" s="1" t="s">
        <v>1487</v>
      </c>
      <c r="N677" s="1" t="s">
        <v>1488</v>
      </c>
    </row>
    <row r="678" spans="1:14" x14ac:dyDescent="0.35">
      <c r="A678">
        <v>3207012</v>
      </c>
      <c r="B678" s="1" t="s">
        <v>1255</v>
      </c>
      <c r="C678">
        <v>51163.9</v>
      </c>
      <c r="D678">
        <v>1381</v>
      </c>
      <c r="E678" s="1" t="s">
        <v>1489</v>
      </c>
      <c r="F678" s="1" t="s">
        <v>15</v>
      </c>
      <c r="G678" s="1" t="s">
        <v>32</v>
      </c>
      <c r="H678">
        <v>290</v>
      </c>
      <c r="I678">
        <v>73</v>
      </c>
      <c r="J678">
        <v>1039</v>
      </c>
      <c r="K678" s="1" t="s">
        <v>17</v>
      </c>
      <c r="L678" s="1" t="s">
        <v>18</v>
      </c>
      <c r="M678" s="1" t="s">
        <v>1487</v>
      </c>
      <c r="N678" s="1" t="s">
        <v>1490</v>
      </c>
    </row>
    <row r="679" spans="1:14" x14ac:dyDescent="0.35">
      <c r="A679">
        <v>3207057</v>
      </c>
      <c r="B679" s="1" t="s">
        <v>1255</v>
      </c>
      <c r="C679">
        <v>51163.9</v>
      </c>
      <c r="D679">
        <v>1381</v>
      </c>
      <c r="E679" s="1" t="s">
        <v>1491</v>
      </c>
      <c r="F679" s="1" t="s">
        <v>15</v>
      </c>
      <c r="G679" s="1" t="s">
        <v>32</v>
      </c>
      <c r="H679">
        <v>216</v>
      </c>
      <c r="I679">
        <v>35</v>
      </c>
      <c r="J679">
        <v>237</v>
      </c>
      <c r="K679" s="1" t="s">
        <v>23</v>
      </c>
      <c r="L679" s="1" t="s">
        <v>24</v>
      </c>
      <c r="M679" s="1" t="s">
        <v>1487</v>
      </c>
      <c r="N679" s="1" t="s">
        <v>1492</v>
      </c>
    </row>
    <row r="680" spans="1:14" x14ac:dyDescent="0.35">
      <c r="A680">
        <v>3207060</v>
      </c>
      <c r="B680" s="1" t="s">
        <v>1255</v>
      </c>
      <c r="C680">
        <v>51163.9</v>
      </c>
      <c r="D680">
        <v>1381</v>
      </c>
      <c r="E680" s="1" t="s">
        <v>1493</v>
      </c>
      <c r="F680" s="1" t="s">
        <v>15</v>
      </c>
      <c r="G680" s="1" t="s">
        <v>22</v>
      </c>
      <c r="H680">
        <v>83</v>
      </c>
      <c r="I680">
        <v>16</v>
      </c>
      <c r="J680">
        <v>90</v>
      </c>
      <c r="K680" s="1" t="s">
        <v>17</v>
      </c>
      <c r="L680" s="1" t="s">
        <v>18</v>
      </c>
      <c r="M680" s="1" t="s">
        <v>1487</v>
      </c>
      <c r="N680" s="1" t="s">
        <v>1494</v>
      </c>
    </row>
    <row r="681" spans="1:14" x14ac:dyDescent="0.35">
      <c r="A681">
        <v>3207045</v>
      </c>
      <c r="B681" s="1" t="s">
        <v>1255</v>
      </c>
      <c r="C681">
        <v>51163.9</v>
      </c>
      <c r="D681">
        <v>1381</v>
      </c>
      <c r="E681" s="1" t="s">
        <v>1495</v>
      </c>
      <c r="F681" s="1" t="s">
        <v>15</v>
      </c>
      <c r="G681" s="1" t="s">
        <v>22</v>
      </c>
      <c r="H681">
        <v>78</v>
      </c>
      <c r="I681">
        <v>26</v>
      </c>
      <c r="J681">
        <v>30</v>
      </c>
      <c r="K681" s="1" t="s">
        <v>84</v>
      </c>
      <c r="L681" s="1" t="s">
        <v>24</v>
      </c>
      <c r="M681" s="1" t="s">
        <v>1487</v>
      </c>
      <c r="N681" s="1" t="s">
        <v>1496</v>
      </c>
    </row>
    <row r="682" spans="1:14" x14ac:dyDescent="0.35">
      <c r="A682">
        <v>3207056</v>
      </c>
      <c r="B682" s="1" t="s">
        <v>1255</v>
      </c>
      <c r="C682">
        <v>51163.9</v>
      </c>
      <c r="D682">
        <v>1381</v>
      </c>
      <c r="E682" s="1" t="s">
        <v>1497</v>
      </c>
      <c r="F682" s="1" t="s">
        <v>15</v>
      </c>
      <c r="G682" s="1" t="s">
        <v>22</v>
      </c>
      <c r="H682">
        <v>92</v>
      </c>
      <c r="I682">
        <v>17</v>
      </c>
      <c r="J682">
        <v>80</v>
      </c>
      <c r="K682" s="1" t="s">
        <v>84</v>
      </c>
      <c r="L682" s="1" t="s">
        <v>24</v>
      </c>
      <c r="M682" s="1" t="s">
        <v>1487</v>
      </c>
      <c r="N682" s="1" t="s">
        <v>1498</v>
      </c>
    </row>
    <row r="683" spans="1:14" x14ac:dyDescent="0.35">
      <c r="A683">
        <v>3203015</v>
      </c>
      <c r="B683" s="1" t="s">
        <v>1255</v>
      </c>
      <c r="C683">
        <v>51163.9</v>
      </c>
      <c r="D683">
        <v>1381</v>
      </c>
      <c r="E683" s="1" t="s">
        <v>1499</v>
      </c>
      <c r="F683" s="1" t="s">
        <v>15</v>
      </c>
      <c r="G683" s="1" t="s">
        <v>16</v>
      </c>
      <c r="H683">
        <v>467</v>
      </c>
      <c r="I683">
        <v>41</v>
      </c>
      <c r="J683">
        <v>1431</v>
      </c>
      <c r="K683" s="1" t="s">
        <v>17</v>
      </c>
      <c r="L683" s="1" t="s">
        <v>18</v>
      </c>
      <c r="M683" s="1" t="s">
        <v>1500</v>
      </c>
      <c r="N683" s="1" t="s">
        <v>1501</v>
      </c>
    </row>
    <row r="684" spans="1:14" x14ac:dyDescent="0.35">
      <c r="A684">
        <v>3203038</v>
      </c>
      <c r="B684" s="1" t="s">
        <v>1255</v>
      </c>
      <c r="C684">
        <v>51163.9</v>
      </c>
      <c r="D684">
        <v>1381</v>
      </c>
      <c r="E684" s="1" t="s">
        <v>1502</v>
      </c>
      <c r="F684" s="1" t="s">
        <v>15</v>
      </c>
      <c r="G684" s="1" t="s">
        <v>32</v>
      </c>
      <c r="H684">
        <v>202</v>
      </c>
      <c r="I684">
        <v>28</v>
      </c>
      <c r="J684">
        <v>370</v>
      </c>
      <c r="K684" s="1" t="s">
        <v>95</v>
      </c>
      <c r="L684" s="1" t="s">
        <v>24</v>
      </c>
      <c r="M684" s="1" t="s">
        <v>1500</v>
      </c>
      <c r="N684" s="1" t="s">
        <v>1503</v>
      </c>
    </row>
    <row r="685" spans="1:14" x14ac:dyDescent="0.35">
      <c r="A685">
        <v>3203053</v>
      </c>
      <c r="B685" s="1" t="s">
        <v>1255</v>
      </c>
      <c r="C685">
        <v>51163.9</v>
      </c>
      <c r="D685">
        <v>1381</v>
      </c>
      <c r="E685" s="1" t="s">
        <v>1504</v>
      </c>
      <c r="F685" s="1" t="s">
        <v>15</v>
      </c>
      <c r="G685" s="1" t="s">
        <v>32</v>
      </c>
      <c r="H685">
        <v>84</v>
      </c>
      <c r="I685">
        <v>34</v>
      </c>
      <c r="K685" s="1" t="s">
        <v>90</v>
      </c>
      <c r="L685" s="1" t="s">
        <v>24</v>
      </c>
      <c r="M685" s="1" t="s">
        <v>1500</v>
      </c>
      <c r="N685" s="1" t="s">
        <v>1505</v>
      </c>
    </row>
    <row r="686" spans="1:14" x14ac:dyDescent="0.35">
      <c r="A686">
        <v>3203037</v>
      </c>
      <c r="B686" s="1" t="s">
        <v>1255</v>
      </c>
      <c r="C686">
        <v>51163.9</v>
      </c>
      <c r="D686">
        <v>1381</v>
      </c>
      <c r="E686" s="1" t="s">
        <v>1506</v>
      </c>
      <c r="F686" s="1" t="s">
        <v>15</v>
      </c>
      <c r="G686" s="1" t="s">
        <v>32</v>
      </c>
      <c r="H686">
        <v>170</v>
      </c>
      <c r="I686">
        <v>92</v>
      </c>
      <c r="J686">
        <v>261</v>
      </c>
      <c r="K686" s="1" t="s">
        <v>17</v>
      </c>
      <c r="L686" s="1" t="s">
        <v>18</v>
      </c>
      <c r="M686" s="1" t="s">
        <v>1500</v>
      </c>
      <c r="N686" s="1" t="s">
        <v>1507</v>
      </c>
    </row>
    <row r="687" spans="1:14" x14ac:dyDescent="0.35">
      <c r="A687">
        <v>3203039</v>
      </c>
      <c r="B687" s="1" t="s">
        <v>1255</v>
      </c>
      <c r="C687">
        <v>51163.9</v>
      </c>
      <c r="D687">
        <v>1381</v>
      </c>
      <c r="E687" s="1" t="s">
        <v>1508</v>
      </c>
      <c r="F687" s="1" t="s">
        <v>15</v>
      </c>
      <c r="G687" s="1" t="s">
        <v>32</v>
      </c>
      <c r="H687">
        <v>158</v>
      </c>
      <c r="I687">
        <v>56</v>
      </c>
      <c r="J687">
        <v>228</v>
      </c>
      <c r="K687" s="1" t="s">
        <v>17</v>
      </c>
      <c r="L687" s="1" t="s">
        <v>18</v>
      </c>
      <c r="M687" s="1" t="s">
        <v>1500</v>
      </c>
      <c r="N687" s="1" t="s">
        <v>1509</v>
      </c>
    </row>
    <row r="688" spans="1:14" x14ac:dyDescent="0.35">
      <c r="A688">
        <v>3203052</v>
      </c>
      <c r="B688" s="1" t="s">
        <v>1255</v>
      </c>
      <c r="C688">
        <v>51163.9</v>
      </c>
      <c r="D688">
        <v>1381</v>
      </c>
      <c r="E688" s="1" t="s">
        <v>1510</v>
      </c>
      <c r="F688" s="1" t="s">
        <v>15</v>
      </c>
      <c r="G688" s="1" t="s">
        <v>22</v>
      </c>
      <c r="H688">
        <v>56</v>
      </c>
      <c r="I688">
        <v>10</v>
      </c>
      <c r="K688" s="1" t="s">
        <v>17</v>
      </c>
      <c r="L688" s="1" t="s">
        <v>24</v>
      </c>
      <c r="M688" s="1" t="s">
        <v>1500</v>
      </c>
      <c r="N688" s="1" t="s">
        <v>1511</v>
      </c>
    </row>
    <row r="689" spans="1:14" x14ac:dyDescent="0.35">
      <c r="A689">
        <v>3203041</v>
      </c>
      <c r="B689" s="1" t="s">
        <v>1255</v>
      </c>
      <c r="C689">
        <v>51163.9</v>
      </c>
      <c r="D689">
        <v>1381</v>
      </c>
      <c r="E689" s="1" t="s">
        <v>1512</v>
      </c>
      <c r="F689" s="1" t="s">
        <v>15</v>
      </c>
      <c r="G689" s="1" t="s">
        <v>22</v>
      </c>
      <c r="H689">
        <v>50</v>
      </c>
      <c r="I689">
        <v>21</v>
      </c>
      <c r="J689">
        <v>51</v>
      </c>
      <c r="K689" s="1" t="s">
        <v>146</v>
      </c>
      <c r="L689" s="1" t="s">
        <v>24</v>
      </c>
      <c r="M689" s="1" t="s">
        <v>1500</v>
      </c>
      <c r="N689" s="1" t="s">
        <v>1513</v>
      </c>
    </row>
    <row r="690" spans="1:14" x14ac:dyDescent="0.35">
      <c r="A690">
        <v>3274136</v>
      </c>
      <c r="B690" s="1" t="s">
        <v>1255</v>
      </c>
      <c r="C690">
        <v>51163.9</v>
      </c>
      <c r="D690">
        <v>1381</v>
      </c>
      <c r="E690" s="1" t="s">
        <v>1514</v>
      </c>
      <c r="F690" s="1" t="s">
        <v>738</v>
      </c>
      <c r="G690" s="1" t="s">
        <v>16</v>
      </c>
      <c r="H690">
        <v>75</v>
      </c>
      <c r="I690">
        <v>42</v>
      </c>
      <c r="J690">
        <v>184</v>
      </c>
      <c r="K690" s="1" t="s">
        <v>23</v>
      </c>
      <c r="L690" s="1" t="s">
        <v>24</v>
      </c>
      <c r="M690" s="1" t="s">
        <v>1515</v>
      </c>
      <c r="N690" s="1" t="s">
        <v>1516</v>
      </c>
    </row>
    <row r="691" spans="1:14" x14ac:dyDescent="0.35">
      <c r="A691">
        <v>3209036</v>
      </c>
      <c r="B691" s="1" t="s">
        <v>1255</v>
      </c>
      <c r="C691">
        <v>51163.9</v>
      </c>
      <c r="D691">
        <v>1381</v>
      </c>
      <c r="E691" s="1" t="s">
        <v>1517</v>
      </c>
      <c r="F691" s="1" t="s">
        <v>1431</v>
      </c>
      <c r="G691" s="1" t="s">
        <v>16</v>
      </c>
      <c r="H691">
        <v>102</v>
      </c>
      <c r="I691">
        <v>44</v>
      </c>
      <c r="J691">
        <v>215</v>
      </c>
      <c r="K691" s="1" t="s">
        <v>124</v>
      </c>
      <c r="L691" s="1" t="s">
        <v>18</v>
      </c>
      <c r="M691" s="1" t="s">
        <v>1515</v>
      </c>
      <c r="N691" s="1" t="s">
        <v>1518</v>
      </c>
    </row>
    <row r="692" spans="1:14" x14ac:dyDescent="0.35">
      <c r="A692">
        <v>3209054</v>
      </c>
      <c r="B692" s="1" t="s">
        <v>1255</v>
      </c>
      <c r="C692">
        <v>51163.9</v>
      </c>
      <c r="D692">
        <v>1381</v>
      </c>
      <c r="E692" s="1" t="s">
        <v>1519</v>
      </c>
      <c r="F692" s="1" t="s">
        <v>15</v>
      </c>
      <c r="G692" s="1" t="s">
        <v>16</v>
      </c>
      <c r="H692">
        <v>195</v>
      </c>
      <c r="I692">
        <v>68</v>
      </c>
      <c r="J692">
        <v>486</v>
      </c>
      <c r="K692" s="1" t="s">
        <v>23</v>
      </c>
      <c r="L692" s="1" t="s">
        <v>24</v>
      </c>
      <c r="M692" s="1" t="s">
        <v>1515</v>
      </c>
      <c r="N692" s="1" t="s">
        <v>1520</v>
      </c>
    </row>
    <row r="693" spans="1:14" x14ac:dyDescent="0.35">
      <c r="A693">
        <v>3209051</v>
      </c>
      <c r="B693" s="1" t="s">
        <v>1255</v>
      </c>
      <c r="C693">
        <v>51163.9</v>
      </c>
      <c r="D693">
        <v>1381</v>
      </c>
      <c r="E693" s="1" t="s">
        <v>1521</v>
      </c>
      <c r="F693" s="1" t="s">
        <v>15</v>
      </c>
      <c r="G693" s="1" t="s">
        <v>16</v>
      </c>
      <c r="H693">
        <v>740</v>
      </c>
      <c r="I693">
        <v>106</v>
      </c>
      <c r="J693">
        <v>1282</v>
      </c>
      <c r="K693" s="1" t="s">
        <v>23</v>
      </c>
      <c r="L693" s="1" t="s">
        <v>24</v>
      </c>
      <c r="M693" s="1" t="s">
        <v>1515</v>
      </c>
      <c r="N693" s="1" t="s">
        <v>1522</v>
      </c>
    </row>
    <row r="694" spans="1:14" x14ac:dyDescent="0.35">
      <c r="A694">
        <v>3209014</v>
      </c>
      <c r="B694" s="1" t="s">
        <v>1255</v>
      </c>
      <c r="C694">
        <v>51163.9</v>
      </c>
      <c r="D694">
        <v>1381</v>
      </c>
      <c r="E694" s="1" t="s">
        <v>1523</v>
      </c>
      <c r="F694" s="1" t="s">
        <v>15</v>
      </c>
      <c r="G694" s="1" t="s">
        <v>16</v>
      </c>
      <c r="H694">
        <v>306</v>
      </c>
      <c r="I694">
        <v>82</v>
      </c>
      <c r="J694">
        <v>733</v>
      </c>
      <c r="K694" s="1" t="s">
        <v>17</v>
      </c>
      <c r="L694" s="1" t="s">
        <v>18</v>
      </c>
      <c r="M694" s="1" t="s">
        <v>1515</v>
      </c>
      <c r="N694" s="1" t="s">
        <v>1524</v>
      </c>
    </row>
    <row r="695" spans="1:14" x14ac:dyDescent="0.35">
      <c r="A695">
        <v>3209040</v>
      </c>
      <c r="B695" s="1" t="s">
        <v>1255</v>
      </c>
      <c r="C695">
        <v>51163.9</v>
      </c>
      <c r="D695">
        <v>1381</v>
      </c>
      <c r="E695" s="1" t="s">
        <v>1525</v>
      </c>
      <c r="F695" s="1" t="s">
        <v>15</v>
      </c>
      <c r="G695" s="1" t="s">
        <v>16</v>
      </c>
      <c r="H695">
        <v>254</v>
      </c>
      <c r="I695">
        <v>112</v>
      </c>
      <c r="J695">
        <v>766</v>
      </c>
      <c r="K695" s="1" t="s">
        <v>17</v>
      </c>
      <c r="L695" s="1" t="s">
        <v>18</v>
      </c>
      <c r="M695" s="1" t="s">
        <v>1515</v>
      </c>
      <c r="N695" s="1" t="s">
        <v>1526</v>
      </c>
    </row>
    <row r="696" spans="1:14" x14ac:dyDescent="0.35">
      <c r="A696">
        <v>3209133</v>
      </c>
      <c r="B696" s="1" t="s">
        <v>1255</v>
      </c>
      <c r="C696">
        <v>51163.9</v>
      </c>
      <c r="D696">
        <v>1381</v>
      </c>
      <c r="E696" s="1" t="s">
        <v>757</v>
      </c>
      <c r="F696" s="1" t="s">
        <v>15</v>
      </c>
      <c r="G696" s="1" t="s">
        <v>16</v>
      </c>
      <c r="H696">
        <v>265</v>
      </c>
      <c r="I696">
        <v>92</v>
      </c>
      <c r="J696">
        <v>472</v>
      </c>
      <c r="K696" s="1" t="s">
        <v>23</v>
      </c>
      <c r="L696" s="1" t="s">
        <v>24</v>
      </c>
      <c r="M696" s="1" t="s">
        <v>1515</v>
      </c>
      <c r="N696" s="1" t="s">
        <v>1527</v>
      </c>
    </row>
    <row r="697" spans="1:14" x14ac:dyDescent="0.35">
      <c r="A697">
        <v>3209144</v>
      </c>
      <c r="B697" s="1" t="s">
        <v>1255</v>
      </c>
      <c r="C697">
        <v>51163.9</v>
      </c>
      <c r="D697">
        <v>1381</v>
      </c>
      <c r="E697" s="1" t="s">
        <v>1528</v>
      </c>
      <c r="F697" s="1" t="s">
        <v>15</v>
      </c>
      <c r="G697" s="1" t="s">
        <v>32</v>
      </c>
      <c r="H697">
        <v>126</v>
      </c>
      <c r="I697">
        <v>49</v>
      </c>
      <c r="K697" s="1" t="s">
        <v>23</v>
      </c>
      <c r="L697" s="1" t="s">
        <v>24</v>
      </c>
      <c r="M697" s="1" t="s">
        <v>1515</v>
      </c>
      <c r="N697" s="1" t="s">
        <v>1529</v>
      </c>
    </row>
    <row r="698" spans="1:14" x14ac:dyDescent="0.35">
      <c r="A698">
        <v>3209053</v>
      </c>
      <c r="B698" s="1" t="s">
        <v>1255</v>
      </c>
      <c r="C698">
        <v>51163.9</v>
      </c>
      <c r="D698">
        <v>1381</v>
      </c>
      <c r="E698" s="1" t="s">
        <v>1530</v>
      </c>
      <c r="F698" s="1" t="s">
        <v>15</v>
      </c>
      <c r="G698" s="1" t="s">
        <v>32</v>
      </c>
      <c r="H698">
        <v>117</v>
      </c>
      <c r="I698">
        <v>28</v>
      </c>
      <c r="J698">
        <v>260</v>
      </c>
      <c r="K698" s="1" t="s">
        <v>23</v>
      </c>
      <c r="L698" s="1" t="s">
        <v>24</v>
      </c>
      <c r="M698" s="1" t="s">
        <v>1515</v>
      </c>
      <c r="N698" s="1" t="s">
        <v>1531</v>
      </c>
    </row>
    <row r="699" spans="1:14" x14ac:dyDescent="0.35">
      <c r="A699">
        <v>3209025</v>
      </c>
      <c r="B699" s="1" t="s">
        <v>1255</v>
      </c>
      <c r="C699">
        <v>51163.9</v>
      </c>
      <c r="D699">
        <v>1381</v>
      </c>
      <c r="E699" s="1" t="s">
        <v>1532</v>
      </c>
      <c r="F699" s="1" t="s">
        <v>15</v>
      </c>
      <c r="G699" s="1" t="s">
        <v>32</v>
      </c>
      <c r="H699">
        <v>108</v>
      </c>
      <c r="I699">
        <v>42</v>
      </c>
      <c r="J699">
        <v>269</v>
      </c>
      <c r="K699" s="1" t="s">
        <v>23</v>
      </c>
      <c r="L699" s="1" t="s">
        <v>24</v>
      </c>
      <c r="M699" s="1" t="s">
        <v>1515</v>
      </c>
      <c r="N699" s="1" t="s">
        <v>1533</v>
      </c>
    </row>
    <row r="700" spans="1:14" x14ac:dyDescent="0.35">
      <c r="A700">
        <v>3209052</v>
      </c>
      <c r="B700" s="1" t="s">
        <v>1255</v>
      </c>
      <c r="C700">
        <v>51163.9</v>
      </c>
      <c r="D700">
        <v>1381</v>
      </c>
      <c r="E700" s="1" t="s">
        <v>1534</v>
      </c>
      <c r="F700" s="1" t="s">
        <v>15</v>
      </c>
      <c r="G700" s="1" t="s">
        <v>32</v>
      </c>
      <c r="H700">
        <v>113</v>
      </c>
      <c r="I700">
        <v>22</v>
      </c>
      <c r="J700">
        <v>188</v>
      </c>
      <c r="K700" s="1" t="s">
        <v>444</v>
      </c>
      <c r="L700" s="1" t="s">
        <v>24</v>
      </c>
      <c r="M700" s="1" t="s">
        <v>1515</v>
      </c>
      <c r="N700" s="1" t="s">
        <v>1535</v>
      </c>
    </row>
    <row r="701" spans="1:14" x14ac:dyDescent="0.35">
      <c r="A701">
        <v>3274135</v>
      </c>
      <c r="B701" s="1" t="s">
        <v>1255</v>
      </c>
      <c r="C701">
        <v>51163.9</v>
      </c>
      <c r="D701">
        <v>1381</v>
      </c>
      <c r="E701" s="1" t="s">
        <v>1536</v>
      </c>
      <c r="F701" s="1" t="s">
        <v>15</v>
      </c>
      <c r="G701" s="1" t="s">
        <v>32</v>
      </c>
      <c r="H701">
        <v>102</v>
      </c>
      <c r="I701">
        <v>18</v>
      </c>
      <c r="J701">
        <v>241</v>
      </c>
      <c r="K701" s="1" t="s">
        <v>23</v>
      </c>
      <c r="L701" s="1" t="s">
        <v>24</v>
      </c>
      <c r="M701" s="1" t="s">
        <v>1515</v>
      </c>
      <c r="N701" s="1" t="s">
        <v>1537</v>
      </c>
    </row>
    <row r="702" spans="1:14" x14ac:dyDescent="0.35">
      <c r="A702">
        <v>3209055</v>
      </c>
      <c r="B702" s="1" t="s">
        <v>1255</v>
      </c>
      <c r="C702">
        <v>51163.9</v>
      </c>
      <c r="D702">
        <v>1381</v>
      </c>
      <c r="E702" s="1" t="s">
        <v>1538</v>
      </c>
      <c r="F702" s="1" t="s">
        <v>15</v>
      </c>
      <c r="G702" s="1" t="s">
        <v>22</v>
      </c>
      <c r="H702">
        <v>75</v>
      </c>
      <c r="I702">
        <v>24</v>
      </c>
      <c r="J702">
        <v>47</v>
      </c>
      <c r="K702" s="1" t="s">
        <v>90</v>
      </c>
      <c r="L702" s="1" t="s">
        <v>24</v>
      </c>
      <c r="M702" s="1" t="s">
        <v>1515</v>
      </c>
      <c r="N702" s="1" t="s">
        <v>1539</v>
      </c>
    </row>
    <row r="703" spans="1:14" x14ac:dyDescent="0.35">
      <c r="A703">
        <v>3205010</v>
      </c>
      <c r="B703" s="1" t="s">
        <v>1255</v>
      </c>
      <c r="C703">
        <v>51163.9</v>
      </c>
      <c r="D703">
        <v>1381</v>
      </c>
      <c r="E703" s="1" t="s">
        <v>1540</v>
      </c>
      <c r="F703" s="1" t="s">
        <v>15</v>
      </c>
      <c r="G703" s="1" t="s">
        <v>16</v>
      </c>
      <c r="H703">
        <v>432</v>
      </c>
      <c r="I703">
        <v>103</v>
      </c>
      <c r="J703">
        <v>1095</v>
      </c>
      <c r="K703" s="1" t="s">
        <v>17</v>
      </c>
      <c r="L703" s="1" t="s">
        <v>18</v>
      </c>
      <c r="M703" s="1" t="s">
        <v>1541</v>
      </c>
      <c r="N703" s="1" t="s">
        <v>1542</v>
      </c>
    </row>
    <row r="704" spans="1:14" x14ac:dyDescent="0.35">
      <c r="A704">
        <v>3205021</v>
      </c>
      <c r="B704" s="1" t="s">
        <v>1255</v>
      </c>
      <c r="C704">
        <v>51163.9</v>
      </c>
      <c r="D704">
        <v>1381</v>
      </c>
      <c r="E704" s="1" t="s">
        <v>1543</v>
      </c>
      <c r="F704" s="1" t="s">
        <v>15</v>
      </c>
      <c r="G704" s="1" t="s">
        <v>32</v>
      </c>
      <c r="H704">
        <v>164</v>
      </c>
      <c r="I704">
        <v>46</v>
      </c>
      <c r="J704">
        <v>310</v>
      </c>
      <c r="K704" s="1" t="s">
        <v>27</v>
      </c>
      <c r="L704" s="1" t="s">
        <v>120</v>
      </c>
      <c r="M704" s="1" t="s">
        <v>1541</v>
      </c>
      <c r="N704" s="1" t="s">
        <v>1544</v>
      </c>
    </row>
    <row r="705" spans="1:14" x14ac:dyDescent="0.35">
      <c r="A705">
        <v>3205022</v>
      </c>
      <c r="B705" s="1" t="s">
        <v>1255</v>
      </c>
      <c r="C705">
        <v>51163.9</v>
      </c>
      <c r="D705">
        <v>1381</v>
      </c>
      <c r="E705" s="1" t="s">
        <v>1545</v>
      </c>
      <c r="F705" s="1" t="s">
        <v>15</v>
      </c>
      <c r="G705" s="1" t="s">
        <v>32</v>
      </c>
      <c r="H705">
        <v>148</v>
      </c>
      <c r="I705">
        <v>21</v>
      </c>
      <c r="J705">
        <v>248</v>
      </c>
      <c r="K705" s="1" t="s">
        <v>124</v>
      </c>
      <c r="L705" s="1" t="s">
        <v>18</v>
      </c>
      <c r="M705" s="1" t="s">
        <v>1541</v>
      </c>
      <c r="N705" s="1" t="s">
        <v>1546</v>
      </c>
    </row>
    <row r="706" spans="1:14" x14ac:dyDescent="0.35">
      <c r="A706">
        <v>3205026</v>
      </c>
      <c r="B706" s="1" t="s">
        <v>1255</v>
      </c>
      <c r="C706">
        <v>51163.9</v>
      </c>
      <c r="D706">
        <v>1381</v>
      </c>
      <c r="E706" s="1" t="s">
        <v>1547</v>
      </c>
      <c r="F706" s="1" t="s">
        <v>15</v>
      </c>
      <c r="G706" s="1" t="s">
        <v>32</v>
      </c>
      <c r="H706">
        <v>99</v>
      </c>
      <c r="I706">
        <v>35</v>
      </c>
      <c r="J706">
        <v>246</v>
      </c>
      <c r="K706" s="1" t="s">
        <v>23</v>
      </c>
      <c r="L706" s="1" t="s">
        <v>24</v>
      </c>
      <c r="M706" s="1" t="s">
        <v>1541</v>
      </c>
      <c r="N706" s="1" t="s">
        <v>1548</v>
      </c>
    </row>
    <row r="707" spans="1:14" x14ac:dyDescent="0.35">
      <c r="A707">
        <v>3205038</v>
      </c>
      <c r="B707" s="1" t="s">
        <v>1255</v>
      </c>
      <c r="C707">
        <v>51163.9</v>
      </c>
      <c r="D707">
        <v>1381</v>
      </c>
      <c r="E707" s="1" t="s">
        <v>1549</v>
      </c>
      <c r="F707" s="1" t="s">
        <v>15</v>
      </c>
      <c r="G707" s="1" t="s">
        <v>22</v>
      </c>
      <c r="H707">
        <v>56</v>
      </c>
      <c r="I707">
        <v>8</v>
      </c>
      <c r="K707" s="1" t="s">
        <v>17</v>
      </c>
      <c r="L707" s="1" t="s">
        <v>18</v>
      </c>
      <c r="M707" s="1" t="s">
        <v>1541</v>
      </c>
      <c r="N707" s="1" t="s">
        <v>1550</v>
      </c>
    </row>
    <row r="708" spans="1:14" x14ac:dyDescent="0.35">
      <c r="A708">
        <v>3205027</v>
      </c>
      <c r="B708" s="1" t="s">
        <v>1255</v>
      </c>
      <c r="C708">
        <v>51163.9</v>
      </c>
      <c r="D708">
        <v>1381</v>
      </c>
      <c r="E708" s="1" t="s">
        <v>1551</v>
      </c>
      <c r="F708" s="1" t="s">
        <v>15</v>
      </c>
      <c r="G708" s="1" t="s">
        <v>22</v>
      </c>
      <c r="H708">
        <v>90</v>
      </c>
      <c r="I708">
        <v>28</v>
      </c>
      <c r="J708">
        <v>75</v>
      </c>
      <c r="K708" s="1" t="s">
        <v>90</v>
      </c>
      <c r="L708" s="1" t="s">
        <v>24</v>
      </c>
      <c r="M708" s="1" t="s">
        <v>1541</v>
      </c>
      <c r="N708" s="1" t="s">
        <v>1552</v>
      </c>
    </row>
    <row r="709" spans="1:14" x14ac:dyDescent="0.35">
      <c r="A709">
        <v>3205039</v>
      </c>
      <c r="B709" s="1" t="s">
        <v>1255</v>
      </c>
      <c r="C709">
        <v>51163.9</v>
      </c>
      <c r="D709">
        <v>1381</v>
      </c>
      <c r="E709" s="1" t="s">
        <v>1553</v>
      </c>
      <c r="F709" s="1" t="s">
        <v>15</v>
      </c>
      <c r="G709" s="1" t="s">
        <v>22</v>
      </c>
      <c r="H709">
        <v>65</v>
      </c>
      <c r="I709">
        <v>19</v>
      </c>
      <c r="K709" s="1" t="s">
        <v>23</v>
      </c>
      <c r="L709" s="1" t="s">
        <v>24</v>
      </c>
      <c r="M709" s="1" t="s">
        <v>1541</v>
      </c>
      <c r="N709" s="1" t="s">
        <v>1554</v>
      </c>
    </row>
    <row r="710" spans="1:14" x14ac:dyDescent="0.35">
      <c r="A710">
        <v>3205024</v>
      </c>
      <c r="B710" s="1" t="s">
        <v>1255</v>
      </c>
      <c r="C710">
        <v>51163.9</v>
      </c>
      <c r="D710">
        <v>1381</v>
      </c>
      <c r="E710" s="1" t="s">
        <v>1555</v>
      </c>
      <c r="F710" s="1" t="s">
        <v>15</v>
      </c>
      <c r="G710" s="1" t="s">
        <v>22</v>
      </c>
      <c r="H710">
        <v>50</v>
      </c>
      <c r="I710">
        <v>47</v>
      </c>
      <c r="J710">
        <v>35</v>
      </c>
      <c r="K710" s="1" t="s">
        <v>90</v>
      </c>
      <c r="L710" s="1" t="s">
        <v>24</v>
      </c>
      <c r="M710" s="1" t="s">
        <v>1541</v>
      </c>
      <c r="N710" s="1" t="s">
        <v>1556</v>
      </c>
    </row>
    <row r="711" spans="1:14" x14ac:dyDescent="0.35">
      <c r="A711">
        <v>3205023</v>
      </c>
      <c r="B711" s="1" t="s">
        <v>1255</v>
      </c>
      <c r="C711">
        <v>51163.9</v>
      </c>
      <c r="D711">
        <v>1381</v>
      </c>
      <c r="E711" s="1" t="s">
        <v>1557</v>
      </c>
      <c r="F711" s="1" t="s">
        <v>15</v>
      </c>
      <c r="G711" s="1" t="s">
        <v>22</v>
      </c>
      <c r="H711">
        <v>112</v>
      </c>
      <c r="I711">
        <v>44</v>
      </c>
      <c r="J711">
        <v>88</v>
      </c>
      <c r="K711" s="1" t="s">
        <v>84</v>
      </c>
      <c r="L711" s="1" t="s">
        <v>24</v>
      </c>
      <c r="M711" s="1" t="s">
        <v>1541</v>
      </c>
      <c r="N711" s="1" t="s">
        <v>1558</v>
      </c>
    </row>
    <row r="712" spans="1:14" x14ac:dyDescent="0.35">
      <c r="A712">
        <v>3212058</v>
      </c>
      <c r="B712" s="1" t="s">
        <v>1255</v>
      </c>
      <c r="C712">
        <v>51163.9</v>
      </c>
      <c r="D712">
        <v>1381</v>
      </c>
      <c r="E712" s="1" t="s">
        <v>1559</v>
      </c>
      <c r="F712" s="1" t="s">
        <v>71</v>
      </c>
      <c r="G712" s="1" t="s">
        <v>32</v>
      </c>
      <c r="H712">
        <v>33</v>
      </c>
      <c r="I712">
        <v>15</v>
      </c>
      <c r="J712">
        <v>30</v>
      </c>
      <c r="K712" s="1" t="s">
        <v>23</v>
      </c>
      <c r="L712" s="1" t="s">
        <v>24</v>
      </c>
      <c r="M712" s="1" t="s">
        <v>1560</v>
      </c>
      <c r="N712" s="1" t="s">
        <v>1561</v>
      </c>
    </row>
    <row r="713" spans="1:14" x14ac:dyDescent="0.35">
      <c r="A713">
        <v>3212059</v>
      </c>
      <c r="B713" s="1" t="s">
        <v>1255</v>
      </c>
      <c r="C713">
        <v>51163.9</v>
      </c>
      <c r="D713">
        <v>1381</v>
      </c>
      <c r="E713" s="1" t="s">
        <v>1562</v>
      </c>
      <c r="F713" s="1" t="s">
        <v>15</v>
      </c>
      <c r="G713" s="1" t="s">
        <v>16</v>
      </c>
      <c r="H713">
        <v>552</v>
      </c>
      <c r="I713">
        <v>31</v>
      </c>
      <c r="J713">
        <v>78</v>
      </c>
      <c r="K713" s="1" t="s">
        <v>23</v>
      </c>
      <c r="L713" s="1" t="s">
        <v>24</v>
      </c>
      <c r="M713" s="1" t="s">
        <v>1560</v>
      </c>
      <c r="N713" s="1" t="s">
        <v>1563</v>
      </c>
    </row>
    <row r="714" spans="1:14" x14ac:dyDescent="0.35">
      <c r="A714">
        <v>3212016</v>
      </c>
      <c r="B714" s="1" t="s">
        <v>1255</v>
      </c>
      <c r="C714">
        <v>51163.9</v>
      </c>
      <c r="D714">
        <v>1381</v>
      </c>
      <c r="E714" s="1" t="s">
        <v>1564</v>
      </c>
      <c r="F714" s="1" t="s">
        <v>15</v>
      </c>
      <c r="G714" s="1" t="s">
        <v>16</v>
      </c>
      <c r="H714">
        <v>320</v>
      </c>
      <c r="I714">
        <v>114</v>
      </c>
      <c r="J714">
        <v>505</v>
      </c>
      <c r="K714" s="1" t="s">
        <v>17</v>
      </c>
      <c r="L714" s="1" t="s">
        <v>18</v>
      </c>
      <c r="M714" s="1" t="s">
        <v>1560</v>
      </c>
      <c r="N714" s="1" t="s">
        <v>1565</v>
      </c>
    </row>
    <row r="715" spans="1:14" x14ac:dyDescent="0.35">
      <c r="A715">
        <v>3212060</v>
      </c>
      <c r="B715" s="1" t="s">
        <v>1255</v>
      </c>
      <c r="C715">
        <v>51163.9</v>
      </c>
      <c r="D715">
        <v>1381</v>
      </c>
      <c r="E715" s="1" t="s">
        <v>1566</v>
      </c>
      <c r="F715" s="1" t="s">
        <v>15</v>
      </c>
      <c r="G715" s="1" t="s">
        <v>32</v>
      </c>
      <c r="H715">
        <v>100</v>
      </c>
      <c r="I715">
        <v>27</v>
      </c>
      <c r="J715">
        <v>48</v>
      </c>
      <c r="K715" s="1" t="s">
        <v>23</v>
      </c>
      <c r="L715" s="1" t="s">
        <v>24</v>
      </c>
      <c r="M715" s="1" t="s">
        <v>1560</v>
      </c>
      <c r="N715" s="1" t="s">
        <v>1567</v>
      </c>
    </row>
    <row r="716" spans="1:14" x14ac:dyDescent="0.35">
      <c r="A716">
        <v>3212042</v>
      </c>
      <c r="B716" s="1" t="s">
        <v>1255</v>
      </c>
      <c r="C716">
        <v>51163.9</v>
      </c>
      <c r="D716">
        <v>1381</v>
      </c>
      <c r="E716" s="1" t="s">
        <v>1568</v>
      </c>
      <c r="F716" s="1" t="s">
        <v>15</v>
      </c>
      <c r="G716" s="1" t="s">
        <v>32</v>
      </c>
      <c r="H716">
        <v>132</v>
      </c>
      <c r="I716">
        <v>30</v>
      </c>
      <c r="J716">
        <v>304</v>
      </c>
      <c r="K716" s="1" t="s">
        <v>146</v>
      </c>
      <c r="L716" s="1" t="s">
        <v>120</v>
      </c>
      <c r="M716" s="1" t="s">
        <v>1560</v>
      </c>
      <c r="N716" s="1" t="s">
        <v>1569</v>
      </c>
    </row>
    <row r="717" spans="1:14" x14ac:dyDescent="0.35">
      <c r="A717">
        <v>3212073</v>
      </c>
      <c r="B717" s="1" t="s">
        <v>1255</v>
      </c>
      <c r="C717">
        <v>51163.9</v>
      </c>
      <c r="D717">
        <v>1381</v>
      </c>
      <c r="E717" s="1" t="s">
        <v>1570</v>
      </c>
      <c r="F717" s="1" t="s">
        <v>15</v>
      </c>
      <c r="G717" s="1" t="s">
        <v>32</v>
      </c>
      <c r="H717">
        <v>150</v>
      </c>
      <c r="I717">
        <v>26</v>
      </c>
      <c r="K717" s="1" t="s">
        <v>23</v>
      </c>
      <c r="L717" s="1" t="s">
        <v>24</v>
      </c>
      <c r="M717" s="1" t="s">
        <v>1560</v>
      </c>
      <c r="N717" s="1" t="s">
        <v>1571</v>
      </c>
    </row>
    <row r="718" spans="1:14" x14ac:dyDescent="0.35">
      <c r="A718">
        <v>3212031</v>
      </c>
      <c r="B718" s="1" t="s">
        <v>1255</v>
      </c>
      <c r="C718">
        <v>51163.9</v>
      </c>
      <c r="D718">
        <v>1381</v>
      </c>
      <c r="E718" s="1" t="s">
        <v>1572</v>
      </c>
      <c r="F718" s="1" t="s">
        <v>15</v>
      </c>
      <c r="G718" s="1" t="s">
        <v>32</v>
      </c>
      <c r="H718">
        <v>120</v>
      </c>
      <c r="I718">
        <v>38</v>
      </c>
      <c r="J718">
        <v>443</v>
      </c>
      <c r="K718" s="1" t="s">
        <v>17</v>
      </c>
      <c r="L718" s="1" t="s">
        <v>18</v>
      </c>
      <c r="M718" s="1" t="s">
        <v>1560</v>
      </c>
      <c r="N718" s="1" t="s">
        <v>1573</v>
      </c>
    </row>
    <row r="719" spans="1:14" x14ac:dyDescent="0.35">
      <c r="A719">
        <v>3212056</v>
      </c>
      <c r="B719" s="1" t="s">
        <v>1255</v>
      </c>
      <c r="C719">
        <v>51163.9</v>
      </c>
      <c r="D719">
        <v>1381</v>
      </c>
      <c r="E719" s="1" t="s">
        <v>1574</v>
      </c>
      <c r="F719" s="1" t="s">
        <v>15</v>
      </c>
      <c r="G719" s="1" t="s">
        <v>22</v>
      </c>
      <c r="H719">
        <v>115</v>
      </c>
      <c r="I719">
        <v>25</v>
      </c>
      <c r="J719">
        <v>148</v>
      </c>
      <c r="K719" s="1" t="s">
        <v>17</v>
      </c>
      <c r="L719" s="1" t="s">
        <v>18</v>
      </c>
      <c r="M719" s="1" t="s">
        <v>1560</v>
      </c>
      <c r="N719" s="1" t="s">
        <v>1575</v>
      </c>
    </row>
    <row r="720" spans="1:14" x14ac:dyDescent="0.35">
      <c r="A720">
        <v>3212071</v>
      </c>
      <c r="B720" s="1" t="s">
        <v>1255</v>
      </c>
      <c r="C720">
        <v>51163.9</v>
      </c>
      <c r="D720">
        <v>1381</v>
      </c>
      <c r="E720" s="1" t="s">
        <v>1576</v>
      </c>
      <c r="F720" s="1" t="s">
        <v>15</v>
      </c>
      <c r="G720" s="1" t="s">
        <v>22</v>
      </c>
      <c r="H720">
        <v>53</v>
      </c>
      <c r="I720">
        <v>19</v>
      </c>
      <c r="K720" s="1" t="s">
        <v>444</v>
      </c>
      <c r="L720" s="1" t="s">
        <v>24</v>
      </c>
      <c r="M720" s="1" t="s">
        <v>1560</v>
      </c>
      <c r="N720" s="1" t="s">
        <v>1577</v>
      </c>
    </row>
    <row r="721" spans="1:14" x14ac:dyDescent="0.35">
      <c r="A721">
        <v>3212054</v>
      </c>
      <c r="B721" s="1" t="s">
        <v>1255</v>
      </c>
      <c r="C721">
        <v>51163.9</v>
      </c>
      <c r="D721">
        <v>1381</v>
      </c>
      <c r="E721" s="1" t="s">
        <v>1578</v>
      </c>
      <c r="F721" s="1" t="s">
        <v>15</v>
      </c>
      <c r="G721" s="1" t="s">
        <v>22</v>
      </c>
      <c r="H721">
        <v>97</v>
      </c>
      <c r="I721">
        <v>23</v>
      </c>
      <c r="J721">
        <v>252</v>
      </c>
      <c r="K721" s="1" t="s">
        <v>90</v>
      </c>
      <c r="L721" s="1" t="s">
        <v>24</v>
      </c>
      <c r="M721" s="1" t="s">
        <v>1560</v>
      </c>
      <c r="N721" s="1" t="s">
        <v>1579</v>
      </c>
    </row>
    <row r="722" spans="1:14" x14ac:dyDescent="0.35">
      <c r="A722">
        <v>3212057</v>
      </c>
      <c r="B722" s="1" t="s">
        <v>1255</v>
      </c>
      <c r="C722">
        <v>51163.9</v>
      </c>
      <c r="D722">
        <v>1381</v>
      </c>
      <c r="E722" s="1" t="s">
        <v>1580</v>
      </c>
      <c r="F722" s="1" t="s">
        <v>15</v>
      </c>
      <c r="G722" s="1" t="s">
        <v>22</v>
      </c>
      <c r="H722">
        <v>54</v>
      </c>
      <c r="I722">
        <v>19</v>
      </c>
      <c r="J722">
        <v>66</v>
      </c>
      <c r="K722" s="1" t="s">
        <v>23</v>
      </c>
      <c r="L722" s="1" t="s">
        <v>24</v>
      </c>
      <c r="M722" s="1" t="s">
        <v>1560</v>
      </c>
      <c r="N722" s="1" t="s">
        <v>1581</v>
      </c>
    </row>
    <row r="723" spans="1:14" x14ac:dyDescent="0.35">
      <c r="A723">
        <v>3212055</v>
      </c>
      <c r="B723" s="1" t="s">
        <v>1255</v>
      </c>
      <c r="C723">
        <v>51163.9</v>
      </c>
      <c r="D723">
        <v>1381</v>
      </c>
      <c r="E723" s="1" t="s">
        <v>1582</v>
      </c>
      <c r="F723" s="1" t="s">
        <v>15</v>
      </c>
      <c r="G723" s="1" t="s">
        <v>22</v>
      </c>
      <c r="H723">
        <v>50</v>
      </c>
      <c r="I723">
        <v>25</v>
      </c>
      <c r="J723">
        <v>85</v>
      </c>
      <c r="K723" s="1" t="s">
        <v>61</v>
      </c>
      <c r="L723" s="1" t="s">
        <v>24</v>
      </c>
      <c r="M723" s="1" t="s">
        <v>1560</v>
      </c>
      <c r="N723" s="1" t="s">
        <v>1583</v>
      </c>
    </row>
    <row r="724" spans="1:14" x14ac:dyDescent="0.35">
      <c r="A724">
        <v>3215112</v>
      </c>
      <c r="B724" s="1" t="s">
        <v>1255</v>
      </c>
      <c r="C724">
        <v>51163.9</v>
      </c>
      <c r="D724">
        <v>1381</v>
      </c>
      <c r="E724" s="1" t="s">
        <v>1584</v>
      </c>
      <c r="F724" s="1" t="s">
        <v>71</v>
      </c>
      <c r="G724" s="1" t="s">
        <v>32</v>
      </c>
      <c r="H724">
        <v>66</v>
      </c>
      <c r="I724">
        <v>23</v>
      </c>
      <c r="J724">
        <v>45</v>
      </c>
      <c r="K724" s="1" t="s">
        <v>23</v>
      </c>
      <c r="L724" s="1" t="s">
        <v>24</v>
      </c>
      <c r="M724" s="1" t="s">
        <v>1585</v>
      </c>
      <c r="N724" s="1" t="s">
        <v>1586</v>
      </c>
    </row>
    <row r="725" spans="1:14" x14ac:dyDescent="0.35">
      <c r="A725">
        <v>3215156</v>
      </c>
      <c r="B725" s="1" t="s">
        <v>1255</v>
      </c>
      <c r="C725">
        <v>51163.9</v>
      </c>
      <c r="D725">
        <v>1381</v>
      </c>
      <c r="E725" s="1" t="s">
        <v>1587</v>
      </c>
      <c r="F725" s="1" t="s">
        <v>15</v>
      </c>
      <c r="G725" s="1" t="s">
        <v>16</v>
      </c>
      <c r="H725">
        <v>207</v>
      </c>
      <c r="I725">
        <v>48</v>
      </c>
      <c r="J725">
        <v>238</v>
      </c>
      <c r="K725" s="1" t="s">
        <v>23</v>
      </c>
      <c r="L725" s="1" t="s">
        <v>24</v>
      </c>
      <c r="M725" s="1" t="s">
        <v>1585</v>
      </c>
      <c r="N725" s="1" t="s">
        <v>1588</v>
      </c>
    </row>
    <row r="726" spans="1:14" x14ac:dyDescent="0.35">
      <c r="A726">
        <v>3215012</v>
      </c>
      <c r="B726" s="1" t="s">
        <v>1255</v>
      </c>
      <c r="C726">
        <v>51163.9</v>
      </c>
      <c r="D726">
        <v>1381</v>
      </c>
      <c r="E726" s="1" t="s">
        <v>1589</v>
      </c>
      <c r="F726" s="1" t="s">
        <v>15</v>
      </c>
      <c r="G726" s="1" t="s">
        <v>16</v>
      </c>
      <c r="H726">
        <v>374</v>
      </c>
      <c r="I726">
        <v>75</v>
      </c>
      <c r="J726">
        <v>1417</v>
      </c>
      <c r="K726" s="1" t="s">
        <v>17</v>
      </c>
      <c r="L726" s="1" t="s">
        <v>18</v>
      </c>
      <c r="M726" s="1" t="s">
        <v>1585</v>
      </c>
      <c r="N726" s="1" t="s">
        <v>1590</v>
      </c>
    </row>
    <row r="727" spans="1:14" x14ac:dyDescent="0.35">
      <c r="A727">
        <v>3215161</v>
      </c>
      <c r="B727" s="1" t="s">
        <v>1255</v>
      </c>
      <c r="C727">
        <v>51163.9</v>
      </c>
      <c r="D727">
        <v>1381</v>
      </c>
      <c r="E727" s="1" t="s">
        <v>1591</v>
      </c>
      <c r="F727" s="1" t="s">
        <v>15</v>
      </c>
      <c r="G727" s="1" t="s">
        <v>32</v>
      </c>
      <c r="H727">
        <v>111</v>
      </c>
      <c r="I727">
        <v>30</v>
      </c>
      <c r="J727">
        <v>193</v>
      </c>
      <c r="K727" s="1" t="s">
        <v>90</v>
      </c>
      <c r="L727" s="1" t="s">
        <v>24</v>
      </c>
      <c r="M727" s="1" t="s">
        <v>1585</v>
      </c>
      <c r="N727" s="1" t="s">
        <v>1592</v>
      </c>
    </row>
    <row r="728" spans="1:14" x14ac:dyDescent="0.35">
      <c r="A728">
        <v>3215045</v>
      </c>
      <c r="B728" s="1" t="s">
        <v>1255</v>
      </c>
      <c r="C728">
        <v>51163.9</v>
      </c>
      <c r="D728">
        <v>1381</v>
      </c>
      <c r="E728" s="1" t="s">
        <v>1593</v>
      </c>
      <c r="F728" s="1" t="s">
        <v>15</v>
      </c>
      <c r="G728" s="1" t="s">
        <v>32</v>
      </c>
      <c r="H728">
        <v>173</v>
      </c>
      <c r="I728">
        <v>44</v>
      </c>
      <c r="J728">
        <v>571</v>
      </c>
      <c r="K728" s="1" t="s">
        <v>23</v>
      </c>
      <c r="L728" s="1" t="s">
        <v>24</v>
      </c>
      <c r="M728" s="1" t="s">
        <v>1585</v>
      </c>
      <c r="N728" s="1" t="s">
        <v>1594</v>
      </c>
    </row>
    <row r="729" spans="1:14" x14ac:dyDescent="0.35">
      <c r="A729">
        <v>3215134</v>
      </c>
      <c r="B729" s="1" t="s">
        <v>1255</v>
      </c>
      <c r="C729">
        <v>51163.9</v>
      </c>
      <c r="D729">
        <v>1381</v>
      </c>
      <c r="E729" s="1" t="s">
        <v>1595</v>
      </c>
      <c r="F729" s="1" t="s">
        <v>15</v>
      </c>
      <c r="G729" s="1" t="s">
        <v>32</v>
      </c>
      <c r="H729">
        <v>179</v>
      </c>
      <c r="I729">
        <v>46</v>
      </c>
      <c r="J729">
        <v>243</v>
      </c>
      <c r="K729" s="1" t="s">
        <v>23</v>
      </c>
      <c r="L729" s="1" t="s">
        <v>24</v>
      </c>
      <c r="M729" s="1" t="s">
        <v>1585</v>
      </c>
      <c r="N729" s="1" t="s">
        <v>1596</v>
      </c>
    </row>
    <row r="730" spans="1:14" x14ac:dyDescent="0.35">
      <c r="A730">
        <v>3215146</v>
      </c>
      <c r="B730" s="1" t="s">
        <v>1255</v>
      </c>
      <c r="C730">
        <v>51163.9</v>
      </c>
      <c r="D730">
        <v>1381</v>
      </c>
      <c r="E730" s="1" t="s">
        <v>1597</v>
      </c>
      <c r="F730" s="1" t="s">
        <v>15</v>
      </c>
      <c r="G730" s="1" t="s">
        <v>32</v>
      </c>
      <c r="H730">
        <v>118</v>
      </c>
      <c r="I730">
        <v>34</v>
      </c>
      <c r="J730">
        <v>269</v>
      </c>
      <c r="K730" s="1" t="s">
        <v>17</v>
      </c>
      <c r="L730" s="1" t="s">
        <v>18</v>
      </c>
      <c r="M730" s="1" t="s">
        <v>1585</v>
      </c>
      <c r="N730" s="1" t="s">
        <v>1598</v>
      </c>
    </row>
    <row r="731" spans="1:14" x14ac:dyDescent="0.35">
      <c r="A731">
        <v>3215182</v>
      </c>
      <c r="B731" s="1" t="s">
        <v>1255</v>
      </c>
      <c r="C731">
        <v>51163.9</v>
      </c>
      <c r="D731">
        <v>1381</v>
      </c>
      <c r="E731" s="1" t="s">
        <v>1599</v>
      </c>
      <c r="F731" s="1" t="s">
        <v>15</v>
      </c>
      <c r="G731" s="1" t="s">
        <v>32</v>
      </c>
      <c r="H731">
        <v>175</v>
      </c>
      <c r="I731">
        <v>28</v>
      </c>
      <c r="K731" s="1" t="s">
        <v>23</v>
      </c>
      <c r="L731" s="1" t="s">
        <v>24</v>
      </c>
      <c r="M731" s="1" t="s">
        <v>1585</v>
      </c>
      <c r="N731" s="1" t="s">
        <v>1600</v>
      </c>
    </row>
    <row r="732" spans="1:14" x14ac:dyDescent="0.35">
      <c r="A732">
        <v>3215170</v>
      </c>
      <c r="B732" s="1" t="s">
        <v>1255</v>
      </c>
      <c r="C732">
        <v>51163.9</v>
      </c>
      <c r="D732">
        <v>1381</v>
      </c>
      <c r="E732" s="1" t="s">
        <v>1601</v>
      </c>
      <c r="F732" s="1" t="s">
        <v>15</v>
      </c>
      <c r="G732" s="1" t="s">
        <v>32</v>
      </c>
      <c r="H732">
        <v>110</v>
      </c>
      <c r="I732">
        <v>41</v>
      </c>
      <c r="J732">
        <v>212</v>
      </c>
      <c r="K732" s="1" t="s">
        <v>23</v>
      </c>
      <c r="L732" s="1" t="s">
        <v>24</v>
      </c>
      <c r="M732" s="1" t="s">
        <v>1585</v>
      </c>
      <c r="N732" s="1" t="s">
        <v>1602</v>
      </c>
    </row>
    <row r="733" spans="1:14" x14ac:dyDescent="0.35">
      <c r="A733">
        <v>3215123</v>
      </c>
      <c r="B733" s="1" t="s">
        <v>1255</v>
      </c>
      <c r="C733">
        <v>51163.9</v>
      </c>
      <c r="D733">
        <v>1381</v>
      </c>
      <c r="E733" s="1" t="s">
        <v>1603</v>
      </c>
      <c r="F733" s="1" t="s">
        <v>15</v>
      </c>
      <c r="G733" s="1" t="s">
        <v>32</v>
      </c>
      <c r="H733">
        <v>143</v>
      </c>
      <c r="I733">
        <v>46</v>
      </c>
      <c r="J733">
        <v>490</v>
      </c>
      <c r="K733" s="1" t="s">
        <v>23</v>
      </c>
      <c r="L733" s="1" t="s">
        <v>24</v>
      </c>
      <c r="M733" s="1" t="s">
        <v>1585</v>
      </c>
      <c r="N733" s="1" t="s">
        <v>1604</v>
      </c>
    </row>
    <row r="734" spans="1:14" x14ac:dyDescent="0.35">
      <c r="A734">
        <v>3215078</v>
      </c>
      <c r="B734" s="1" t="s">
        <v>1255</v>
      </c>
      <c r="C734">
        <v>51163.9</v>
      </c>
      <c r="D734">
        <v>1381</v>
      </c>
      <c r="E734" s="1" t="s">
        <v>1605</v>
      </c>
      <c r="F734" s="1" t="s">
        <v>15</v>
      </c>
      <c r="G734" s="1" t="s">
        <v>32</v>
      </c>
      <c r="H734">
        <v>130</v>
      </c>
      <c r="I734">
        <v>33</v>
      </c>
      <c r="J734">
        <v>269</v>
      </c>
      <c r="K734" s="1" t="s">
        <v>84</v>
      </c>
      <c r="L734" s="1" t="s">
        <v>24</v>
      </c>
      <c r="M734" s="1" t="s">
        <v>1585</v>
      </c>
      <c r="N734" s="1" t="s">
        <v>1606</v>
      </c>
    </row>
    <row r="735" spans="1:14" x14ac:dyDescent="0.35">
      <c r="A735">
        <v>3215169</v>
      </c>
      <c r="B735" s="1" t="s">
        <v>1255</v>
      </c>
      <c r="C735">
        <v>51163.9</v>
      </c>
      <c r="D735">
        <v>1381</v>
      </c>
      <c r="E735" s="1" t="s">
        <v>1607</v>
      </c>
      <c r="F735" s="1" t="s">
        <v>15</v>
      </c>
      <c r="G735" s="1" t="s">
        <v>32</v>
      </c>
      <c r="H735">
        <v>129</v>
      </c>
      <c r="I735">
        <v>32</v>
      </c>
      <c r="J735">
        <v>46</v>
      </c>
      <c r="K735" s="1" t="s">
        <v>90</v>
      </c>
      <c r="L735" s="1" t="s">
        <v>24</v>
      </c>
      <c r="M735" s="1" t="s">
        <v>1585</v>
      </c>
      <c r="N735" s="1" t="s">
        <v>1608</v>
      </c>
    </row>
    <row r="736" spans="1:14" x14ac:dyDescent="0.35">
      <c r="A736">
        <v>3215067</v>
      </c>
      <c r="B736" s="1" t="s">
        <v>1255</v>
      </c>
      <c r="C736">
        <v>51163.9</v>
      </c>
      <c r="D736">
        <v>1381</v>
      </c>
      <c r="E736" s="1" t="s">
        <v>1609</v>
      </c>
      <c r="F736" s="1" t="s">
        <v>15</v>
      </c>
      <c r="G736" s="1" t="s">
        <v>32</v>
      </c>
      <c r="H736">
        <v>115</v>
      </c>
      <c r="I736">
        <v>52</v>
      </c>
      <c r="J736">
        <v>460</v>
      </c>
      <c r="K736" s="1" t="s">
        <v>23</v>
      </c>
      <c r="L736" s="1" t="s">
        <v>24</v>
      </c>
      <c r="M736" s="1" t="s">
        <v>1585</v>
      </c>
      <c r="N736" s="1" t="s">
        <v>1610</v>
      </c>
    </row>
    <row r="737" spans="1:14" x14ac:dyDescent="0.35">
      <c r="A737">
        <v>3215171</v>
      </c>
      <c r="B737" s="1" t="s">
        <v>1255</v>
      </c>
      <c r="C737">
        <v>51163.9</v>
      </c>
      <c r="D737">
        <v>1381</v>
      </c>
      <c r="E737" s="1" t="s">
        <v>1611</v>
      </c>
      <c r="F737" s="1" t="s">
        <v>15</v>
      </c>
      <c r="G737" s="1" t="s">
        <v>32</v>
      </c>
      <c r="H737">
        <v>144</v>
      </c>
      <c r="I737">
        <v>22</v>
      </c>
      <c r="K737" s="1" t="s">
        <v>23</v>
      </c>
      <c r="L737" s="1" t="s">
        <v>24</v>
      </c>
      <c r="M737" s="1" t="s">
        <v>1585</v>
      </c>
      <c r="N737" s="1" t="s">
        <v>1612</v>
      </c>
    </row>
    <row r="738" spans="1:14" x14ac:dyDescent="0.35">
      <c r="A738">
        <v>3215162</v>
      </c>
      <c r="B738" s="1" t="s">
        <v>1255</v>
      </c>
      <c r="C738">
        <v>51163.9</v>
      </c>
      <c r="D738">
        <v>1381</v>
      </c>
      <c r="E738" s="1" t="s">
        <v>1613</v>
      </c>
      <c r="F738" s="1" t="s">
        <v>15</v>
      </c>
      <c r="G738" s="1" t="s">
        <v>32</v>
      </c>
      <c r="H738">
        <v>100</v>
      </c>
      <c r="I738">
        <v>21</v>
      </c>
      <c r="J738">
        <v>140</v>
      </c>
      <c r="K738" s="1" t="s">
        <v>90</v>
      </c>
      <c r="L738" s="1" t="s">
        <v>24</v>
      </c>
      <c r="M738" s="1" t="s">
        <v>1585</v>
      </c>
      <c r="N738" s="1" t="s">
        <v>1614</v>
      </c>
    </row>
    <row r="739" spans="1:14" x14ac:dyDescent="0.35">
      <c r="A739">
        <v>3215145</v>
      </c>
      <c r="B739" s="1" t="s">
        <v>1255</v>
      </c>
      <c r="C739">
        <v>51163.9</v>
      </c>
      <c r="D739">
        <v>1381</v>
      </c>
      <c r="E739" s="1" t="s">
        <v>1615</v>
      </c>
      <c r="F739" s="1" t="s">
        <v>15</v>
      </c>
      <c r="G739" s="1" t="s">
        <v>32</v>
      </c>
      <c r="H739">
        <v>100</v>
      </c>
      <c r="I739">
        <v>95</v>
      </c>
      <c r="J739">
        <v>321</v>
      </c>
      <c r="K739" s="1" t="s">
        <v>23</v>
      </c>
      <c r="L739" s="1" t="s">
        <v>24</v>
      </c>
      <c r="M739" s="1" t="s">
        <v>1585</v>
      </c>
      <c r="N739" s="1" t="s">
        <v>1616</v>
      </c>
    </row>
    <row r="740" spans="1:14" x14ac:dyDescent="0.35">
      <c r="A740">
        <v>3215160</v>
      </c>
      <c r="B740" s="1" t="s">
        <v>1255</v>
      </c>
      <c r="C740">
        <v>51163.9</v>
      </c>
      <c r="D740">
        <v>1381</v>
      </c>
      <c r="E740" s="1" t="s">
        <v>1617</v>
      </c>
      <c r="F740" s="1" t="s">
        <v>15</v>
      </c>
      <c r="G740" s="1" t="s">
        <v>32</v>
      </c>
      <c r="H740">
        <v>100</v>
      </c>
      <c r="I740">
        <v>46</v>
      </c>
      <c r="J740">
        <v>237</v>
      </c>
      <c r="K740" s="1" t="s">
        <v>90</v>
      </c>
      <c r="L740" s="1" t="s">
        <v>24</v>
      </c>
      <c r="M740" s="1" t="s">
        <v>1585</v>
      </c>
      <c r="N740" s="1" t="s">
        <v>1618</v>
      </c>
    </row>
    <row r="741" spans="1:14" x14ac:dyDescent="0.35">
      <c r="A741">
        <v>3215023</v>
      </c>
      <c r="B741" s="1" t="s">
        <v>1255</v>
      </c>
      <c r="C741">
        <v>51163.9</v>
      </c>
      <c r="D741">
        <v>1381</v>
      </c>
      <c r="E741" s="1" t="s">
        <v>1619</v>
      </c>
      <c r="F741" s="1" t="s">
        <v>15</v>
      </c>
      <c r="G741" s="1" t="s">
        <v>32</v>
      </c>
      <c r="H741">
        <v>161</v>
      </c>
      <c r="I741">
        <v>72</v>
      </c>
      <c r="J741">
        <v>289</v>
      </c>
      <c r="K741" s="1" t="s">
        <v>819</v>
      </c>
      <c r="L741" s="1" t="s">
        <v>24</v>
      </c>
      <c r="M741" s="1" t="s">
        <v>1585</v>
      </c>
      <c r="N741" s="1" t="s">
        <v>1620</v>
      </c>
    </row>
    <row r="742" spans="1:14" x14ac:dyDescent="0.35">
      <c r="A742">
        <v>3215158</v>
      </c>
      <c r="B742" s="1" t="s">
        <v>1255</v>
      </c>
      <c r="C742">
        <v>51163.9</v>
      </c>
      <c r="D742">
        <v>1381</v>
      </c>
      <c r="E742" s="1" t="s">
        <v>1621</v>
      </c>
      <c r="F742" s="1" t="s">
        <v>15</v>
      </c>
      <c r="G742" s="1" t="s">
        <v>32</v>
      </c>
      <c r="H742">
        <v>193</v>
      </c>
      <c r="I742">
        <v>57</v>
      </c>
      <c r="J742">
        <v>243</v>
      </c>
      <c r="K742" s="1" t="s">
        <v>90</v>
      </c>
      <c r="L742" s="1" t="s">
        <v>24</v>
      </c>
      <c r="M742" s="1" t="s">
        <v>1585</v>
      </c>
      <c r="N742" s="1" t="s">
        <v>1622</v>
      </c>
    </row>
    <row r="743" spans="1:14" x14ac:dyDescent="0.35">
      <c r="A743">
        <v>3215056</v>
      </c>
      <c r="B743" s="1" t="s">
        <v>1255</v>
      </c>
      <c r="C743">
        <v>51163.9</v>
      </c>
      <c r="D743">
        <v>1381</v>
      </c>
      <c r="E743" s="1" t="s">
        <v>1623</v>
      </c>
      <c r="F743" s="1" t="s">
        <v>15</v>
      </c>
      <c r="G743" s="1" t="s">
        <v>32</v>
      </c>
      <c r="H743">
        <v>146</v>
      </c>
      <c r="I743">
        <v>29</v>
      </c>
      <c r="J743">
        <v>387</v>
      </c>
      <c r="K743" s="1" t="s">
        <v>90</v>
      </c>
      <c r="L743" s="1" t="s">
        <v>24</v>
      </c>
      <c r="M743" s="1" t="s">
        <v>1585</v>
      </c>
      <c r="N743" s="1" t="s">
        <v>1624</v>
      </c>
    </row>
    <row r="744" spans="1:14" x14ac:dyDescent="0.35">
      <c r="A744">
        <v>3215167</v>
      </c>
      <c r="B744" s="1" t="s">
        <v>1255</v>
      </c>
      <c r="C744">
        <v>51163.9</v>
      </c>
      <c r="D744">
        <v>1381</v>
      </c>
      <c r="E744" s="1" t="s">
        <v>1625</v>
      </c>
      <c r="F744" s="1" t="s">
        <v>15</v>
      </c>
      <c r="G744" s="1" t="s">
        <v>32</v>
      </c>
      <c r="H744">
        <v>172</v>
      </c>
      <c r="I744">
        <v>26</v>
      </c>
      <c r="J744">
        <v>34</v>
      </c>
      <c r="K744" s="1" t="s">
        <v>90</v>
      </c>
      <c r="L744" s="1" t="s">
        <v>24</v>
      </c>
      <c r="M744" s="1" t="s">
        <v>1585</v>
      </c>
      <c r="N744" s="1" t="s">
        <v>1626</v>
      </c>
    </row>
    <row r="745" spans="1:14" x14ac:dyDescent="0.35">
      <c r="A745">
        <v>3215164</v>
      </c>
      <c r="B745" s="1" t="s">
        <v>1255</v>
      </c>
      <c r="C745">
        <v>51163.9</v>
      </c>
      <c r="D745">
        <v>1381</v>
      </c>
      <c r="E745" s="1" t="s">
        <v>1627</v>
      </c>
      <c r="F745" s="1" t="s">
        <v>15</v>
      </c>
      <c r="G745" s="1" t="s">
        <v>22</v>
      </c>
      <c r="H745">
        <v>90</v>
      </c>
      <c r="I745">
        <v>23</v>
      </c>
      <c r="J745">
        <v>47</v>
      </c>
      <c r="K745" s="1" t="s">
        <v>90</v>
      </c>
      <c r="L745" s="1" t="s">
        <v>24</v>
      </c>
      <c r="M745" s="1" t="s">
        <v>1585</v>
      </c>
      <c r="N745" s="1" t="s">
        <v>1628</v>
      </c>
    </row>
    <row r="746" spans="1:14" x14ac:dyDescent="0.35">
      <c r="A746">
        <v>3215163</v>
      </c>
      <c r="B746" s="1" t="s">
        <v>1255</v>
      </c>
      <c r="C746">
        <v>51163.9</v>
      </c>
      <c r="D746">
        <v>1381</v>
      </c>
      <c r="E746" s="1" t="s">
        <v>1629</v>
      </c>
      <c r="F746" s="1" t="s">
        <v>15</v>
      </c>
      <c r="G746" s="1" t="s">
        <v>22</v>
      </c>
      <c r="H746">
        <v>51</v>
      </c>
      <c r="I746">
        <v>18</v>
      </c>
      <c r="J746">
        <v>79</v>
      </c>
      <c r="K746" s="1" t="s">
        <v>90</v>
      </c>
      <c r="L746" s="1" t="s">
        <v>24</v>
      </c>
      <c r="M746" s="1" t="s">
        <v>1585</v>
      </c>
      <c r="N746" s="1" t="s">
        <v>1630</v>
      </c>
    </row>
    <row r="747" spans="1:14" x14ac:dyDescent="0.35">
      <c r="A747">
        <v>3215089</v>
      </c>
      <c r="B747" s="1" t="s">
        <v>1255</v>
      </c>
      <c r="C747">
        <v>51163.9</v>
      </c>
      <c r="D747">
        <v>1381</v>
      </c>
      <c r="E747" s="1" t="s">
        <v>1631</v>
      </c>
      <c r="F747" s="1" t="s">
        <v>15</v>
      </c>
      <c r="G747" s="1" t="s">
        <v>22</v>
      </c>
      <c r="H747">
        <v>61</v>
      </c>
      <c r="I747">
        <v>21</v>
      </c>
      <c r="J747">
        <v>65</v>
      </c>
      <c r="K747" s="1" t="s">
        <v>23</v>
      </c>
      <c r="L747" s="1" t="s">
        <v>24</v>
      </c>
      <c r="M747" s="1" t="s">
        <v>1585</v>
      </c>
      <c r="N747" s="1" t="s">
        <v>1632</v>
      </c>
    </row>
    <row r="748" spans="1:14" x14ac:dyDescent="0.35">
      <c r="A748">
        <v>3215100</v>
      </c>
      <c r="B748" s="1" t="s">
        <v>1255</v>
      </c>
      <c r="C748">
        <v>51163.9</v>
      </c>
      <c r="D748">
        <v>1381</v>
      </c>
      <c r="E748" s="1" t="s">
        <v>1633</v>
      </c>
      <c r="F748" s="1" t="s">
        <v>15</v>
      </c>
      <c r="G748" s="1" t="s">
        <v>22</v>
      </c>
      <c r="H748">
        <v>55</v>
      </c>
      <c r="I748">
        <v>22</v>
      </c>
      <c r="J748">
        <v>21</v>
      </c>
      <c r="K748" s="1" t="s">
        <v>23</v>
      </c>
      <c r="L748" s="1" t="s">
        <v>24</v>
      </c>
      <c r="M748" s="1" t="s">
        <v>1585</v>
      </c>
      <c r="N748" s="1" t="s">
        <v>1634</v>
      </c>
    </row>
    <row r="749" spans="1:14" x14ac:dyDescent="0.35">
      <c r="A749">
        <v>3215165</v>
      </c>
      <c r="B749" s="1" t="s">
        <v>1255</v>
      </c>
      <c r="C749">
        <v>51163.9</v>
      </c>
      <c r="D749">
        <v>1381</v>
      </c>
      <c r="E749" s="1" t="s">
        <v>1635</v>
      </c>
      <c r="F749" s="1" t="s">
        <v>15</v>
      </c>
      <c r="G749" s="1" t="s">
        <v>22</v>
      </c>
      <c r="H749">
        <v>94</v>
      </c>
      <c r="I749">
        <v>24</v>
      </c>
      <c r="J749">
        <v>126</v>
      </c>
      <c r="K749" s="1" t="s">
        <v>90</v>
      </c>
      <c r="L749" s="1" t="s">
        <v>24</v>
      </c>
      <c r="M749" s="1" t="s">
        <v>1585</v>
      </c>
      <c r="N749" s="1" t="s">
        <v>1636</v>
      </c>
    </row>
    <row r="750" spans="1:14" x14ac:dyDescent="0.35">
      <c r="A750">
        <v>3273431</v>
      </c>
      <c r="B750" s="1" t="s">
        <v>1255</v>
      </c>
      <c r="C750">
        <v>51163.9</v>
      </c>
      <c r="D750">
        <v>1381</v>
      </c>
      <c r="E750" s="1" t="s">
        <v>1637</v>
      </c>
      <c r="F750" s="1" t="s">
        <v>220</v>
      </c>
      <c r="G750" s="1" t="s">
        <v>32</v>
      </c>
      <c r="H750">
        <v>29</v>
      </c>
      <c r="I750">
        <v>37</v>
      </c>
      <c r="J750">
        <v>171</v>
      </c>
      <c r="K750" s="1" t="s">
        <v>84</v>
      </c>
      <c r="L750" s="1" t="s">
        <v>24</v>
      </c>
      <c r="M750" s="1" t="s">
        <v>1638</v>
      </c>
      <c r="N750" s="1" t="s">
        <v>1639</v>
      </c>
    </row>
    <row r="751" spans="1:14" x14ac:dyDescent="0.35">
      <c r="A751">
        <v>3273464</v>
      </c>
      <c r="B751" s="1" t="s">
        <v>1255</v>
      </c>
      <c r="C751">
        <v>51163.9</v>
      </c>
      <c r="D751">
        <v>1381</v>
      </c>
      <c r="E751" s="1" t="s">
        <v>1640</v>
      </c>
      <c r="F751" s="1" t="s">
        <v>119</v>
      </c>
      <c r="G751" s="1" t="s">
        <v>130</v>
      </c>
      <c r="H751">
        <v>13</v>
      </c>
      <c r="I751">
        <v>20</v>
      </c>
      <c r="J751">
        <v>142</v>
      </c>
      <c r="K751" s="1" t="s">
        <v>49</v>
      </c>
      <c r="L751" s="1" t="s">
        <v>24</v>
      </c>
      <c r="M751" s="1" t="s">
        <v>1638</v>
      </c>
      <c r="N751" s="1" t="s">
        <v>1641</v>
      </c>
    </row>
    <row r="752" spans="1:14" x14ac:dyDescent="0.35">
      <c r="A752">
        <v>3273540</v>
      </c>
      <c r="B752" s="1" t="s">
        <v>1255</v>
      </c>
      <c r="C752">
        <v>51163.9</v>
      </c>
      <c r="D752">
        <v>1381</v>
      </c>
      <c r="E752" s="1" t="s">
        <v>1642</v>
      </c>
      <c r="F752" s="1" t="s">
        <v>119</v>
      </c>
      <c r="G752" s="1" t="s">
        <v>16</v>
      </c>
      <c r="H752">
        <v>13</v>
      </c>
      <c r="I752">
        <v>17</v>
      </c>
      <c r="J752">
        <v>149</v>
      </c>
      <c r="K752" s="1" t="s">
        <v>137</v>
      </c>
      <c r="L752" s="1" t="s">
        <v>18</v>
      </c>
      <c r="M752" s="1" t="s">
        <v>1638</v>
      </c>
      <c r="N752" s="1" t="s">
        <v>1643</v>
      </c>
    </row>
    <row r="753" spans="1:14" x14ac:dyDescent="0.35">
      <c r="A753">
        <v>3204124</v>
      </c>
      <c r="B753" s="1" t="s">
        <v>1255</v>
      </c>
      <c r="C753">
        <v>51163.9</v>
      </c>
      <c r="D753">
        <v>1381</v>
      </c>
      <c r="E753" s="1" t="s">
        <v>1644</v>
      </c>
      <c r="F753" s="1" t="s">
        <v>119</v>
      </c>
      <c r="G753" s="1" t="s">
        <v>16</v>
      </c>
      <c r="H753">
        <v>13</v>
      </c>
      <c r="I753">
        <v>24</v>
      </c>
      <c r="J753">
        <v>157</v>
      </c>
      <c r="K753" s="1" t="s">
        <v>23</v>
      </c>
      <c r="L753" s="1" t="s">
        <v>24</v>
      </c>
      <c r="M753" s="1" t="s">
        <v>1638</v>
      </c>
      <c r="N753" s="1" t="s">
        <v>1645</v>
      </c>
    </row>
    <row r="754" spans="1:14" x14ac:dyDescent="0.35">
      <c r="A754">
        <v>3273453</v>
      </c>
      <c r="B754" s="1" t="s">
        <v>1255</v>
      </c>
      <c r="C754">
        <v>51163.9</v>
      </c>
      <c r="D754">
        <v>1381</v>
      </c>
      <c r="E754" s="1" t="s">
        <v>1646</v>
      </c>
      <c r="F754" s="1" t="s">
        <v>1647</v>
      </c>
      <c r="G754" s="1" t="s">
        <v>32</v>
      </c>
      <c r="H754">
        <v>32</v>
      </c>
      <c r="I754">
        <v>35</v>
      </c>
      <c r="J754">
        <v>349</v>
      </c>
      <c r="K754" s="1" t="s">
        <v>84</v>
      </c>
      <c r="L754" s="1" t="s">
        <v>24</v>
      </c>
      <c r="M754" s="1" t="s">
        <v>1638</v>
      </c>
      <c r="N754" s="1" t="s">
        <v>1648</v>
      </c>
    </row>
    <row r="755" spans="1:14" x14ac:dyDescent="0.35">
      <c r="A755">
        <v>3273165</v>
      </c>
      <c r="B755" s="1" t="s">
        <v>1255</v>
      </c>
      <c r="C755">
        <v>51163.9</v>
      </c>
      <c r="D755">
        <v>1381</v>
      </c>
      <c r="E755" s="1" t="s">
        <v>1649</v>
      </c>
      <c r="F755" s="1" t="s">
        <v>71</v>
      </c>
      <c r="G755" s="1" t="s">
        <v>16</v>
      </c>
      <c r="H755">
        <v>100</v>
      </c>
      <c r="I755">
        <v>77</v>
      </c>
      <c r="J755">
        <v>506</v>
      </c>
      <c r="K755" s="1" t="s">
        <v>90</v>
      </c>
      <c r="L755" s="1" t="s">
        <v>24</v>
      </c>
      <c r="M755" s="1" t="s">
        <v>1638</v>
      </c>
      <c r="N755" s="1" t="s">
        <v>1650</v>
      </c>
    </row>
    <row r="756" spans="1:14" x14ac:dyDescent="0.35">
      <c r="A756">
        <v>3273528</v>
      </c>
      <c r="B756" s="1" t="s">
        <v>1255</v>
      </c>
      <c r="C756">
        <v>51163.9</v>
      </c>
      <c r="D756">
        <v>1381</v>
      </c>
      <c r="E756" s="1" t="s">
        <v>1651</v>
      </c>
      <c r="F756" s="1" t="s">
        <v>71</v>
      </c>
      <c r="G756" s="1" t="s">
        <v>32</v>
      </c>
      <c r="H756">
        <v>41</v>
      </c>
      <c r="I756">
        <v>30</v>
      </c>
      <c r="J756">
        <v>110</v>
      </c>
      <c r="K756" s="1" t="s">
        <v>23</v>
      </c>
      <c r="L756" s="1" t="s">
        <v>24</v>
      </c>
      <c r="M756" s="1" t="s">
        <v>1638</v>
      </c>
      <c r="N756" s="1" t="s">
        <v>1652</v>
      </c>
    </row>
    <row r="757" spans="1:14" x14ac:dyDescent="0.35">
      <c r="A757">
        <v>3273546</v>
      </c>
      <c r="B757" s="1" t="s">
        <v>1255</v>
      </c>
      <c r="C757">
        <v>51163.9</v>
      </c>
      <c r="D757">
        <v>1381</v>
      </c>
      <c r="E757" s="1" t="s">
        <v>1653</v>
      </c>
      <c r="F757" s="1" t="s">
        <v>71</v>
      </c>
      <c r="G757" s="1" t="s">
        <v>32</v>
      </c>
      <c r="H757">
        <v>27</v>
      </c>
      <c r="I757">
        <v>25</v>
      </c>
      <c r="J757">
        <v>79</v>
      </c>
      <c r="K757" s="1" t="s">
        <v>23</v>
      </c>
      <c r="L757" s="1" t="s">
        <v>24</v>
      </c>
      <c r="M757" s="1" t="s">
        <v>1638</v>
      </c>
      <c r="N757" s="1" t="s">
        <v>1654</v>
      </c>
    </row>
    <row r="758" spans="1:14" x14ac:dyDescent="0.35">
      <c r="A758">
        <v>3273541</v>
      </c>
      <c r="B758" s="1" t="s">
        <v>1255</v>
      </c>
      <c r="C758">
        <v>51163.9</v>
      </c>
      <c r="D758">
        <v>1381</v>
      </c>
      <c r="E758" s="1" t="s">
        <v>1655</v>
      </c>
      <c r="F758" s="1" t="s">
        <v>71</v>
      </c>
      <c r="G758" s="1" t="s">
        <v>32</v>
      </c>
      <c r="H758">
        <v>39</v>
      </c>
      <c r="I758">
        <v>14</v>
      </c>
      <c r="J758">
        <v>141</v>
      </c>
      <c r="K758" s="1" t="s">
        <v>23</v>
      </c>
      <c r="L758" s="1" t="s">
        <v>24</v>
      </c>
      <c r="M758" s="1" t="s">
        <v>1638</v>
      </c>
      <c r="N758" s="1" t="s">
        <v>1656</v>
      </c>
    </row>
    <row r="759" spans="1:14" x14ac:dyDescent="0.35">
      <c r="A759">
        <v>3204129</v>
      </c>
      <c r="B759" s="1" t="s">
        <v>1255</v>
      </c>
      <c r="C759">
        <v>51163.9</v>
      </c>
      <c r="D759">
        <v>1381</v>
      </c>
      <c r="E759" s="1" t="s">
        <v>1657</v>
      </c>
      <c r="F759" s="1" t="s">
        <v>71</v>
      </c>
      <c r="G759" s="1" t="s">
        <v>32</v>
      </c>
      <c r="H759">
        <v>40</v>
      </c>
      <c r="I759">
        <v>34</v>
      </c>
      <c r="J759">
        <v>221</v>
      </c>
      <c r="K759" s="1" t="s">
        <v>23</v>
      </c>
      <c r="L759" s="1" t="s">
        <v>24</v>
      </c>
      <c r="M759" s="1" t="s">
        <v>1638</v>
      </c>
      <c r="N759" s="1" t="s">
        <v>1658</v>
      </c>
    </row>
    <row r="760" spans="1:14" x14ac:dyDescent="0.35">
      <c r="A760">
        <v>3273560</v>
      </c>
      <c r="B760" s="1" t="s">
        <v>1255</v>
      </c>
      <c r="C760">
        <v>51163.9</v>
      </c>
      <c r="D760">
        <v>1381</v>
      </c>
      <c r="E760" s="1" t="s">
        <v>1659</v>
      </c>
      <c r="F760" s="1" t="s">
        <v>738</v>
      </c>
      <c r="G760" s="1" t="s">
        <v>32</v>
      </c>
      <c r="H760">
        <v>31</v>
      </c>
      <c r="I760">
        <v>45</v>
      </c>
      <c r="K760" s="1" t="s">
        <v>23</v>
      </c>
      <c r="L760" s="1" t="s">
        <v>24</v>
      </c>
      <c r="M760" s="1" t="s">
        <v>1638</v>
      </c>
      <c r="N760" s="1" t="s">
        <v>1660</v>
      </c>
    </row>
    <row r="761" spans="1:14" x14ac:dyDescent="0.35">
      <c r="A761">
        <v>3273558</v>
      </c>
      <c r="B761" s="1" t="s">
        <v>1255</v>
      </c>
      <c r="C761">
        <v>51163.9</v>
      </c>
      <c r="D761">
        <v>1381</v>
      </c>
      <c r="E761" s="1" t="s">
        <v>1661</v>
      </c>
      <c r="F761" s="1" t="s">
        <v>738</v>
      </c>
      <c r="G761" s="1" t="s">
        <v>32</v>
      </c>
      <c r="H761">
        <v>31</v>
      </c>
      <c r="I761">
        <v>45</v>
      </c>
      <c r="K761" s="1" t="s">
        <v>90</v>
      </c>
      <c r="L761" s="1" t="s">
        <v>24</v>
      </c>
      <c r="M761" s="1" t="s">
        <v>1638</v>
      </c>
      <c r="N761" s="1" t="s">
        <v>1662</v>
      </c>
    </row>
    <row r="762" spans="1:14" x14ac:dyDescent="0.35">
      <c r="A762">
        <v>3273191</v>
      </c>
      <c r="B762" s="1" t="s">
        <v>1255</v>
      </c>
      <c r="C762">
        <v>51163.9</v>
      </c>
      <c r="D762">
        <v>1381</v>
      </c>
      <c r="E762" s="1" t="s">
        <v>1663</v>
      </c>
      <c r="F762" s="1" t="s">
        <v>334</v>
      </c>
      <c r="G762" s="1" t="s">
        <v>130</v>
      </c>
      <c r="H762">
        <v>88</v>
      </c>
      <c r="I762">
        <v>37</v>
      </c>
      <c r="J762">
        <v>428</v>
      </c>
      <c r="K762" s="1" t="s">
        <v>339</v>
      </c>
      <c r="L762" s="1" t="s">
        <v>120</v>
      </c>
      <c r="M762" s="1" t="s">
        <v>1638</v>
      </c>
      <c r="N762" s="1" t="s">
        <v>1664</v>
      </c>
    </row>
    <row r="763" spans="1:14" x14ac:dyDescent="0.35">
      <c r="A763">
        <v>3204130</v>
      </c>
      <c r="B763" s="1" t="s">
        <v>1255</v>
      </c>
      <c r="C763">
        <v>51163.9</v>
      </c>
      <c r="D763">
        <v>1381</v>
      </c>
      <c r="E763" s="1" t="s">
        <v>1665</v>
      </c>
      <c r="F763" s="1" t="s">
        <v>334</v>
      </c>
      <c r="G763" s="1" t="s">
        <v>32</v>
      </c>
      <c r="H763">
        <v>16</v>
      </c>
      <c r="I763">
        <v>25</v>
      </c>
      <c r="J763">
        <v>52</v>
      </c>
      <c r="K763" s="1" t="s">
        <v>23</v>
      </c>
      <c r="L763" s="1" t="s">
        <v>24</v>
      </c>
      <c r="M763" s="1" t="s">
        <v>1638</v>
      </c>
      <c r="N763" s="1" t="s">
        <v>1666</v>
      </c>
    </row>
    <row r="764" spans="1:14" x14ac:dyDescent="0.35">
      <c r="A764">
        <v>3273201</v>
      </c>
      <c r="B764" s="1" t="s">
        <v>1255</v>
      </c>
      <c r="C764">
        <v>51163.9</v>
      </c>
      <c r="D764">
        <v>1381</v>
      </c>
      <c r="E764" s="1" t="s">
        <v>1667</v>
      </c>
      <c r="F764" s="1" t="s">
        <v>1431</v>
      </c>
      <c r="G764" s="1" t="s">
        <v>130</v>
      </c>
      <c r="H764">
        <v>7</v>
      </c>
      <c r="I764">
        <v>37</v>
      </c>
      <c r="J764">
        <v>369</v>
      </c>
      <c r="K764" s="1" t="s">
        <v>339</v>
      </c>
      <c r="L764" s="1" t="s">
        <v>120</v>
      </c>
      <c r="M764" s="1" t="s">
        <v>1638</v>
      </c>
      <c r="N764" s="1" t="s">
        <v>1668</v>
      </c>
    </row>
    <row r="765" spans="1:14" x14ac:dyDescent="0.35">
      <c r="A765">
        <v>3273015</v>
      </c>
      <c r="B765" s="1" t="s">
        <v>1255</v>
      </c>
      <c r="C765">
        <v>51163.9</v>
      </c>
      <c r="D765">
        <v>1381</v>
      </c>
      <c r="E765" s="1" t="s">
        <v>1669</v>
      </c>
      <c r="F765" s="1" t="s">
        <v>15</v>
      </c>
      <c r="G765" s="1" t="s">
        <v>130</v>
      </c>
      <c r="H765">
        <v>926</v>
      </c>
      <c r="I765">
        <v>81</v>
      </c>
      <c r="J765">
        <v>2979</v>
      </c>
      <c r="K765" s="1" t="s">
        <v>339</v>
      </c>
      <c r="L765" s="1" t="s">
        <v>120</v>
      </c>
      <c r="M765" s="1" t="s">
        <v>1638</v>
      </c>
      <c r="N765" s="1" t="s">
        <v>1670</v>
      </c>
    </row>
    <row r="766" spans="1:14" x14ac:dyDescent="0.35">
      <c r="A766">
        <v>3273542</v>
      </c>
      <c r="B766" s="1" t="s">
        <v>1255</v>
      </c>
      <c r="C766">
        <v>51163.9</v>
      </c>
      <c r="D766">
        <v>1381</v>
      </c>
      <c r="E766" s="1" t="s">
        <v>1671</v>
      </c>
      <c r="F766" s="1" t="s">
        <v>15</v>
      </c>
      <c r="G766" s="1" t="s">
        <v>130</v>
      </c>
      <c r="H766">
        <v>450</v>
      </c>
      <c r="I766">
        <v>140</v>
      </c>
      <c r="J766">
        <v>641</v>
      </c>
      <c r="K766" s="1" t="s">
        <v>23</v>
      </c>
      <c r="L766" s="1" t="s">
        <v>24</v>
      </c>
      <c r="M766" s="1" t="s">
        <v>1638</v>
      </c>
      <c r="N766" s="1" t="s">
        <v>1672</v>
      </c>
    </row>
    <row r="767" spans="1:14" x14ac:dyDescent="0.35">
      <c r="A767">
        <v>3273486</v>
      </c>
      <c r="B767" s="1" t="s">
        <v>1255</v>
      </c>
      <c r="C767">
        <v>51163.9</v>
      </c>
      <c r="D767">
        <v>1381</v>
      </c>
      <c r="E767" s="1" t="s">
        <v>1673</v>
      </c>
      <c r="F767" s="1" t="s">
        <v>15</v>
      </c>
      <c r="G767" s="1" t="s">
        <v>130</v>
      </c>
      <c r="H767">
        <v>500</v>
      </c>
      <c r="I767">
        <v>138</v>
      </c>
      <c r="J767">
        <v>1573</v>
      </c>
      <c r="K767" s="1" t="s">
        <v>23</v>
      </c>
      <c r="L767" s="1" t="s">
        <v>24</v>
      </c>
      <c r="M767" s="1" t="s">
        <v>1638</v>
      </c>
      <c r="N767" s="1" t="s">
        <v>1674</v>
      </c>
    </row>
    <row r="768" spans="1:14" x14ac:dyDescent="0.35">
      <c r="A768">
        <v>3273539</v>
      </c>
      <c r="B768" s="1" t="s">
        <v>1255</v>
      </c>
      <c r="C768">
        <v>51163.9</v>
      </c>
      <c r="D768">
        <v>1381</v>
      </c>
      <c r="E768" s="1" t="s">
        <v>1675</v>
      </c>
      <c r="F768" s="1" t="s">
        <v>15</v>
      </c>
      <c r="G768" s="1" t="s">
        <v>16</v>
      </c>
      <c r="H768">
        <v>210</v>
      </c>
      <c r="I768">
        <v>132</v>
      </c>
      <c r="J768">
        <v>449</v>
      </c>
      <c r="K768" s="1" t="s">
        <v>23</v>
      </c>
      <c r="L768" s="1" t="s">
        <v>24</v>
      </c>
      <c r="M768" s="1" t="s">
        <v>1638</v>
      </c>
      <c r="N768" s="1" t="s">
        <v>1676</v>
      </c>
    </row>
    <row r="769" spans="1:14" x14ac:dyDescent="0.35">
      <c r="A769">
        <v>3273026</v>
      </c>
      <c r="B769" s="1" t="s">
        <v>1255</v>
      </c>
      <c r="C769">
        <v>51163.9</v>
      </c>
      <c r="D769">
        <v>1381</v>
      </c>
      <c r="E769" s="1" t="s">
        <v>1677</v>
      </c>
      <c r="F769" s="1" t="s">
        <v>15</v>
      </c>
      <c r="G769" s="1" t="s">
        <v>16</v>
      </c>
      <c r="H769">
        <v>220</v>
      </c>
      <c r="I769">
        <v>63</v>
      </c>
      <c r="J769">
        <v>468</v>
      </c>
      <c r="K769" s="1" t="s">
        <v>146</v>
      </c>
      <c r="L769" s="1" t="s">
        <v>24</v>
      </c>
      <c r="M769" s="1" t="s">
        <v>1638</v>
      </c>
      <c r="N769" s="1" t="s">
        <v>1678</v>
      </c>
    </row>
    <row r="770" spans="1:14" x14ac:dyDescent="0.35">
      <c r="A770">
        <v>3273420</v>
      </c>
      <c r="B770" s="1" t="s">
        <v>1255</v>
      </c>
      <c r="C770">
        <v>51163.9</v>
      </c>
      <c r="D770">
        <v>1381</v>
      </c>
      <c r="E770" s="1" t="s">
        <v>1679</v>
      </c>
      <c r="F770" s="1" t="s">
        <v>15</v>
      </c>
      <c r="G770" s="1" t="s">
        <v>16</v>
      </c>
      <c r="H770">
        <v>275</v>
      </c>
      <c r="I770">
        <v>139</v>
      </c>
      <c r="J770">
        <v>975</v>
      </c>
      <c r="K770" s="1" t="s">
        <v>23</v>
      </c>
      <c r="L770" s="1" t="s">
        <v>24</v>
      </c>
      <c r="M770" s="1" t="s">
        <v>1638</v>
      </c>
      <c r="N770" s="1" t="s">
        <v>1680</v>
      </c>
    </row>
    <row r="771" spans="1:14" x14ac:dyDescent="0.35">
      <c r="A771">
        <v>3273074</v>
      </c>
      <c r="B771" s="1" t="s">
        <v>1255</v>
      </c>
      <c r="C771">
        <v>51163.9</v>
      </c>
      <c r="D771">
        <v>1381</v>
      </c>
      <c r="E771" s="1" t="s">
        <v>1681</v>
      </c>
      <c r="F771" s="1" t="s">
        <v>15</v>
      </c>
      <c r="G771" s="1" t="s">
        <v>16</v>
      </c>
      <c r="H771">
        <v>350</v>
      </c>
      <c r="I771">
        <v>140</v>
      </c>
      <c r="J771">
        <v>1656</v>
      </c>
      <c r="K771" s="1" t="s">
        <v>572</v>
      </c>
      <c r="L771" s="1" t="s">
        <v>24</v>
      </c>
      <c r="M771" s="1" t="s">
        <v>1638</v>
      </c>
      <c r="N771" s="1" t="s">
        <v>1682</v>
      </c>
    </row>
    <row r="772" spans="1:14" x14ac:dyDescent="0.35">
      <c r="A772">
        <v>3273085</v>
      </c>
      <c r="B772" s="1" t="s">
        <v>1255</v>
      </c>
      <c r="C772">
        <v>51163.9</v>
      </c>
      <c r="D772">
        <v>1381</v>
      </c>
      <c r="E772" s="1" t="s">
        <v>1683</v>
      </c>
      <c r="F772" s="1" t="s">
        <v>15</v>
      </c>
      <c r="G772" s="1" t="s">
        <v>16</v>
      </c>
      <c r="H772">
        <v>508</v>
      </c>
      <c r="I772">
        <v>117</v>
      </c>
      <c r="J772">
        <v>959</v>
      </c>
      <c r="K772" s="1" t="s">
        <v>84</v>
      </c>
      <c r="L772" s="1" t="s">
        <v>24</v>
      </c>
      <c r="M772" s="1" t="s">
        <v>1638</v>
      </c>
      <c r="N772" s="1" t="s">
        <v>1684</v>
      </c>
    </row>
    <row r="773" spans="1:14" x14ac:dyDescent="0.35">
      <c r="A773">
        <v>3273405</v>
      </c>
      <c r="B773" s="1" t="s">
        <v>1255</v>
      </c>
      <c r="C773">
        <v>51163.9</v>
      </c>
      <c r="D773">
        <v>1381</v>
      </c>
      <c r="E773" s="1" t="s">
        <v>1685</v>
      </c>
      <c r="F773" s="1" t="s">
        <v>15</v>
      </c>
      <c r="G773" s="1" t="s">
        <v>16</v>
      </c>
      <c r="H773">
        <v>213</v>
      </c>
      <c r="I773">
        <v>38</v>
      </c>
      <c r="J773">
        <v>358</v>
      </c>
      <c r="K773" s="1" t="s">
        <v>137</v>
      </c>
      <c r="L773" s="1" t="s">
        <v>18</v>
      </c>
      <c r="M773" s="1" t="s">
        <v>1638</v>
      </c>
      <c r="N773" s="1" t="s">
        <v>1686</v>
      </c>
    </row>
    <row r="774" spans="1:14" x14ac:dyDescent="0.35">
      <c r="A774">
        <v>3273260</v>
      </c>
      <c r="B774" s="1" t="s">
        <v>1255</v>
      </c>
      <c r="C774">
        <v>51163.9</v>
      </c>
      <c r="D774">
        <v>1381</v>
      </c>
      <c r="E774" s="1" t="s">
        <v>1687</v>
      </c>
      <c r="F774" s="1" t="s">
        <v>15</v>
      </c>
      <c r="G774" s="1" t="s">
        <v>16</v>
      </c>
      <c r="H774">
        <v>348</v>
      </c>
      <c r="I774">
        <v>91</v>
      </c>
      <c r="J774">
        <v>753</v>
      </c>
      <c r="K774" s="1" t="s">
        <v>137</v>
      </c>
      <c r="L774" s="1" t="s">
        <v>18</v>
      </c>
      <c r="M774" s="1" t="s">
        <v>1638</v>
      </c>
      <c r="N774" s="1" t="s">
        <v>1688</v>
      </c>
    </row>
    <row r="775" spans="1:14" x14ac:dyDescent="0.35">
      <c r="A775">
        <v>3273052</v>
      </c>
      <c r="B775" s="1" t="s">
        <v>1255</v>
      </c>
      <c r="C775">
        <v>51163.9</v>
      </c>
      <c r="D775">
        <v>1381</v>
      </c>
      <c r="E775" s="1" t="s">
        <v>1689</v>
      </c>
      <c r="F775" s="1" t="s">
        <v>15</v>
      </c>
      <c r="G775" s="1" t="s">
        <v>16</v>
      </c>
      <c r="H775">
        <v>320</v>
      </c>
      <c r="I775">
        <v>58</v>
      </c>
      <c r="J775">
        <v>1254</v>
      </c>
      <c r="K775" s="1" t="s">
        <v>819</v>
      </c>
      <c r="L775" s="1" t="s">
        <v>24</v>
      </c>
      <c r="M775" s="1" t="s">
        <v>1638</v>
      </c>
      <c r="N775" s="1" t="s">
        <v>1690</v>
      </c>
    </row>
    <row r="776" spans="1:14" x14ac:dyDescent="0.35">
      <c r="A776">
        <v>3273030</v>
      </c>
      <c r="B776" s="1" t="s">
        <v>1255</v>
      </c>
      <c r="C776">
        <v>51163.9</v>
      </c>
      <c r="D776">
        <v>1381</v>
      </c>
      <c r="E776" s="1" t="s">
        <v>1691</v>
      </c>
      <c r="F776" s="1" t="s">
        <v>15</v>
      </c>
      <c r="G776" s="1" t="s">
        <v>16</v>
      </c>
      <c r="H776">
        <v>200</v>
      </c>
      <c r="I776">
        <v>104</v>
      </c>
      <c r="J776">
        <v>212</v>
      </c>
      <c r="K776" s="1" t="s">
        <v>974</v>
      </c>
      <c r="L776" s="1" t="s">
        <v>120</v>
      </c>
      <c r="M776" s="1" t="s">
        <v>1638</v>
      </c>
      <c r="N776" s="1" t="s">
        <v>1692</v>
      </c>
    </row>
    <row r="777" spans="1:14" x14ac:dyDescent="0.35">
      <c r="A777">
        <v>3273559</v>
      </c>
      <c r="B777" s="1" t="s">
        <v>1255</v>
      </c>
      <c r="C777">
        <v>51163.9</v>
      </c>
      <c r="D777">
        <v>1381</v>
      </c>
      <c r="E777" s="1" t="s">
        <v>1693</v>
      </c>
      <c r="F777" s="1" t="s">
        <v>15</v>
      </c>
      <c r="G777" s="1" t="s">
        <v>16</v>
      </c>
      <c r="H777">
        <v>144</v>
      </c>
      <c r="I777">
        <v>92</v>
      </c>
      <c r="K777" s="1" t="s">
        <v>23</v>
      </c>
      <c r="L777" s="1" t="s">
        <v>24</v>
      </c>
      <c r="M777" s="1" t="s">
        <v>1638</v>
      </c>
      <c r="N777" s="1" t="s">
        <v>1694</v>
      </c>
    </row>
    <row r="778" spans="1:14" x14ac:dyDescent="0.35">
      <c r="A778">
        <v>3273121</v>
      </c>
      <c r="B778" s="1" t="s">
        <v>1255</v>
      </c>
      <c r="C778">
        <v>51163.9</v>
      </c>
      <c r="D778">
        <v>1381</v>
      </c>
      <c r="E778" s="1" t="s">
        <v>1695</v>
      </c>
      <c r="F778" s="1" t="s">
        <v>15</v>
      </c>
      <c r="G778" s="1" t="s">
        <v>32</v>
      </c>
      <c r="H778">
        <v>102</v>
      </c>
      <c r="I778">
        <v>30</v>
      </c>
      <c r="J778">
        <v>405</v>
      </c>
      <c r="K778" s="1" t="s">
        <v>84</v>
      </c>
      <c r="L778" s="1" t="s">
        <v>24</v>
      </c>
      <c r="M778" s="1" t="s">
        <v>1638</v>
      </c>
      <c r="N778" s="1" t="s">
        <v>1696</v>
      </c>
    </row>
    <row r="779" spans="1:14" x14ac:dyDescent="0.35">
      <c r="A779">
        <v>3273562</v>
      </c>
      <c r="B779" s="1" t="s">
        <v>1255</v>
      </c>
      <c r="C779">
        <v>51163.9</v>
      </c>
      <c r="D779">
        <v>1381</v>
      </c>
      <c r="E779" s="1" t="s">
        <v>1697</v>
      </c>
      <c r="F779" s="1" t="s">
        <v>15</v>
      </c>
      <c r="G779" s="1" t="s">
        <v>32</v>
      </c>
      <c r="H779">
        <v>100</v>
      </c>
      <c r="I779">
        <v>21</v>
      </c>
      <c r="K779" s="1" t="s">
        <v>23</v>
      </c>
      <c r="L779" s="1" t="s">
        <v>24</v>
      </c>
      <c r="M779" s="1" t="s">
        <v>1638</v>
      </c>
      <c r="N779" s="1" t="s">
        <v>1698</v>
      </c>
    </row>
    <row r="780" spans="1:14" x14ac:dyDescent="0.35">
      <c r="A780">
        <v>3273561</v>
      </c>
      <c r="B780" s="1" t="s">
        <v>1255</v>
      </c>
      <c r="C780">
        <v>51163.9</v>
      </c>
      <c r="D780">
        <v>1381</v>
      </c>
      <c r="E780" s="1" t="s">
        <v>1699</v>
      </c>
      <c r="F780" s="1" t="s">
        <v>15</v>
      </c>
      <c r="G780" s="1" t="s">
        <v>32</v>
      </c>
      <c r="H780">
        <v>99</v>
      </c>
      <c r="I780">
        <v>37</v>
      </c>
      <c r="K780" s="1" t="s">
        <v>23</v>
      </c>
      <c r="L780" s="1" t="s">
        <v>24</v>
      </c>
      <c r="M780" s="1" t="s">
        <v>1638</v>
      </c>
      <c r="N780" s="1" t="s">
        <v>1700</v>
      </c>
    </row>
    <row r="781" spans="1:14" x14ac:dyDescent="0.35">
      <c r="A781">
        <v>3273096</v>
      </c>
      <c r="B781" s="1" t="s">
        <v>1255</v>
      </c>
      <c r="C781">
        <v>51163.9</v>
      </c>
      <c r="D781">
        <v>1381</v>
      </c>
      <c r="E781" s="1" t="s">
        <v>1701</v>
      </c>
      <c r="F781" s="1" t="s">
        <v>15</v>
      </c>
      <c r="G781" s="1" t="s">
        <v>32</v>
      </c>
      <c r="H781">
        <v>103</v>
      </c>
      <c r="I781">
        <v>44</v>
      </c>
      <c r="J781">
        <v>320</v>
      </c>
      <c r="K781" s="1" t="s">
        <v>23</v>
      </c>
      <c r="L781" s="1" t="s">
        <v>24</v>
      </c>
      <c r="M781" s="1" t="s">
        <v>1638</v>
      </c>
      <c r="N781" s="1" t="s">
        <v>1702</v>
      </c>
    </row>
    <row r="782" spans="1:14" x14ac:dyDescent="0.35">
      <c r="A782">
        <v>3273547</v>
      </c>
      <c r="B782" s="1" t="s">
        <v>1255</v>
      </c>
      <c r="C782">
        <v>51163.9</v>
      </c>
      <c r="D782">
        <v>1381</v>
      </c>
      <c r="E782" s="1" t="s">
        <v>1703</v>
      </c>
      <c r="F782" s="1" t="s">
        <v>15</v>
      </c>
      <c r="G782" s="1" t="s">
        <v>32</v>
      </c>
      <c r="H782">
        <v>110</v>
      </c>
      <c r="I782">
        <v>49</v>
      </c>
      <c r="J782">
        <v>67</v>
      </c>
      <c r="K782" s="1" t="s">
        <v>90</v>
      </c>
      <c r="L782" s="1" t="s">
        <v>24</v>
      </c>
      <c r="M782" s="1" t="s">
        <v>1638</v>
      </c>
      <c r="N782" s="1" t="s">
        <v>1704</v>
      </c>
    </row>
    <row r="783" spans="1:14" x14ac:dyDescent="0.35">
      <c r="A783">
        <v>3204041</v>
      </c>
      <c r="B783" s="1" t="s">
        <v>1255</v>
      </c>
      <c r="C783">
        <v>51163.9</v>
      </c>
      <c r="D783">
        <v>1381</v>
      </c>
      <c r="E783" s="1" t="s">
        <v>1705</v>
      </c>
      <c r="F783" s="1" t="s">
        <v>15</v>
      </c>
      <c r="G783" s="1" t="s">
        <v>32</v>
      </c>
      <c r="H783">
        <v>100</v>
      </c>
      <c r="I783">
        <v>44</v>
      </c>
      <c r="J783">
        <v>226</v>
      </c>
      <c r="K783" s="1" t="s">
        <v>23</v>
      </c>
      <c r="L783" s="1" t="s">
        <v>24</v>
      </c>
      <c r="M783" s="1" t="s">
        <v>1638</v>
      </c>
      <c r="N783" s="1" t="s">
        <v>1706</v>
      </c>
    </row>
    <row r="784" spans="1:14" x14ac:dyDescent="0.35">
      <c r="A784">
        <v>3273543</v>
      </c>
      <c r="B784" s="1" t="s">
        <v>1255</v>
      </c>
      <c r="C784">
        <v>51163.9</v>
      </c>
      <c r="D784">
        <v>1381</v>
      </c>
      <c r="E784" s="1" t="s">
        <v>1707</v>
      </c>
      <c r="F784" s="1" t="s">
        <v>15</v>
      </c>
      <c r="G784" s="1" t="s">
        <v>32</v>
      </c>
      <c r="H784">
        <v>113</v>
      </c>
      <c r="I784">
        <v>48</v>
      </c>
      <c r="J784">
        <v>94</v>
      </c>
      <c r="K784" s="1" t="s">
        <v>23</v>
      </c>
      <c r="L784" s="1" t="s">
        <v>24</v>
      </c>
      <c r="M784" s="1" t="s">
        <v>1638</v>
      </c>
      <c r="N784" s="1" t="s">
        <v>1708</v>
      </c>
    </row>
    <row r="785" spans="1:14" x14ac:dyDescent="0.35">
      <c r="A785">
        <v>3273145</v>
      </c>
      <c r="B785" s="1" t="s">
        <v>1255</v>
      </c>
      <c r="C785">
        <v>51163.9</v>
      </c>
      <c r="D785">
        <v>1381</v>
      </c>
      <c r="E785" s="1" t="s">
        <v>1709</v>
      </c>
      <c r="F785" s="1" t="s">
        <v>15</v>
      </c>
      <c r="G785" s="1" t="s">
        <v>32</v>
      </c>
      <c r="H785">
        <v>270</v>
      </c>
      <c r="I785">
        <v>83</v>
      </c>
      <c r="J785">
        <v>545</v>
      </c>
      <c r="K785" s="1" t="s">
        <v>90</v>
      </c>
      <c r="L785" s="1" t="s">
        <v>24</v>
      </c>
      <c r="M785" s="1" t="s">
        <v>1638</v>
      </c>
      <c r="N785" s="1" t="s">
        <v>1710</v>
      </c>
    </row>
    <row r="786" spans="1:14" x14ac:dyDescent="0.35">
      <c r="A786">
        <v>3273106</v>
      </c>
      <c r="B786" s="1" t="s">
        <v>1255</v>
      </c>
      <c r="C786">
        <v>51163.9</v>
      </c>
      <c r="D786">
        <v>1381</v>
      </c>
      <c r="E786" s="1" t="s">
        <v>1711</v>
      </c>
      <c r="F786" s="1" t="s">
        <v>15</v>
      </c>
      <c r="G786" s="1" t="s">
        <v>32</v>
      </c>
      <c r="H786">
        <v>103</v>
      </c>
      <c r="I786">
        <v>49</v>
      </c>
      <c r="J786">
        <v>586</v>
      </c>
      <c r="K786" s="1" t="s">
        <v>444</v>
      </c>
      <c r="L786" s="1" t="s">
        <v>24</v>
      </c>
      <c r="M786" s="1" t="s">
        <v>1638</v>
      </c>
      <c r="N786" s="1" t="s">
        <v>1712</v>
      </c>
    </row>
    <row r="787" spans="1:14" x14ac:dyDescent="0.35">
      <c r="A787">
        <v>3273063</v>
      </c>
      <c r="B787" s="1" t="s">
        <v>1255</v>
      </c>
      <c r="C787">
        <v>51163.9</v>
      </c>
      <c r="D787">
        <v>1381</v>
      </c>
      <c r="E787" s="1" t="s">
        <v>1713</v>
      </c>
      <c r="F787" s="1" t="s">
        <v>15</v>
      </c>
      <c r="G787" s="1" t="s">
        <v>32</v>
      </c>
      <c r="H787">
        <v>202</v>
      </c>
      <c r="I787">
        <v>41</v>
      </c>
      <c r="J787">
        <v>581</v>
      </c>
      <c r="K787" s="1" t="s">
        <v>572</v>
      </c>
      <c r="L787" s="1" t="s">
        <v>24</v>
      </c>
      <c r="M787" s="1" t="s">
        <v>1638</v>
      </c>
      <c r="N787" s="1" t="s">
        <v>1714</v>
      </c>
    </row>
    <row r="788" spans="1:14" x14ac:dyDescent="0.35">
      <c r="A788">
        <v>3204123</v>
      </c>
      <c r="B788" s="1" t="s">
        <v>1255</v>
      </c>
      <c r="C788">
        <v>51163.9</v>
      </c>
      <c r="D788">
        <v>1381</v>
      </c>
      <c r="E788" s="1" t="s">
        <v>1715</v>
      </c>
      <c r="F788" s="1" t="s">
        <v>15</v>
      </c>
      <c r="G788" s="1" t="s">
        <v>32</v>
      </c>
      <c r="H788">
        <v>120</v>
      </c>
      <c r="I788">
        <v>27</v>
      </c>
      <c r="J788">
        <v>120</v>
      </c>
      <c r="K788" s="1" t="s">
        <v>23</v>
      </c>
      <c r="L788" s="1" t="s">
        <v>24</v>
      </c>
      <c r="M788" s="1" t="s">
        <v>1638</v>
      </c>
      <c r="N788" s="1" t="s">
        <v>1716</v>
      </c>
    </row>
    <row r="789" spans="1:14" x14ac:dyDescent="0.35">
      <c r="A789">
        <v>3273176</v>
      </c>
      <c r="B789" s="1" t="s">
        <v>1255</v>
      </c>
      <c r="C789">
        <v>51163.9</v>
      </c>
      <c r="D789">
        <v>1381</v>
      </c>
      <c r="E789" s="1" t="s">
        <v>1717</v>
      </c>
      <c r="F789" s="1" t="s">
        <v>15</v>
      </c>
      <c r="G789" s="1" t="s">
        <v>22</v>
      </c>
      <c r="H789">
        <v>108</v>
      </c>
      <c r="I789">
        <v>29</v>
      </c>
      <c r="J789">
        <v>92</v>
      </c>
      <c r="K789" s="1" t="s">
        <v>27</v>
      </c>
      <c r="L789" s="1" t="s">
        <v>24</v>
      </c>
      <c r="M789" s="1" t="s">
        <v>1638</v>
      </c>
      <c r="N789" s="1" t="s">
        <v>1718</v>
      </c>
    </row>
    <row r="790" spans="1:14" x14ac:dyDescent="0.35">
      <c r="A790">
        <v>3204137</v>
      </c>
      <c r="B790" s="1" t="s">
        <v>1255</v>
      </c>
      <c r="C790">
        <v>51163.9</v>
      </c>
      <c r="D790">
        <v>1381</v>
      </c>
      <c r="E790" s="1" t="s">
        <v>574</v>
      </c>
      <c r="F790" s="1" t="s">
        <v>15</v>
      </c>
      <c r="G790" s="1" t="s">
        <v>22</v>
      </c>
      <c r="H790">
        <v>63</v>
      </c>
      <c r="I790">
        <v>72</v>
      </c>
      <c r="K790" s="1" t="s">
        <v>23</v>
      </c>
      <c r="L790" s="1" t="s">
        <v>24</v>
      </c>
      <c r="M790" s="1" t="s">
        <v>1638</v>
      </c>
      <c r="N790" s="1" t="s">
        <v>1719</v>
      </c>
    </row>
    <row r="791" spans="1:14" x14ac:dyDescent="0.35">
      <c r="A791">
        <v>3273110</v>
      </c>
      <c r="B791" s="1" t="s">
        <v>1255</v>
      </c>
      <c r="C791">
        <v>51163.9</v>
      </c>
      <c r="D791">
        <v>1381</v>
      </c>
      <c r="E791" s="1" t="s">
        <v>1720</v>
      </c>
      <c r="F791" s="1" t="s">
        <v>15</v>
      </c>
      <c r="G791" s="1" t="s">
        <v>22</v>
      </c>
      <c r="H791">
        <v>50</v>
      </c>
      <c r="I791">
        <v>29</v>
      </c>
      <c r="J791">
        <v>117</v>
      </c>
      <c r="K791" s="1" t="s">
        <v>84</v>
      </c>
      <c r="L791" s="1" t="s">
        <v>24</v>
      </c>
      <c r="M791" s="1" t="s">
        <v>1638</v>
      </c>
      <c r="N791" s="1" t="s">
        <v>1721</v>
      </c>
    </row>
    <row r="792" spans="1:14" x14ac:dyDescent="0.35">
      <c r="A792">
        <v>3207023</v>
      </c>
      <c r="B792" s="1" t="s">
        <v>1255</v>
      </c>
      <c r="C792">
        <v>51163.9</v>
      </c>
      <c r="D792">
        <v>1381</v>
      </c>
      <c r="E792" s="1" t="s">
        <v>1722</v>
      </c>
      <c r="F792" s="1" t="s">
        <v>15</v>
      </c>
      <c r="G792" s="1" t="s">
        <v>16</v>
      </c>
      <c r="H792">
        <v>256</v>
      </c>
      <c r="I792">
        <v>105</v>
      </c>
      <c r="J792">
        <v>651</v>
      </c>
      <c r="K792" s="1" t="s">
        <v>137</v>
      </c>
      <c r="L792" s="1" t="s">
        <v>18</v>
      </c>
      <c r="M792" s="1" t="s">
        <v>1723</v>
      </c>
      <c r="N792" s="1" t="s">
        <v>1724</v>
      </c>
    </row>
    <row r="793" spans="1:14" x14ac:dyDescent="0.35">
      <c r="A793">
        <v>3279002</v>
      </c>
      <c r="B793" s="1" t="s">
        <v>1255</v>
      </c>
      <c r="C793">
        <v>51163.9</v>
      </c>
      <c r="D793">
        <v>1381</v>
      </c>
      <c r="E793" s="1" t="s">
        <v>1725</v>
      </c>
      <c r="F793" s="1" t="s">
        <v>15</v>
      </c>
      <c r="G793" s="1" t="s">
        <v>22</v>
      </c>
      <c r="H793">
        <v>90</v>
      </c>
      <c r="I793">
        <v>38</v>
      </c>
      <c r="J793">
        <v>172</v>
      </c>
      <c r="K793" s="1" t="s">
        <v>90</v>
      </c>
      <c r="L793" s="1" t="s">
        <v>24</v>
      </c>
      <c r="M793" s="1" t="s">
        <v>1723</v>
      </c>
      <c r="N793" s="1" t="s">
        <v>1726</v>
      </c>
    </row>
    <row r="794" spans="1:14" x14ac:dyDescent="0.35">
      <c r="A794">
        <v>3279003</v>
      </c>
      <c r="B794" s="1" t="s">
        <v>1255</v>
      </c>
      <c r="C794">
        <v>51163.9</v>
      </c>
      <c r="D794">
        <v>1381</v>
      </c>
      <c r="E794" s="1" t="s">
        <v>1727</v>
      </c>
      <c r="F794" s="1" t="s">
        <v>15</v>
      </c>
      <c r="G794" s="1" t="s">
        <v>22</v>
      </c>
      <c r="H794">
        <v>83</v>
      </c>
      <c r="I794">
        <v>25</v>
      </c>
      <c r="J794">
        <v>152</v>
      </c>
      <c r="K794" s="1" t="s">
        <v>90</v>
      </c>
      <c r="L794" s="1" t="s">
        <v>24</v>
      </c>
      <c r="M794" s="1" t="s">
        <v>1723</v>
      </c>
      <c r="N794" s="1" t="s">
        <v>1728</v>
      </c>
    </row>
    <row r="795" spans="1:14" x14ac:dyDescent="0.35">
      <c r="A795">
        <v>3279004</v>
      </c>
      <c r="B795" s="1" t="s">
        <v>1255</v>
      </c>
      <c r="C795">
        <v>51163.9</v>
      </c>
      <c r="D795">
        <v>1381</v>
      </c>
      <c r="E795" s="1" t="s">
        <v>1729</v>
      </c>
      <c r="F795" s="1" t="s">
        <v>15</v>
      </c>
      <c r="G795" s="1" t="s">
        <v>22</v>
      </c>
      <c r="H795">
        <v>111</v>
      </c>
      <c r="I795">
        <v>21</v>
      </c>
      <c r="J795">
        <v>24</v>
      </c>
      <c r="K795" s="1" t="s">
        <v>137</v>
      </c>
      <c r="L795" s="1" t="s">
        <v>24</v>
      </c>
      <c r="M795" s="1" t="s">
        <v>1723</v>
      </c>
      <c r="N795" s="1" t="s">
        <v>1730</v>
      </c>
    </row>
    <row r="796" spans="1:14" x14ac:dyDescent="0.35">
      <c r="A796">
        <v>3275403</v>
      </c>
      <c r="B796" s="1" t="s">
        <v>1255</v>
      </c>
      <c r="C796">
        <v>51163.9</v>
      </c>
      <c r="D796">
        <v>1381</v>
      </c>
      <c r="E796" s="1" t="s">
        <v>1731</v>
      </c>
      <c r="F796" s="1" t="s">
        <v>71</v>
      </c>
      <c r="G796" s="1" t="s">
        <v>32</v>
      </c>
      <c r="H796">
        <v>45</v>
      </c>
      <c r="I796">
        <v>13</v>
      </c>
      <c r="J796">
        <v>79</v>
      </c>
      <c r="K796" s="1" t="s">
        <v>90</v>
      </c>
      <c r="L796" s="1" t="s">
        <v>24</v>
      </c>
      <c r="M796" s="1" t="s">
        <v>1732</v>
      </c>
      <c r="N796" s="1" t="s">
        <v>1733</v>
      </c>
    </row>
    <row r="797" spans="1:14" x14ac:dyDescent="0.35">
      <c r="A797">
        <v>3275390</v>
      </c>
      <c r="B797" s="1" t="s">
        <v>1255</v>
      </c>
      <c r="C797">
        <v>51163.9</v>
      </c>
      <c r="D797">
        <v>1381</v>
      </c>
      <c r="E797" s="1" t="s">
        <v>1734</v>
      </c>
      <c r="F797" s="1" t="s">
        <v>71</v>
      </c>
      <c r="G797" s="1" t="s">
        <v>32</v>
      </c>
      <c r="H797">
        <v>60</v>
      </c>
      <c r="I797">
        <v>27</v>
      </c>
      <c r="J797">
        <v>143</v>
      </c>
      <c r="K797" s="1" t="s">
        <v>23</v>
      </c>
      <c r="L797" s="1" t="s">
        <v>24</v>
      </c>
      <c r="M797" s="1" t="s">
        <v>1732</v>
      </c>
      <c r="N797" s="1" t="s">
        <v>1735</v>
      </c>
    </row>
    <row r="798" spans="1:14" x14ac:dyDescent="0.35">
      <c r="A798">
        <v>3275094</v>
      </c>
      <c r="B798" s="1" t="s">
        <v>1255</v>
      </c>
      <c r="C798">
        <v>51163.9</v>
      </c>
      <c r="D798">
        <v>1381</v>
      </c>
      <c r="E798" s="1" t="s">
        <v>1736</v>
      </c>
      <c r="F798" s="1" t="s">
        <v>15</v>
      </c>
      <c r="G798" s="1" t="s">
        <v>16</v>
      </c>
      <c r="H798">
        <v>205</v>
      </c>
      <c r="I798">
        <v>56</v>
      </c>
      <c r="J798">
        <v>712</v>
      </c>
      <c r="K798" s="1" t="s">
        <v>23</v>
      </c>
      <c r="L798" s="1" t="s">
        <v>24</v>
      </c>
      <c r="M798" s="1" t="s">
        <v>1732</v>
      </c>
      <c r="N798" s="1" t="s">
        <v>1737</v>
      </c>
    </row>
    <row r="799" spans="1:14" x14ac:dyDescent="0.35">
      <c r="A799">
        <v>3275063</v>
      </c>
      <c r="B799" s="1" t="s">
        <v>1255</v>
      </c>
      <c r="C799">
        <v>51163.9</v>
      </c>
      <c r="D799">
        <v>1381</v>
      </c>
      <c r="E799" s="1" t="s">
        <v>448</v>
      </c>
      <c r="F799" s="1" t="s">
        <v>15</v>
      </c>
      <c r="G799" s="1" t="s">
        <v>16</v>
      </c>
      <c r="H799">
        <v>205</v>
      </c>
      <c r="I799">
        <v>112</v>
      </c>
      <c r="J799">
        <v>204</v>
      </c>
      <c r="K799" s="1" t="s">
        <v>90</v>
      </c>
      <c r="L799" s="1" t="s">
        <v>24</v>
      </c>
      <c r="M799" s="1" t="s">
        <v>1732</v>
      </c>
      <c r="N799" s="1" t="s">
        <v>1738</v>
      </c>
    </row>
    <row r="800" spans="1:14" x14ac:dyDescent="0.35">
      <c r="A800">
        <v>3216329</v>
      </c>
      <c r="B800" s="1" t="s">
        <v>1255</v>
      </c>
      <c r="C800">
        <v>51163.9</v>
      </c>
      <c r="D800">
        <v>1381</v>
      </c>
      <c r="E800" s="1" t="s">
        <v>1739</v>
      </c>
      <c r="F800" s="1" t="s">
        <v>15</v>
      </c>
      <c r="G800" s="1" t="s">
        <v>16</v>
      </c>
      <c r="H800">
        <v>108</v>
      </c>
      <c r="I800">
        <v>70</v>
      </c>
      <c r="J800">
        <v>540</v>
      </c>
      <c r="K800" s="1" t="s">
        <v>23</v>
      </c>
      <c r="L800" s="1" t="s">
        <v>24</v>
      </c>
      <c r="M800" s="1" t="s">
        <v>1732</v>
      </c>
      <c r="N800" s="1" t="s">
        <v>1740</v>
      </c>
    </row>
    <row r="801" spans="1:14" x14ac:dyDescent="0.35">
      <c r="A801">
        <v>3275013</v>
      </c>
      <c r="B801" s="1" t="s">
        <v>1255</v>
      </c>
      <c r="C801">
        <v>51163.9</v>
      </c>
      <c r="D801">
        <v>1381</v>
      </c>
      <c r="E801" s="1" t="s">
        <v>1741</v>
      </c>
      <c r="F801" s="1" t="s">
        <v>15</v>
      </c>
      <c r="G801" s="1" t="s">
        <v>16</v>
      </c>
      <c r="H801">
        <v>606</v>
      </c>
      <c r="I801">
        <v>128</v>
      </c>
      <c r="J801">
        <v>1597</v>
      </c>
      <c r="K801" s="1" t="s">
        <v>137</v>
      </c>
      <c r="L801" s="1" t="s">
        <v>18</v>
      </c>
      <c r="M801" s="1" t="s">
        <v>1732</v>
      </c>
      <c r="N801" s="1" t="s">
        <v>1742</v>
      </c>
    </row>
    <row r="802" spans="1:14" x14ac:dyDescent="0.35">
      <c r="A802">
        <v>3275046</v>
      </c>
      <c r="B802" s="1" t="s">
        <v>1255</v>
      </c>
      <c r="C802">
        <v>51163.9</v>
      </c>
      <c r="D802">
        <v>1381</v>
      </c>
      <c r="E802" s="1" t="s">
        <v>1743</v>
      </c>
      <c r="F802" s="1" t="s">
        <v>15</v>
      </c>
      <c r="G802" s="1" t="s">
        <v>16</v>
      </c>
      <c r="H802">
        <v>184</v>
      </c>
      <c r="I802">
        <v>70</v>
      </c>
      <c r="J802">
        <v>628</v>
      </c>
      <c r="K802" s="1" t="s">
        <v>90</v>
      </c>
      <c r="L802" s="1" t="s">
        <v>24</v>
      </c>
      <c r="M802" s="1" t="s">
        <v>1732</v>
      </c>
      <c r="N802" s="1" t="s">
        <v>1744</v>
      </c>
    </row>
    <row r="803" spans="1:14" x14ac:dyDescent="0.35">
      <c r="A803">
        <v>3216218</v>
      </c>
      <c r="B803" s="1" t="s">
        <v>1255</v>
      </c>
      <c r="C803">
        <v>51163.9</v>
      </c>
      <c r="D803">
        <v>1381</v>
      </c>
      <c r="E803" s="1" t="s">
        <v>1745</v>
      </c>
      <c r="F803" s="1" t="s">
        <v>15</v>
      </c>
      <c r="G803" s="1" t="s">
        <v>16</v>
      </c>
      <c r="H803">
        <v>228</v>
      </c>
      <c r="I803">
        <v>74</v>
      </c>
      <c r="J803">
        <v>69</v>
      </c>
      <c r="K803" s="1" t="s">
        <v>23</v>
      </c>
      <c r="L803" s="1" t="s">
        <v>24</v>
      </c>
      <c r="M803" s="1" t="s">
        <v>1732</v>
      </c>
      <c r="N803" s="1" t="s">
        <v>1746</v>
      </c>
    </row>
    <row r="804" spans="1:14" x14ac:dyDescent="0.35">
      <c r="A804">
        <v>3275392</v>
      </c>
      <c r="B804" s="1" t="s">
        <v>1255</v>
      </c>
      <c r="C804">
        <v>51163.9</v>
      </c>
      <c r="D804">
        <v>1381</v>
      </c>
      <c r="E804" s="1" t="s">
        <v>1747</v>
      </c>
      <c r="F804" s="1" t="s">
        <v>15</v>
      </c>
      <c r="G804" s="1" t="s">
        <v>16</v>
      </c>
      <c r="H804">
        <v>250</v>
      </c>
      <c r="I804">
        <v>121</v>
      </c>
      <c r="J804">
        <v>558</v>
      </c>
      <c r="K804" s="1" t="s">
        <v>90</v>
      </c>
      <c r="L804" s="1" t="s">
        <v>24</v>
      </c>
      <c r="M804" s="1" t="s">
        <v>1732</v>
      </c>
      <c r="N804" s="1" t="s">
        <v>1748</v>
      </c>
    </row>
    <row r="805" spans="1:14" x14ac:dyDescent="0.35">
      <c r="A805">
        <v>3275115</v>
      </c>
      <c r="B805" s="1" t="s">
        <v>1255</v>
      </c>
      <c r="C805">
        <v>51163.9</v>
      </c>
      <c r="D805">
        <v>1381</v>
      </c>
      <c r="E805" s="1" t="s">
        <v>1749</v>
      </c>
      <c r="F805" s="1" t="s">
        <v>15</v>
      </c>
      <c r="G805" s="1" t="s">
        <v>16</v>
      </c>
      <c r="H805">
        <v>410</v>
      </c>
      <c r="I805">
        <v>120</v>
      </c>
      <c r="J805">
        <v>1037</v>
      </c>
      <c r="K805" s="1" t="s">
        <v>23</v>
      </c>
      <c r="L805" s="1" t="s">
        <v>24</v>
      </c>
      <c r="M805" s="1" t="s">
        <v>1732</v>
      </c>
      <c r="N805" s="1" t="s">
        <v>1750</v>
      </c>
    </row>
    <row r="806" spans="1:14" x14ac:dyDescent="0.35">
      <c r="A806">
        <v>3275414</v>
      </c>
      <c r="B806" s="1" t="s">
        <v>1255</v>
      </c>
      <c r="C806">
        <v>51163.9</v>
      </c>
      <c r="D806">
        <v>1381</v>
      </c>
      <c r="E806" s="1" t="s">
        <v>1751</v>
      </c>
      <c r="F806" s="1" t="s">
        <v>15</v>
      </c>
      <c r="G806" s="1" t="s">
        <v>32</v>
      </c>
      <c r="H806">
        <v>133</v>
      </c>
      <c r="I806">
        <v>24</v>
      </c>
      <c r="K806" s="1" t="s">
        <v>23</v>
      </c>
      <c r="L806" s="1" t="s">
        <v>24</v>
      </c>
      <c r="M806" s="1" t="s">
        <v>1732</v>
      </c>
      <c r="N806" s="1" t="s">
        <v>1752</v>
      </c>
    </row>
    <row r="807" spans="1:14" x14ac:dyDescent="0.35">
      <c r="A807">
        <v>3275039</v>
      </c>
      <c r="B807" s="1" t="s">
        <v>1255</v>
      </c>
      <c r="C807">
        <v>51163.9</v>
      </c>
      <c r="D807">
        <v>1381</v>
      </c>
      <c r="E807" s="1" t="s">
        <v>1753</v>
      </c>
      <c r="F807" s="1" t="s">
        <v>15</v>
      </c>
      <c r="G807" s="1" t="s">
        <v>32</v>
      </c>
      <c r="H807">
        <v>103</v>
      </c>
      <c r="I807">
        <v>41</v>
      </c>
      <c r="J807">
        <v>156</v>
      </c>
      <c r="K807" s="1" t="s">
        <v>23</v>
      </c>
      <c r="L807" s="1" t="s">
        <v>24</v>
      </c>
      <c r="M807" s="1" t="s">
        <v>1732</v>
      </c>
      <c r="N807" s="1" t="s">
        <v>1754</v>
      </c>
    </row>
    <row r="808" spans="1:14" x14ac:dyDescent="0.35">
      <c r="A808">
        <v>3275141</v>
      </c>
      <c r="B808" s="1" t="s">
        <v>1255</v>
      </c>
      <c r="C808">
        <v>51163.9</v>
      </c>
      <c r="D808">
        <v>1381</v>
      </c>
      <c r="E808" s="1" t="s">
        <v>1755</v>
      </c>
      <c r="F808" s="1" t="s">
        <v>15</v>
      </c>
      <c r="G808" s="1" t="s">
        <v>32</v>
      </c>
      <c r="H808">
        <v>131</v>
      </c>
      <c r="I808">
        <v>42</v>
      </c>
      <c r="J808">
        <v>265</v>
      </c>
      <c r="K808" s="1" t="s">
        <v>23</v>
      </c>
      <c r="L808" s="1" t="s">
        <v>24</v>
      </c>
      <c r="M808" s="1" t="s">
        <v>1732</v>
      </c>
      <c r="N808" s="1" t="s">
        <v>1756</v>
      </c>
    </row>
    <row r="809" spans="1:14" x14ac:dyDescent="0.35">
      <c r="A809">
        <v>3275057</v>
      </c>
      <c r="B809" s="1" t="s">
        <v>1255</v>
      </c>
      <c r="C809">
        <v>51163.9</v>
      </c>
      <c r="D809">
        <v>1381</v>
      </c>
      <c r="E809" s="1" t="s">
        <v>1757</v>
      </c>
      <c r="F809" s="1" t="s">
        <v>15</v>
      </c>
      <c r="G809" s="1" t="s">
        <v>32</v>
      </c>
      <c r="H809">
        <v>100</v>
      </c>
      <c r="I809">
        <v>32</v>
      </c>
      <c r="J809">
        <v>142</v>
      </c>
      <c r="K809" s="1" t="s">
        <v>90</v>
      </c>
      <c r="L809" s="1" t="s">
        <v>24</v>
      </c>
      <c r="M809" s="1" t="s">
        <v>1732</v>
      </c>
      <c r="N809" s="1" t="s">
        <v>1758</v>
      </c>
    </row>
    <row r="810" spans="1:14" x14ac:dyDescent="0.35">
      <c r="A810">
        <v>3216423</v>
      </c>
      <c r="B810" s="1" t="s">
        <v>1255</v>
      </c>
      <c r="C810">
        <v>51163.9</v>
      </c>
      <c r="D810">
        <v>1381</v>
      </c>
      <c r="E810" s="1" t="s">
        <v>1357</v>
      </c>
      <c r="F810" s="1" t="s">
        <v>15</v>
      </c>
      <c r="G810" s="1" t="s">
        <v>32</v>
      </c>
      <c r="H810">
        <v>101</v>
      </c>
      <c r="I810">
        <v>25</v>
      </c>
      <c r="J810">
        <v>154</v>
      </c>
      <c r="K810" s="1" t="s">
        <v>23</v>
      </c>
      <c r="L810" s="1" t="s">
        <v>24</v>
      </c>
      <c r="M810" s="1" t="s">
        <v>1732</v>
      </c>
      <c r="N810" s="1" t="s">
        <v>1759</v>
      </c>
    </row>
    <row r="811" spans="1:14" x14ac:dyDescent="0.35">
      <c r="A811">
        <v>3275061</v>
      </c>
      <c r="B811" s="1" t="s">
        <v>1255</v>
      </c>
      <c r="C811">
        <v>51163.9</v>
      </c>
      <c r="D811">
        <v>1381</v>
      </c>
      <c r="E811" s="1" t="s">
        <v>1760</v>
      </c>
      <c r="F811" s="1" t="s">
        <v>15</v>
      </c>
      <c r="G811" s="1" t="s">
        <v>32</v>
      </c>
      <c r="H811">
        <v>104</v>
      </c>
      <c r="I811">
        <v>27</v>
      </c>
      <c r="J811">
        <v>177</v>
      </c>
      <c r="K811" s="1" t="s">
        <v>23</v>
      </c>
      <c r="L811" s="1" t="s">
        <v>24</v>
      </c>
      <c r="M811" s="1" t="s">
        <v>1732</v>
      </c>
      <c r="N811" s="1" t="s">
        <v>1761</v>
      </c>
    </row>
    <row r="812" spans="1:14" x14ac:dyDescent="0.35">
      <c r="A812">
        <v>3275052</v>
      </c>
      <c r="B812" s="1" t="s">
        <v>1255</v>
      </c>
      <c r="C812">
        <v>51163.9</v>
      </c>
      <c r="D812">
        <v>1381</v>
      </c>
      <c r="E812" s="1" t="s">
        <v>1762</v>
      </c>
      <c r="F812" s="1" t="s">
        <v>15</v>
      </c>
      <c r="G812" s="1" t="s">
        <v>32</v>
      </c>
      <c r="H812">
        <v>100</v>
      </c>
      <c r="I812">
        <v>30</v>
      </c>
      <c r="J812">
        <v>110</v>
      </c>
      <c r="K812" s="1" t="s">
        <v>23</v>
      </c>
      <c r="L812" s="1" t="s">
        <v>24</v>
      </c>
      <c r="M812" s="1" t="s">
        <v>1732</v>
      </c>
      <c r="N812" s="1" t="s">
        <v>1763</v>
      </c>
    </row>
    <row r="813" spans="1:14" x14ac:dyDescent="0.35">
      <c r="A813">
        <v>3216427</v>
      </c>
      <c r="B813" s="1" t="s">
        <v>1255</v>
      </c>
      <c r="C813">
        <v>51163.9</v>
      </c>
      <c r="D813">
        <v>1381</v>
      </c>
      <c r="E813" s="1" t="s">
        <v>1764</v>
      </c>
      <c r="F813" s="1" t="s">
        <v>15</v>
      </c>
      <c r="G813" s="1" t="s">
        <v>32</v>
      </c>
      <c r="H813">
        <v>101</v>
      </c>
      <c r="I813">
        <v>22</v>
      </c>
      <c r="J813">
        <v>106</v>
      </c>
      <c r="K813" s="1" t="s">
        <v>23</v>
      </c>
      <c r="L813" s="1" t="s">
        <v>24</v>
      </c>
      <c r="M813" s="1" t="s">
        <v>1732</v>
      </c>
      <c r="N813" s="1" t="s">
        <v>1765</v>
      </c>
    </row>
    <row r="814" spans="1:14" x14ac:dyDescent="0.35">
      <c r="A814">
        <v>3275307</v>
      </c>
      <c r="B814" s="1" t="s">
        <v>1255</v>
      </c>
      <c r="C814">
        <v>51163.9</v>
      </c>
      <c r="D814">
        <v>1381</v>
      </c>
      <c r="E814" s="1" t="s">
        <v>1766</v>
      </c>
      <c r="F814" s="1" t="s">
        <v>15</v>
      </c>
      <c r="G814" s="1" t="s">
        <v>32</v>
      </c>
      <c r="H814">
        <v>101</v>
      </c>
      <c r="I814">
        <v>30</v>
      </c>
      <c r="J814">
        <v>231</v>
      </c>
      <c r="K814" s="1" t="s">
        <v>23</v>
      </c>
      <c r="L814" s="1" t="s">
        <v>24</v>
      </c>
      <c r="M814" s="1" t="s">
        <v>1732</v>
      </c>
      <c r="N814" s="1" t="s">
        <v>1767</v>
      </c>
    </row>
    <row r="815" spans="1:14" x14ac:dyDescent="0.35">
      <c r="A815">
        <v>3275130</v>
      </c>
      <c r="B815" s="1" t="s">
        <v>1255</v>
      </c>
      <c r="C815">
        <v>51163.9</v>
      </c>
      <c r="D815">
        <v>1381</v>
      </c>
      <c r="E815" s="1" t="s">
        <v>1768</v>
      </c>
      <c r="F815" s="1" t="s">
        <v>15</v>
      </c>
      <c r="G815" s="1" t="s">
        <v>32</v>
      </c>
      <c r="H815">
        <v>105</v>
      </c>
      <c r="I815">
        <v>40</v>
      </c>
      <c r="J815">
        <v>197</v>
      </c>
      <c r="K815" s="1" t="s">
        <v>84</v>
      </c>
      <c r="L815" s="1" t="s">
        <v>24</v>
      </c>
      <c r="M815" s="1" t="s">
        <v>1732</v>
      </c>
      <c r="N815" s="1" t="s">
        <v>1769</v>
      </c>
    </row>
    <row r="816" spans="1:14" x14ac:dyDescent="0.35">
      <c r="A816">
        <v>3216402</v>
      </c>
      <c r="B816" s="1" t="s">
        <v>1255</v>
      </c>
      <c r="C816">
        <v>51163.9</v>
      </c>
      <c r="D816">
        <v>1381</v>
      </c>
      <c r="E816" s="1" t="s">
        <v>1770</v>
      </c>
      <c r="F816" s="1" t="s">
        <v>15</v>
      </c>
      <c r="G816" s="1" t="s">
        <v>32</v>
      </c>
      <c r="H816">
        <v>116</v>
      </c>
      <c r="I816">
        <v>53</v>
      </c>
      <c r="J816">
        <v>468</v>
      </c>
      <c r="K816" s="1" t="s">
        <v>90</v>
      </c>
      <c r="L816" s="1" t="s">
        <v>24</v>
      </c>
      <c r="M816" s="1" t="s">
        <v>1732</v>
      </c>
      <c r="N816" s="1" t="s">
        <v>1771</v>
      </c>
    </row>
    <row r="817" spans="1:14" x14ac:dyDescent="0.35">
      <c r="A817">
        <v>3275017</v>
      </c>
      <c r="B817" s="1" t="s">
        <v>1255</v>
      </c>
      <c r="C817">
        <v>51163.9</v>
      </c>
      <c r="D817">
        <v>1381</v>
      </c>
      <c r="E817" s="1" t="s">
        <v>1772</v>
      </c>
      <c r="F817" s="1" t="s">
        <v>15</v>
      </c>
      <c r="G817" s="1" t="s">
        <v>32</v>
      </c>
      <c r="H817">
        <v>104</v>
      </c>
      <c r="I817">
        <v>25</v>
      </c>
      <c r="J817">
        <v>180</v>
      </c>
      <c r="K817" s="1" t="s">
        <v>23</v>
      </c>
      <c r="L817" s="1" t="s">
        <v>24</v>
      </c>
      <c r="M817" s="1" t="s">
        <v>1732</v>
      </c>
      <c r="N817" s="1" t="s">
        <v>1773</v>
      </c>
    </row>
    <row r="818" spans="1:14" x14ac:dyDescent="0.35">
      <c r="A818">
        <v>3275035</v>
      </c>
      <c r="B818" s="1" t="s">
        <v>1255</v>
      </c>
      <c r="C818">
        <v>51163.9</v>
      </c>
      <c r="D818">
        <v>1381</v>
      </c>
      <c r="E818" s="1" t="s">
        <v>1774</v>
      </c>
      <c r="F818" s="1" t="s">
        <v>15</v>
      </c>
      <c r="G818" s="1" t="s">
        <v>32</v>
      </c>
      <c r="H818">
        <v>58</v>
      </c>
      <c r="I818">
        <v>38</v>
      </c>
      <c r="J818">
        <v>37</v>
      </c>
      <c r="K818" s="1" t="s">
        <v>23</v>
      </c>
      <c r="L818" s="1" t="s">
        <v>24</v>
      </c>
      <c r="M818" s="1" t="s">
        <v>1732</v>
      </c>
      <c r="N818" s="1" t="s">
        <v>1775</v>
      </c>
    </row>
    <row r="819" spans="1:14" x14ac:dyDescent="0.35">
      <c r="A819">
        <v>3216174</v>
      </c>
      <c r="B819" s="1" t="s">
        <v>1255</v>
      </c>
      <c r="C819">
        <v>51163.9</v>
      </c>
      <c r="D819">
        <v>1381</v>
      </c>
      <c r="E819" s="1" t="s">
        <v>1776</v>
      </c>
      <c r="F819" s="1" t="s">
        <v>15</v>
      </c>
      <c r="G819" s="1" t="s">
        <v>32</v>
      </c>
      <c r="H819">
        <v>119</v>
      </c>
      <c r="I819">
        <v>48</v>
      </c>
      <c r="J819">
        <v>129</v>
      </c>
      <c r="K819" s="1" t="s">
        <v>84</v>
      </c>
      <c r="L819" s="1" t="s">
        <v>24</v>
      </c>
      <c r="M819" s="1" t="s">
        <v>1732</v>
      </c>
      <c r="N819" s="1" t="s">
        <v>1777</v>
      </c>
    </row>
    <row r="820" spans="1:14" x14ac:dyDescent="0.35">
      <c r="A820">
        <v>3275263</v>
      </c>
      <c r="B820" s="1" t="s">
        <v>1255</v>
      </c>
      <c r="C820">
        <v>51163.9</v>
      </c>
      <c r="D820">
        <v>1381</v>
      </c>
      <c r="E820" s="1" t="s">
        <v>1778</v>
      </c>
      <c r="F820" s="1" t="s">
        <v>15</v>
      </c>
      <c r="G820" s="1" t="s">
        <v>32</v>
      </c>
      <c r="H820">
        <v>107</v>
      </c>
      <c r="I820">
        <v>28</v>
      </c>
      <c r="J820">
        <v>287</v>
      </c>
      <c r="K820" s="1" t="s">
        <v>23</v>
      </c>
      <c r="L820" s="1" t="s">
        <v>24</v>
      </c>
      <c r="M820" s="1" t="s">
        <v>1732</v>
      </c>
      <c r="N820" s="1" t="s">
        <v>1779</v>
      </c>
    </row>
    <row r="821" spans="1:14" x14ac:dyDescent="0.35">
      <c r="A821">
        <v>3275024</v>
      </c>
      <c r="B821" s="1" t="s">
        <v>1255</v>
      </c>
      <c r="C821">
        <v>51163.9</v>
      </c>
      <c r="D821">
        <v>1381</v>
      </c>
      <c r="E821" s="1" t="s">
        <v>1780</v>
      </c>
      <c r="F821" s="1" t="s">
        <v>15</v>
      </c>
      <c r="G821" s="1" t="s">
        <v>32</v>
      </c>
      <c r="H821">
        <v>106</v>
      </c>
      <c r="I821">
        <v>42</v>
      </c>
      <c r="J821">
        <v>106</v>
      </c>
      <c r="K821" s="1" t="s">
        <v>84</v>
      </c>
      <c r="L821" s="1" t="s">
        <v>24</v>
      </c>
      <c r="M821" s="1" t="s">
        <v>1732</v>
      </c>
      <c r="N821" s="1" t="s">
        <v>1781</v>
      </c>
    </row>
    <row r="822" spans="1:14" x14ac:dyDescent="0.35">
      <c r="A822">
        <v>3275065</v>
      </c>
      <c r="B822" s="1" t="s">
        <v>1255</v>
      </c>
      <c r="C822">
        <v>51163.9</v>
      </c>
      <c r="D822">
        <v>1381</v>
      </c>
      <c r="E822" s="1" t="s">
        <v>1782</v>
      </c>
      <c r="F822" s="1" t="s">
        <v>15</v>
      </c>
      <c r="G822" s="1" t="s">
        <v>32</v>
      </c>
      <c r="H822">
        <v>107</v>
      </c>
      <c r="I822">
        <v>54</v>
      </c>
      <c r="J822">
        <v>261</v>
      </c>
      <c r="K822" s="1" t="s">
        <v>90</v>
      </c>
      <c r="L822" s="1" t="s">
        <v>24</v>
      </c>
      <c r="M822" s="1" t="s">
        <v>1732</v>
      </c>
      <c r="N822" s="1" t="s">
        <v>1783</v>
      </c>
    </row>
    <row r="823" spans="1:14" x14ac:dyDescent="0.35">
      <c r="A823">
        <v>3275207</v>
      </c>
      <c r="B823" s="1" t="s">
        <v>1255</v>
      </c>
      <c r="C823">
        <v>51163.9</v>
      </c>
      <c r="D823">
        <v>1381</v>
      </c>
      <c r="E823" s="1" t="s">
        <v>1784</v>
      </c>
      <c r="F823" s="1" t="s">
        <v>15</v>
      </c>
      <c r="G823" s="1" t="s">
        <v>32</v>
      </c>
      <c r="H823">
        <v>100</v>
      </c>
      <c r="I823">
        <v>27</v>
      </c>
      <c r="J823">
        <v>117</v>
      </c>
      <c r="K823" s="1" t="s">
        <v>23</v>
      </c>
      <c r="L823" s="1" t="s">
        <v>24</v>
      </c>
      <c r="M823" s="1" t="s">
        <v>1732</v>
      </c>
      <c r="N823" s="1" t="s">
        <v>1785</v>
      </c>
    </row>
    <row r="824" spans="1:14" x14ac:dyDescent="0.35">
      <c r="A824">
        <v>3275053</v>
      </c>
      <c r="B824" s="1" t="s">
        <v>1255</v>
      </c>
      <c r="C824">
        <v>51163.9</v>
      </c>
      <c r="D824">
        <v>1381</v>
      </c>
      <c r="E824" s="1" t="s">
        <v>1786</v>
      </c>
      <c r="F824" s="1" t="s">
        <v>15</v>
      </c>
      <c r="G824" s="1" t="s">
        <v>32</v>
      </c>
      <c r="H824">
        <v>95</v>
      </c>
      <c r="I824">
        <v>36</v>
      </c>
      <c r="J824">
        <v>203</v>
      </c>
      <c r="K824" s="1" t="s">
        <v>90</v>
      </c>
      <c r="L824" s="1" t="s">
        <v>24</v>
      </c>
      <c r="M824" s="1" t="s">
        <v>1732</v>
      </c>
      <c r="N824" s="1" t="s">
        <v>1787</v>
      </c>
    </row>
    <row r="825" spans="1:14" x14ac:dyDescent="0.35">
      <c r="A825">
        <v>3216448</v>
      </c>
      <c r="B825" s="1" t="s">
        <v>1255</v>
      </c>
      <c r="C825">
        <v>51163.9</v>
      </c>
      <c r="D825">
        <v>1381</v>
      </c>
      <c r="E825" s="1" t="s">
        <v>1788</v>
      </c>
      <c r="F825" s="1" t="s">
        <v>15</v>
      </c>
      <c r="G825" s="1" t="s">
        <v>32</v>
      </c>
      <c r="H825">
        <v>100</v>
      </c>
      <c r="I825">
        <v>77</v>
      </c>
      <c r="J825">
        <v>29</v>
      </c>
      <c r="K825" s="1" t="s">
        <v>23</v>
      </c>
      <c r="L825" s="1" t="s">
        <v>24</v>
      </c>
      <c r="M825" s="1" t="s">
        <v>1732</v>
      </c>
      <c r="N825" s="1" t="s">
        <v>1789</v>
      </c>
    </row>
    <row r="826" spans="1:14" x14ac:dyDescent="0.35">
      <c r="A826">
        <v>3275274</v>
      </c>
      <c r="B826" s="1" t="s">
        <v>1255</v>
      </c>
      <c r="C826">
        <v>51163.9</v>
      </c>
      <c r="D826">
        <v>1381</v>
      </c>
      <c r="E826" s="1" t="s">
        <v>1790</v>
      </c>
      <c r="F826" s="1" t="s">
        <v>15</v>
      </c>
      <c r="G826" s="1" t="s">
        <v>32</v>
      </c>
      <c r="H826">
        <v>96</v>
      </c>
      <c r="I826">
        <v>37</v>
      </c>
      <c r="J826">
        <v>236</v>
      </c>
      <c r="K826" s="1" t="s">
        <v>23</v>
      </c>
      <c r="L826" s="1" t="s">
        <v>24</v>
      </c>
      <c r="M826" s="1" t="s">
        <v>1732</v>
      </c>
      <c r="N826" s="1" t="s">
        <v>1791</v>
      </c>
    </row>
    <row r="827" spans="1:14" x14ac:dyDescent="0.35">
      <c r="A827">
        <v>3216389</v>
      </c>
      <c r="B827" s="1" t="s">
        <v>1255</v>
      </c>
      <c r="C827">
        <v>51163.9</v>
      </c>
      <c r="D827">
        <v>1381</v>
      </c>
      <c r="E827" s="1" t="s">
        <v>1792</v>
      </c>
      <c r="F827" s="1" t="s">
        <v>15</v>
      </c>
      <c r="G827" s="1" t="s">
        <v>32</v>
      </c>
      <c r="H827">
        <v>114</v>
      </c>
      <c r="I827">
        <v>73</v>
      </c>
      <c r="J827">
        <v>549</v>
      </c>
      <c r="K827" s="1" t="s">
        <v>90</v>
      </c>
      <c r="L827" s="1" t="s">
        <v>24</v>
      </c>
      <c r="M827" s="1" t="s">
        <v>1732</v>
      </c>
      <c r="N827" s="1" t="s">
        <v>1793</v>
      </c>
    </row>
    <row r="828" spans="1:14" x14ac:dyDescent="0.35">
      <c r="A828">
        <v>3275062</v>
      </c>
      <c r="B828" s="1" t="s">
        <v>1255</v>
      </c>
      <c r="C828">
        <v>51163.9</v>
      </c>
      <c r="D828">
        <v>1381</v>
      </c>
      <c r="E828" s="1" t="s">
        <v>1794</v>
      </c>
      <c r="F828" s="1" t="s">
        <v>15</v>
      </c>
      <c r="G828" s="1" t="s">
        <v>32</v>
      </c>
      <c r="H828">
        <v>101</v>
      </c>
      <c r="I828">
        <v>44</v>
      </c>
      <c r="J828">
        <v>188</v>
      </c>
      <c r="K828" s="1" t="s">
        <v>23</v>
      </c>
      <c r="L828" s="1" t="s">
        <v>24</v>
      </c>
      <c r="M828" s="1" t="s">
        <v>1732</v>
      </c>
      <c r="N828" s="1" t="s">
        <v>1795</v>
      </c>
    </row>
    <row r="829" spans="1:14" x14ac:dyDescent="0.35">
      <c r="A829">
        <v>3275196</v>
      </c>
      <c r="B829" s="1" t="s">
        <v>1255</v>
      </c>
      <c r="C829">
        <v>51163.9</v>
      </c>
      <c r="D829">
        <v>1381</v>
      </c>
      <c r="E829" s="1" t="s">
        <v>1796</v>
      </c>
      <c r="F829" s="1" t="s">
        <v>15</v>
      </c>
      <c r="G829" s="1" t="s">
        <v>32</v>
      </c>
      <c r="H829">
        <v>101</v>
      </c>
      <c r="I829">
        <v>71</v>
      </c>
      <c r="J829">
        <v>228</v>
      </c>
      <c r="K829" s="1" t="s">
        <v>23</v>
      </c>
      <c r="L829" s="1" t="s">
        <v>24</v>
      </c>
      <c r="M829" s="1" t="s">
        <v>1732</v>
      </c>
      <c r="N829" s="1" t="s">
        <v>1797</v>
      </c>
    </row>
    <row r="830" spans="1:14" x14ac:dyDescent="0.35">
      <c r="A830">
        <v>3216285</v>
      </c>
      <c r="B830" s="1" t="s">
        <v>1255</v>
      </c>
      <c r="C830">
        <v>51163.9</v>
      </c>
      <c r="D830">
        <v>1381</v>
      </c>
      <c r="E830" s="1" t="s">
        <v>1798</v>
      </c>
      <c r="F830" s="1" t="s">
        <v>15</v>
      </c>
      <c r="G830" s="1" t="s">
        <v>32</v>
      </c>
      <c r="H830">
        <v>100</v>
      </c>
      <c r="I830">
        <v>33</v>
      </c>
      <c r="J830">
        <v>195</v>
      </c>
      <c r="K830" s="1" t="s">
        <v>84</v>
      </c>
      <c r="L830" s="1" t="s">
        <v>24</v>
      </c>
      <c r="M830" s="1" t="s">
        <v>1732</v>
      </c>
      <c r="N830" s="1" t="s">
        <v>1799</v>
      </c>
    </row>
    <row r="831" spans="1:14" x14ac:dyDescent="0.35">
      <c r="A831">
        <v>3216445</v>
      </c>
      <c r="B831" s="1" t="s">
        <v>1255</v>
      </c>
      <c r="C831">
        <v>51163.9</v>
      </c>
      <c r="D831">
        <v>1381</v>
      </c>
      <c r="E831" s="1" t="s">
        <v>1800</v>
      </c>
      <c r="F831" s="1" t="s">
        <v>15</v>
      </c>
      <c r="G831" s="1" t="s">
        <v>32</v>
      </c>
      <c r="H831">
        <v>103</v>
      </c>
      <c r="I831">
        <v>42</v>
      </c>
      <c r="J831">
        <v>106</v>
      </c>
      <c r="K831" s="1" t="s">
        <v>23</v>
      </c>
      <c r="L831" s="1" t="s">
        <v>24</v>
      </c>
      <c r="M831" s="1" t="s">
        <v>1732</v>
      </c>
      <c r="N831" s="1" t="s">
        <v>1801</v>
      </c>
    </row>
    <row r="832" spans="1:14" x14ac:dyDescent="0.35">
      <c r="A832">
        <v>3275373</v>
      </c>
      <c r="B832" s="1" t="s">
        <v>1255</v>
      </c>
      <c r="C832">
        <v>51163.9</v>
      </c>
      <c r="D832">
        <v>1381</v>
      </c>
      <c r="E832" s="1" t="s">
        <v>1802</v>
      </c>
      <c r="F832" s="1" t="s">
        <v>15</v>
      </c>
      <c r="G832" s="1" t="s">
        <v>32</v>
      </c>
      <c r="H832">
        <v>114</v>
      </c>
      <c r="I832">
        <v>56</v>
      </c>
      <c r="J832">
        <v>356</v>
      </c>
      <c r="K832" s="1" t="s">
        <v>90</v>
      </c>
      <c r="L832" s="1" t="s">
        <v>24</v>
      </c>
      <c r="M832" s="1" t="s">
        <v>1732</v>
      </c>
      <c r="N832" s="1" t="s">
        <v>1803</v>
      </c>
    </row>
    <row r="833" spans="1:14" x14ac:dyDescent="0.35">
      <c r="A833">
        <v>3275060</v>
      </c>
      <c r="B833" s="1" t="s">
        <v>1255</v>
      </c>
      <c r="C833">
        <v>51163.9</v>
      </c>
      <c r="D833">
        <v>1381</v>
      </c>
      <c r="E833" s="1" t="s">
        <v>1804</v>
      </c>
      <c r="F833" s="1" t="s">
        <v>15</v>
      </c>
      <c r="G833" s="1" t="s">
        <v>32</v>
      </c>
      <c r="H833">
        <v>103</v>
      </c>
      <c r="I833">
        <v>23</v>
      </c>
      <c r="J833">
        <v>215</v>
      </c>
      <c r="K833" s="1" t="s">
        <v>23</v>
      </c>
      <c r="L833" s="1" t="s">
        <v>24</v>
      </c>
      <c r="M833" s="1" t="s">
        <v>1732</v>
      </c>
      <c r="N833" s="1" t="s">
        <v>1805</v>
      </c>
    </row>
    <row r="834" spans="1:14" x14ac:dyDescent="0.35">
      <c r="A834">
        <v>3275229</v>
      </c>
      <c r="B834" s="1" t="s">
        <v>1255</v>
      </c>
      <c r="C834">
        <v>51163.9</v>
      </c>
      <c r="D834">
        <v>1381</v>
      </c>
      <c r="E834" s="1" t="s">
        <v>1806</v>
      </c>
      <c r="F834" s="1" t="s">
        <v>15</v>
      </c>
      <c r="G834" s="1" t="s">
        <v>32</v>
      </c>
      <c r="H834">
        <v>107</v>
      </c>
      <c r="I834">
        <v>36</v>
      </c>
      <c r="J834">
        <v>130</v>
      </c>
      <c r="K834" s="1" t="s">
        <v>23</v>
      </c>
      <c r="L834" s="1" t="s">
        <v>24</v>
      </c>
      <c r="M834" s="1" t="s">
        <v>1732</v>
      </c>
      <c r="N834" s="1" t="s">
        <v>1807</v>
      </c>
    </row>
    <row r="835" spans="1:14" x14ac:dyDescent="0.35">
      <c r="A835">
        <v>3275070</v>
      </c>
      <c r="B835" s="1" t="s">
        <v>1255</v>
      </c>
      <c r="C835">
        <v>51163.9</v>
      </c>
      <c r="D835">
        <v>1381</v>
      </c>
      <c r="E835" s="1" t="s">
        <v>1808</v>
      </c>
      <c r="F835" s="1" t="s">
        <v>15</v>
      </c>
      <c r="G835" s="1" t="s">
        <v>22</v>
      </c>
      <c r="H835">
        <v>50</v>
      </c>
      <c r="I835">
        <v>26</v>
      </c>
      <c r="K835" s="1" t="s">
        <v>137</v>
      </c>
      <c r="L835" s="1" t="s">
        <v>18</v>
      </c>
      <c r="M835" s="1" t="s">
        <v>1732</v>
      </c>
      <c r="N835" s="1" t="s">
        <v>1809</v>
      </c>
    </row>
    <row r="836" spans="1:14" x14ac:dyDescent="0.35">
      <c r="A836">
        <v>3275083</v>
      </c>
      <c r="B836" s="1" t="s">
        <v>1255</v>
      </c>
      <c r="C836">
        <v>51163.9</v>
      </c>
      <c r="D836">
        <v>1381</v>
      </c>
      <c r="E836" s="1" t="s">
        <v>1810</v>
      </c>
      <c r="F836" s="1" t="s">
        <v>15</v>
      </c>
      <c r="G836" s="1" t="s">
        <v>22</v>
      </c>
      <c r="H836">
        <v>54</v>
      </c>
      <c r="I836">
        <v>22</v>
      </c>
      <c r="J836">
        <v>152</v>
      </c>
      <c r="K836" s="1" t="s">
        <v>84</v>
      </c>
      <c r="L836" s="1" t="s">
        <v>24</v>
      </c>
      <c r="M836" s="1" t="s">
        <v>1732</v>
      </c>
      <c r="N836" s="1" t="s">
        <v>1811</v>
      </c>
    </row>
    <row r="837" spans="1:14" x14ac:dyDescent="0.35">
      <c r="A837">
        <v>3275066</v>
      </c>
      <c r="B837" s="1" t="s">
        <v>1255</v>
      </c>
      <c r="C837">
        <v>51163.9</v>
      </c>
      <c r="D837">
        <v>1381</v>
      </c>
      <c r="E837" s="1" t="s">
        <v>1812</v>
      </c>
      <c r="F837" s="1" t="s">
        <v>15</v>
      </c>
      <c r="G837" s="1" t="s">
        <v>22</v>
      </c>
      <c r="H837">
        <v>52</v>
      </c>
      <c r="I837">
        <v>36</v>
      </c>
      <c r="J837">
        <v>49</v>
      </c>
      <c r="K837" s="1" t="s">
        <v>137</v>
      </c>
      <c r="L837" s="1" t="s">
        <v>18</v>
      </c>
      <c r="M837" s="1" t="s">
        <v>1732</v>
      </c>
      <c r="N837" s="1" t="s">
        <v>1813</v>
      </c>
    </row>
    <row r="838" spans="1:14" x14ac:dyDescent="0.35">
      <c r="A838">
        <v>3216396</v>
      </c>
      <c r="B838" s="1" t="s">
        <v>1255</v>
      </c>
      <c r="C838">
        <v>51163.9</v>
      </c>
      <c r="D838">
        <v>1381</v>
      </c>
      <c r="E838" s="1" t="s">
        <v>1814</v>
      </c>
      <c r="F838" s="1" t="s">
        <v>15</v>
      </c>
      <c r="G838" s="1" t="s">
        <v>22</v>
      </c>
      <c r="H838">
        <v>50</v>
      </c>
      <c r="I838">
        <v>20</v>
      </c>
      <c r="J838">
        <v>133</v>
      </c>
      <c r="K838" s="1" t="s">
        <v>90</v>
      </c>
      <c r="L838" s="1" t="s">
        <v>24</v>
      </c>
      <c r="M838" s="1" t="s">
        <v>1732</v>
      </c>
      <c r="N838" s="1" t="s">
        <v>1815</v>
      </c>
    </row>
    <row r="839" spans="1:14" x14ac:dyDescent="0.35">
      <c r="A839">
        <v>3275064</v>
      </c>
      <c r="B839" s="1" t="s">
        <v>1255</v>
      </c>
      <c r="C839">
        <v>51163.9</v>
      </c>
      <c r="D839">
        <v>1381</v>
      </c>
      <c r="E839" s="1" t="s">
        <v>1816</v>
      </c>
      <c r="F839" s="1" t="s">
        <v>15</v>
      </c>
      <c r="G839" s="1" t="s">
        <v>22</v>
      </c>
      <c r="H839">
        <v>65</v>
      </c>
      <c r="I839">
        <v>29</v>
      </c>
      <c r="J839">
        <v>36</v>
      </c>
      <c r="K839" s="1" t="s">
        <v>90</v>
      </c>
      <c r="L839" s="1" t="s">
        <v>24</v>
      </c>
      <c r="M839" s="1" t="s">
        <v>1732</v>
      </c>
      <c r="N839" s="1" t="s">
        <v>1817</v>
      </c>
    </row>
    <row r="840" spans="1:14" x14ac:dyDescent="0.35">
      <c r="A840">
        <v>3275296</v>
      </c>
      <c r="B840" s="1" t="s">
        <v>1255</v>
      </c>
      <c r="C840">
        <v>51163.9</v>
      </c>
      <c r="D840">
        <v>1381</v>
      </c>
      <c r="E840" s="1" t="s">
        <v>1818</v>
      </c>
      <c r="F840" s="1" t="s">
        <v>15</v>
      </c>
      <c r="G840" s="1" t="s">
        <v>22</v>
      </c>
      <c r="H840">
        <v>51</v>
      </c>
      <c r="I840">
        <v>21</v>
      </c>
      <c r="J840">
        <v>73</v>
      </c>
      <c r="K840" s="1" t="s">
        <v>84</v>
      </c>
      <c r="L840" s="1" t="s">
        <v>24</v>
      </c>
      <c r="M840" s="1" t="s">
        <v>1732</v>
      </c>
      <c r="N840" s="1" t="s">
        <v>1819</v>
      </c>
    </row>
    <row r="841" spans="1:14" x14ac:dyDescent="0.35">
      <c r="A841">
        <v>3275068</v>
      </c>
      <c r="B841" s="1" t="s">
        <v>1255</v>
      </c>
      <c r="C841">
        <v>51163.9</v>
      </c>
      <c r="D841">
        <v>1381</v>
      </c>
      <c r="E841" s="1" t="s">
        <v>1820</v>
      </c>
      <c r="F841" s="1" t="s">
        <v>15</v>
      </c>
      <c r="G841" s="1" t="s">
        <v>22</v>
      </c>
      <c r="H841">
        <v>69</v>
      </c>
      <c r="I841">
        <v>37</v>
      </c>
      <c r="J841">
        <v>4</v>
      </c>
      <c r="K841" s="1" t="s">
        <v>137</v>
      </c>
      <c r="L841" s="1" t="s">
        <v>18</v>
      </c>
      <c r="M841" s="1" t="s">
        <v>1732</v>
      </c>
      <c r="N841" s="1" t="s">
        <v>1821</v>
      </c>
    </row>
    <row r="842" spans="1:14" x14ac:dyDescent="0.35">
      <c r="A842">
        <v>3275415</v>
      </c>
      <c r="B842" s="1" t="s">
        <v>1255</v>
      </c>
      <c r="C842">
        <v>51163.9</v>
      </c>
      <c r="D842">
        <v>1381</v>
      </c>
      <c r="E842" s="1" t="s">
        <v>1822</v>
      </c>
      <c r="F842" s="1" t="s">
        <v>15</v>
      </c>
      <c r="G842" s="1" t="s">
        <v>22</v>
      </c>
      <c r="H842">
        <v>31</v>
      </c>
      <c r="I842">
        <v>2</v>
      </c>
      <c r="K842" s="1" t="s">
        <v>23</v>
      </c>
      <c r="L842" s="1" t="s">
        <v>24</v>
      </c>
      <c r="M842" s="1" t="s">
        <v>1732</v>
      </c>
      <c r="N842" s="1" t="s">
        <v>1823</v>
      </c>
    </row>
    <row r="843" spans="1:14" x14ac:dyDescent="0.35">
      <c r="A843">
        <v>3275067</v>
      </c>
      <c r="B843" s="1" t="s">
        <v>1255</v>
      </c>
      <c r="C843">
        <v>51163.9</v>
      </c>
      <c r="D843">
        <v>1381</v>
      </c>
      <c r="E843" s="1" t="s">
        <v>1824</v>
      </c>
      <c r="F843" s="1" t="s">
        <v>15</v>
      </c>
      <c r="G843" s="1" t="s">
        <v>22</v>
      </c>
      <c r="H843">
        <v>72</v>
      </c>
      <c r="I843">
        <v>29</v>
      </c>
      <c r="J843">
        <v>26</v>
      </c>
      <c r="K843" s="1" t="s">
        <v>137</v>
      </c>
      <c r="L843" s="1" t="s">
        <v>18</v>
      </c>
      <c r="M843" s="1" t="s">
        <v>1732</v>
      </c>
      <c r="N843" s="1" t="s">
        <v>1825</v>
      </c>
    </row>
    <row r="844" spans="1:14" x14ac:dyDescent="0.35">
      <c r="A844">
        <v>3271162</v>
      </c>
      <c r="B844" s="1" t="s">
        <v>1255</v>
      </c>
      <c r="C844">
        <v>51163.9</v>
      </c>
      <c r="D844">
        <v>1381</v>
      </c>
      <c r="E844" s="1" t="s">
        <v>1826</v>
      </c>
      <c r="F844" s="1" t="s">
        <v>71</v>
      </c>
      <c r="G844" s="1" t="s">
        <v>32</v>
      </c>
      <c r="H844">
        <v>34</v>
      </c>
      <c r="I844">
        <v>17</v>
      </c>
      <c r="J844">
        <v>166</v>
      </c>
      <c r="K844" s="1" t="s">
        <v>90</v>
      </c>
      <c r="L844" s="1" t="s">
        <v>24</v>
      </c>
      <c r="M844" s="1" t="s">
        <v>1827</v>
      </c>
      <c r="N844" s="1" t="s">
        <v>1828</v>
      </c>
    </row>
    <row r="845" spans="1:14" x14ac:dyDescent="0.35">
      <c r="A845">
        <v>3201246</v>
      </c>
      <c r="B845" s="1" t="s">
        <v>1255</v>
      </c>
      <c r="C845">
        <v>51163.9</v>
      </c>
      <c r="D845">
        <v>1381</v>
      </c>
      <c r="E845" s="1" t="s">
        <v>1829</v>
      </c>
      <c r="F845" s="1" t="s">
        <v>71</v>
      </c>
      <c r="G845" s="1" t="s">
        <v>32</v>
      </c>
      <c r="H845">
        <v>34</v>
      </c>
      <c r="I845">
        <v>20</v>
      </c>
      <c r="J845">
        <v>52</v>
      </c>
      <c r="K845" s="1" t="s">
        <v>23</v>
      </c>
      <c r="L845" s="1" t="s">
        <v>24</v>
      </c>
      <c r="M845" s="1" t="s">
        <v>1827</v>
      </c>
      <c r="N845" s="1" t="s">
        <v>1830</v>
      </c>
    </row>
    <row r="846" spans="1:14" x14ac:dyDescent="0.35">
      <c r="A846">
        <v>3201243</v>
      </c>
      <c r="B846" s="1" t="s">
        <v>1255</v>
      </c>
      <c r="C846">
        <v>51163.9</v>
      </c>
      <c r="D846">
        <v>1381</v>
      </c>
      <c r="E846" s="1" t="s">
        <v>1831</v>
      </c>
      <c r="F846" s="1" t="s">
        <v>71</v>
      </c>
      <c r="G846" s="1" t="s">
        <v>32</v>
      </c>
      <c r="H846">
        <v>40</v>
      </c>
      <c r="I846">
        <v>18</v>
      </c>
      <c r="J846">
        <v>24</v>
      </c>
      <c r="K846" s="1" t="s">
        <v>23</v>
      </c>
      <c r="L846" s="1" t="s">
        <v>24</v>
      </c>
      <c r="M846" s="1" t="s">
        <v>1827</v>
      </c>
      <c r="N846" s="1" t="s">
        <v>1832</v>
      </c>
    </row>
    <row r="847" spans="1:14" x14ac:dyDescent="0.35">
      <c r="A847">
        <v>3271046</v>
      </c>
      <c r="B847" s="1" t="s">
        <v>1255</v>
      </c>
      <c r="C847">
        <v>51163.9</v>
      </c>
      <c r="D847">
        <v>1381</v>
      </c>
      <c r="E847" s="1" t="s">
        <v>1833</v>
      </c>
      <c r="F847" s="1" t="s">
        <v>129</v>
      </c>
      <c r="G847" s="1" t="s">
        <v>130</v>
      </c>
      <c r="H847">
        <v>507</v>
      </c>
      <c r="I847">
        <v>35</v>
      </c>
      <c r="J847">
        <v>912</v>
      </c>
      <c r="K847" s="1" t="s">
        <v>339</v>
      </c>
      <c r="L847" s="1" t="s">
        <v>120</v>
      </c>
      <c r="M847" s="1" t="s">
        <v>1827</v>
      </c>
      <c r="N847" s="1" t="s">
        <v>1834</v>
      </c>
    </row>
    <row r="848" spans="1:14" x14ac:dyDescent="0.35">
      <c r="A848">
        <v>3271013</v>
      </c>
      <c r="B848" s="1" t="s">
        <v>1255</v>
      </c>
      <c r="C848">
        <v>51163.9</v>
      </c>
      <c r="D848">
        <v>1381</v>
      </c>
      <c r="E848" s="1" t="s">
        <v>1835</v>
      </c>
      <c r="F848" s="1" t="s">
        <v>15</v>
      </c>
      <c r="G848" s="1" t="s">
        <v>16</v>
      </c>
      <c r="H848">
        <v>336</v>
      </c>
      <c r="I848">
        <v>135</v>
      </c>
      <c r="J848">
        <v>1248</v>
      </c>
      <c r="K848" s="1" t="s">
        <v>84</v>
      </c>
      <c r="L848" s="1" t="s">
        <v>24</v>
      </c>
      <c r="M848" s="1" t="s">
        <v>1827</v>
      </c>
      <c r="N848" s="1" t="s">
        <v>1836</v>
      </c>
    </row>
    <row r="849" spans="1:14" x14ac:dyDescent="0.35">
      <c r="A849">
        <v>3271104</v>
      </c>
      <c r="B849" s="1" t="s">
        <v>1255</v>
      </c>
      <c r="C849">
        <v>51163.9</v>
      </c>
      <c r="D849">
        <v>1381</v>
      </c>
      <c r="E849" s="1" t="s">
        <v>1837</v>
      </c>
      <c r="F849" s="1" t="s">
        <v>15</v>
      </c>
      <c r="G849" s="1" t="s">
        <v>16</v>
      </c>
      <c r="H849">
        <v>535</v>
      </c>
      <c r="I849">
        <v>87</v>
      </c>
      <c r="J849">
        <v>1605</v>
      </c>
      <c r="K849" s="1" t="s">
        <v>137</v>
      </c>
      <c r="L849" s="1" t="s">
        <v>18</v>
      </c>
      <c r="M849" s="1" t="s">
        <v>1827</v>
      </c>
      <c r="N849" s="1" t="s">
        <v>1838</v>
      </c>
    </row>
    <row r="850" spans="1:14" x14ac:dyDescent="0.35">
      <c r="A850">
        <v>3271115</v>
      </c>
      <c r="B850" s="1" t="s">
        <v>1255</v>
      </c>
      <c r="C850">
        <v>51163.9</v>
      </c>
      <c r="D850">
        <v>1381</v>
      </c>
      <c r="E850" s="1" t="s">
        <v>1839</v>
      </c>
      <c r="F850" s="1" t="s">
        <v>15</v>
      </c>
      <c r="G850" s="1" t="s">
        <v>16</v>
      </c>
      <c r="H850">
        <v>200</v>
      </c>
      <c r="I850">
        <v>65</v>
      </c>
      <c r="J850">
        <v>609</v>
      </c>
      <c r="K850" s="1" t="s">
        <v>90</v>
      </c>
      <c r="L850" s="1" t="s">
        <v>24</v>
      </c>
      <c r="M850" s="1" t="s">
        <v>1827</v>
      </c>
      <c r="N850" s="1" t="s">
        <v>1840</v>
      </c>
    </row>
    <row r="851" spans="1:14" x14ac:dyDescent="0.35">
      <c r="A851">
        <v>3201254</v>
      </c>
      <c r="B851" s="1" t="s">
        <v>1255</v>
      </c>
      <c r="C851">
        <v>51163.9</v>
      </c>
      <c r="D851">
        <v>1381</v>
      </c>
      <c r="E851" s="1" t="s">
        <v>1841</v>
      </c>
      <c r="F851" s="1" t="s">
        <v>15</v>
      </c>
      <c r="G851" s="1" t="s">
        <v>32</v>
      </c>
      <c r="H851">
        <v>112</v>
      </c>
      <c r="I851">
        <v>49</v>
      </c>
      <c r="J851">
        <v>173</v>
      </c>
      <c r="K851" s="1" t="s">
        <v>23</v>
      </c>
      <c r="L851" s="1" t="s">
        <v>24</v>
      </c>
      <c r="M851" s="1" t="s">
        <v>1827</v>
      </c>
      <c r="N851" s="1" t="s">
        <v>1842</v>
      </c>
    </row>
    <row r="852" spans="1:14" x14ac:dyDescent="0.35">
      <c r="A852">
        <v>3201218</v>
      </c>
      <c r="B852" s="1" t="s">
        <v>1255</v>
      </c>
      <c r="C852">
        <v>51163.9</v>
      </c>
      <c r="D852">
        <v>1381</v>
      </c>
      <c r="E852" s="1" t="s">
        <v>1843</v>
      </c>
      <c r="F852" s="1" t="s">
        <v>15</v>
      </c>
      <c r="G852" s="1" t="s">
        <v>32</v>
      </c>
      <c r="H852">
        <v>106</v>
      </c>
      <c r="I852">
        <v>28</v>
      </c>
      <c r="J852">
        <v>330</v>
      </c>
      <c r="K852" s="1" t="s">
        <v>84</v>
      </c>
      <c r="L852" s="1" t="s">
        <v>24</v>
      </c>
      <c r="M852" s="1" t="s">
        <v>1827</v>
      </c>
      <c r="N852" s="1" t="s">
        <v>1844</v>
      </c>
    </row>
    <row r="853" spans="1:14" x14ac:dyDescent="0.35">
      <c r="A853">
        <v>3201257</v>
      </c>
      <c r="B853" s="1" t="s">
        <v>1255</v>
      </c>
      <c r="C853">
        <v>51163.9</v>
      </c>
      <c r="D853">
        <v>1381</v>
      </c>
      <c r="E853" s="1" t="s">
        <v>1845</v>
      </c>
      <c r="F853" s="1" t="s">
        <v>15</v>
      </c>
      <c r="G853" s="1" t="s">
        <v>32</v>
      </c>
      <c r="H853">
        <v>100</v>
      </c>
      <c r="I853">
        <v>27</v>
      </c>
      <c r="J853">
        <v>72</v>
      </c>
      <c r="K853" s="1" t="s">
        <v>23</v>
      </c>
      <c r="L853" s="1" t="s">
        <v>24</v>
      </c>
      <c r="M853" s="1" t="s">
        <v>1827</v>
      </c>
      <c r="N853" s="1" t="s">
        <v>1846</v>
      </c>
    </row>
    <row r="854" spans="1:14" x14ac:dyDescent="0.35">
      <c r="A854">
        <v>3201236</v>
      </c>
      <c r="B854" s="1" t="s">
        <v>1255</v>
      </c>
      <c r="C854">
        <v>51163.9</v>
      </c>
      <c r="D854">
        <v>1381</v>
      </c>
      <c r="E854" s="1" t="s">
        <v>1847</v>
      </c>
      <c r="F854" s="1" t="s">
        <v>15</v>
      </c>
      <c r="G854" s="1" t="s">
        <v>32</v>
      </c>
      <c r="H854">
        <v>124</v>
      </c>
      <c r="I854">
        <v>47</v>
      </c>
      <c r="J854">
        <v>318</v>
      </c>
      <c r="K854" s="1" t="s">
        <v>90</v>
      </c>
      <c r="L854" s="1" t="s">
        <v>24</v>
      </c>
      <c r="M854" s="1" t="s">
        <v>1827</v>
      </c>
      <c r="N854" s="1" t="s">
        <v>1848</v>
      </c>
    </row>
    <row r="855" spans="1:14" x14ac:dyDescent="0.35">
      <c r="A855">
        <v>3271161</v>
      </c>
      <c r="B855" s="1" t="s">
        <v>1255</v>
      </c>
      <c r="C855">
        <v>51163.9</v>
      </c>
      <c r="D855">
        <v>1381</v>
      </c>
      <c r="E855" s="1" t="s">
        <v>1849</v>
      </c>
      <c r="F855" s="1" t="s">
        <v>15</v>
      </c>
      <c r="G855" s="1" t="s">
        <v>32</v>
      </c>
      <c r="H855">
        <v>109</v>
      </c>
      <c r="I855">
        <v>57</v>
      </c>
      <c r="J855">
        <v>638</v>
      </c>
      <c r="K855" s="1" t="s">
        <v>90</v>
      </c>
      <c r="L855" s="1" t="s">
        <v>24</v>
      </c>
      <c r="M855" s="1" t="s">
        <v>1827</v>
      </c>
      <c r="N855" s="1" t="s">
        <v>1850</v>
      </c>
    </row>
    <row r="856" spans="1:14" x14ac:dyDescent="0.35">
      <c r="A856">
        <v>3271024</v>
      </c>
      <c r="B856" s="1" t="s">
        <v>1255</v>
      </c>
      <c r="C856">
        <v>51163.9</v>
      </c>
      <c r="D856">
        <v>1381</v>
      </c>
      <c r="E856" s="1" t="s">
        <v>1851</v>
      </c>
      <c r="F856" s="1" t="s">
        <v>15</v>
      </c>
      <c r="G856" s="1" t="s">
        <v>32</v>
      </c>
      <c r="H856">
        <v>152</v>
      </c>
      <c r="I856">
        <v>38</v>
      </c>
      <c r="J856">
        <v>375</v>
      </c>
      <c r="K856" s="1" t="s">
        <v>27</v>
      </c>
      <c r="L856" s="1" t="s">
        <v>120</v>
      </c>
      <c r="M856" s="1" t="s">
        <v>1827</v>
      </c>
      <c r="N856" s="1" t="s">
        <v>1852</v>
      </c>
    </row>
    <row r="857" spans="1:14" x14ac:dyDescent="0.35">
      <c r="A857">
        <v>3271072</v>
      </c>
      <c r="B857" s="1" t="s">
        <v>1255</v>
      </c>
      <c r="C857">
        <v>51163.9</v>
      </c>
      <c r="D857">
        <v>1381</v>
      </c>
      <c r="E857" s="1" t="s">
        <v>1853</v>
      </c>
      <c r="F857" s="1" t="s">
        <v>15</v>
      </c>
      <c r="G857" s="1" t="s">
        <v>32</v>
      </c>
      <c r="H857">
        <v>103</v>
      </c>
      <c r="I857">
        <v>76</v>
      </c>
      <c r="J857">
        <v>296</v>
      </c>
      <c r="K857" s="1" t="s">
        <v>90</v>
      </c>
      <c r="L857" s="1" t="s">
        <v>24</v>
      </c>
      <c r="M857" s="1" t="s">
        <v>1827</v>
      </c>
      <c r="N857" s="1" t="s">
        <v>1854</v>
      </c>
    </row>
    <row r="858" spans="1:14" x14ac:dyDescent="0.35">
      <c r="A858">
        <v>3271164</v>
      </c>
      <c r="B858" s="1" t="s">
        <v>1255</v>
      </c>
      <c r="C858">
        <v>51163.9</v>
      </c>
      <c r="D858">
        <v>1381</v>
      </c>
      <c r="E858" s="1" t="s">
        <v>1855</v>
      </c>
      <c r="F858" s="1" t="s">
        <v>15</v>
      </c>
      <c r="G858" s="1" t="s">
        <v>32</v>
      </c>
      <c r="H858">
        <v>120</v>
      </c>
      <c r="I858">
        <v>35</v>
      </c>
      <c r="J858">
        <v>151</v>
      </c>
      <c r="K858" s="1" t="s">
        <v>90</v>
      </c>
      <c r="L858" s="1" t="s">
        <v>24</v>
      </c>
      <c r="M858" s="1" t="s">
        <v>1827</v>
      </c>
      <c r="N858" s="1" t="s">
        <v>1856</v>
      </c>
    </row>
    <row r="859" spans="1:14" x14ac:dyDescent="0.35">
      <c r="A859">
        <v>3201241</v>
      </c>
      <c r="B859" s="1" t="s">
        <v>1255</v>
      </c>
      <c r="C859">
        <v>51163.9</v>
      </c>
      <c r="D859">
        <v>1381</v>
      </c>
      <c r="E859" s="1" t="s">
        <v>1857</v>
      </c>
      <c r="F859" s="1" t="s">
        <v>15</v>
      </c>
      <c r="G859" s="1" t="s">
        <v>32</v>
      </c>
      <c r="H859">
        <v>201</v>
      </c>
      <c r="I859">
        <v>42</v>
      </c>
      <c r="J859">
        <v>343</v>
      </c>
      <c r="K859" s="1" t="s">
        <v>90</v>
      </c>
      <c r="L859" s="1" t="s">
        <v>24</v>
      </c>
      <c r="M859" s="1" t="s">
        <v>1827</v>
      </c>
      <c r="N859" s="1" t="s">
        <v>1858</v>
      </c>
    </row>
    <row r="860" spans="1:14" x14ac:dyDescent="0.35">
      <c r="A860">
        <v>3201240</v>
      </c>
      <c r="B860" s="1" t="s">
        <v>1255</v>
      </c>
      <c r="C860">
        <v>51163.9</v>
      </c>
      <c r="D860">
        <v>1381</v>
      </c>
      <c r="E860" s="1" t="s">
        <v>1859</v>
      </c>
      <c r="F860" s="1" t="s">
        <v>15</v>
      </c>
      <c r="G860" s="1" t="s">
        <v>32</v>
      </c>
      <c r="H860">
        <v>112</v>
      </c>
      <c r="I860">
        <v>26</v>
      </c>
      <c r="J860">
        <v>132</v>
      </c>
      <c r="K860" s="1" t="s">
        <v>23</v>
      </c>
      <c r="L860" s="1" t="s">
        <v>24</v>
      </c>
      <c r="M860" s="1" t="s">
        <v>1827</v>
      </c>
      <c r="N860" s="1" t="s">
        <v>1860</v>
      </c>
    </row>
    <row r="861" spans="1:14" x14ac:dyDescent="0.35">
      <c r="A861">
        <v>3271168</v>
      </c>
      <c r="B861" s="1" t="s">
        <v>1255</v>
      </c>
      <c r="C861">
        <v>51163.9</v>
      </c>
      <c r="D861">
        <v>1381</v>
      </c>
      <c r="E861" s="1" t="s">
        <v>1861</v>
      </c>
      <c r="F861" s="1" t="s">
        <v>15</v>
      </c>
      <c r="G861" s="1" t="s">
        <v>32</v>
      </c>
      <c r="H861">
        <v>147</v>
      </c>
      <c r="I861">
        <v>14</v>
      </c>
      <c r="K861" s="1" t="s">
        <v>90</v>
      </c>
      <c r="L861" s="1" t="s">
        <v>24</v>
      </c>
      <c r="M861" s="1" t="s">
        <v>1827</v>
      </c>
      <c r="N861" s="1" t="s">
        <v>1862</v>
      </c>
    </row>
    <row r="862" spans="1:14" x14ac:dyDescent="0.35">
      <c r="A862">
        <v>3201251</v>
      </c>
      <c r="B862" s="1" t="s">
        <v>1255</v>
      </c>
      <c r="C862">
        <v>51163.9</v>
      </c>
      <c r="D862">
        <v>1381</v>
      </c>
      <c r="E862" s="1" t="s">
        <v>1863</v>
      </c>
      <c r="F862" s="1" t="s">
        <v>15</v>
      </c>
      <c r="G862" s="1" t="s">
        <v>32</v>
      </c>
      <c r="H862">
        <v>104</v>
      </c>
      <c r="I862">
        <v>52</v>
      </c>
      <c r="J862">
        <v>268</v>
      </c>
      <c r="K862" s="1" t="s">
        <v>90</v>
      </c>
      <c r="L862" s="1" t="s">
        <v>24</v>
      </c>
      <c r="M862" s="1" t="s">
        <v>1827</v>
      </c>
      <c r="N862" s="1" t="s">
        <v>1864</v>
      </c>
    </row>
    <row r="863" spans="1:14" x14ac:dyDescent="0.35">
      <c r="A863">
        <v>3271126</v>
      </c>
      <c r="B863" s="1" t="s">
        <v>1255</v>
      </c>
      <c r="C863">
        <v>51163.9</v>
      </c>
      <c r="D863">
        <v>1381</v>
      </c>
      <c r="E863" s="1" t="s">
        <v>1865</v>
      </c>
      <c r="F863" s="1" t="s">
        <v>15</v>
      </c>
      <c r="G863" s="1" t="s">
        <v>32</v>
      </c>
      <c r="H863">
        <v>104</v>
      </c>
      <c r="I863">
        <v>63</v>
      </c>
      <c r="J863">
        <v>503</v>
      </c>
      <c r="K863" s="1" t="s">
        <v>90</v>
      </c>
      <c r="L863" s="1" t="s">
        <v>24</v>
      </c>
      <c r="M863" s="1" t="s">
        <v>1827</v>
      </c>
      <c r="N863" s="1" t="s">
        <v>1866</v>
      </c>
    </row>
    <row r="864" spans="1:14" x14ac:dyDescent="0.35">
      <c r="A864">
        <v>3271163</v>
      </c>
      <c r="B864" s="1" t="s">
        <v>1255</v>
      </c>
      <c r="C864">
        <v>51163.9</v>
      </c>
      <c r="D864">
        <v>1381</v>
      </c>
      <c r="E864" s="1" t="s">
        <v>1867</v>
      </c>
      <c r="F864" s="1" t="s">
        <v>15</v>
      </c>
      <c r="G864" s="1" t="s">
        <v>32</v>
      </c>
      <c r="H864">
        <v>113</v>
      </c>
      <c r="I864">
        <v>53</v>
      </c>
      <c r="J864">
        <v>138</v>
      </c>
      <c r="K864" s="1" t="s">
        <v>90</v>
      </c>
      <c r="L864" s="1" t="s">
        <v>24</v>
      </c>
      <c r="M864" s="1" t="s">
        <v>1827</v>
      </c>
      <c r="N864" s="1" t="s">
        <v>1868</v>
      </c>
    </row>
    <row r="865" spans="1:14" x14ac:dyDescent="0.35">
      <c r="A865">
        <v>3271166</v>
      </c>
      <c r="B865" s="1" t="s">
        <v>1255</v>
      </c>
      <c r="C865">
        <v>51163.9</v>
      </c>
      <c r="D865">
        <v>1381</v>
      </c>
      <c r="E865" s="1" t="s">
        <v>1869</v>
      </c>
      <c r="F865" s="1" t="s">
        <v>15</v>
      </c>
      <c r="G865" s="1" t="s">
        <v>22</v>
      </c>
      <c r="H865">
        <v>65</v>
      </c>
      <c r="I865">
        <v>20</v>
      </c>
      <c r="J865">
        <v>30</v>
      </c>
      <c r="K865" s="1" t="s">
        <v>146</v>
      </c>
      <c r="L865" s="1" t="s">
        <v>24</v>
      </c>
      <c r="M865" s="1" t="s">
        <v>1827</v>
      </c>
      <c r="N865" s="1" t="s">
        <v>1870</v>
      </c>
    </row>
    <row r="866" spans="1:14" x14ac:dyDescent="0.35">
      <c r="A866">
        <v>3277022</v>
      </c>
      <c r="B866" s="1" t="s">
        <v>1255</v>
      </c>
      <c r="C866">
        <v>51163.9</v>
      </c>
      <c r="D866">
        <v>1381</v>
      </c>
      <c r="E866" s="1" t="s">
        <v>1871</v>
      </c>
      <c r="F866" s="1" t="s">
        <v>119</v>
      </c>
      <c r="G866" s="1" t="s">
        <v>16</v>
      </c>
      <c r="H866">
        <v>13</v>
      </c>
      <c r="I866">
        <v>12</v>
      </c>
      <c r="J866">
        <v>86</v>
      </c>
      <c r="K866" s="1" t="s">
        <v>23</v>
      </c>
      <c r="L866" s="1" t="s">
        <v>24</v>
      </c>
      <c r="M866" s="1" t="s">
        <v>1872</v>
      </c>
      <c r="N866" s="1" t="s">
        <v>1873</v>
      </c>
    </row>
    <row r="867" spans="1:14" x14ac:dyDescent="0.35">
      <c r="A867">
        <v>3277031</v>
      </c>
      <c r="B867" s="1" t="s">
        <v>1255</v>
      </c>
      <c r="C867">
        <v>51163.9</v>
      </c>
      <c r="D867">
        <v>1381</v>
      </c>
      <c r="E867" s="1" t="s">
        <v>1874</v>
      </c>
      <c r="F867" s="1" t="s">
        <v>15</v>
      </c>
      <c r="G867" s="1" t="s">
        <v>16</v>
      </c>
      <c r="H867">
        <v>453</v>
      </c>
      <c r="I867">
        <v>127</v>
      </c>
      <c r="J867">
        <v>1422</v>
      </c>
      <c r="K867" s="1" t="s">
        <v>27</v>
      </c>
      <c r="L867" s="1" t="s">
        <v>120</v>
      </c>
      <c r="M867" s="1" t="s">
        <v>1872</v>
      </c>
      <c r="N867" s="1" t="s">
        <v>1875</v>
      </c>
    </row>
    <row r="868" spans="1:14" x14ac:dyDescent="0.35">
      <c r="A868">
        <v>3277020</v>
      </c>
      <c r="B868" s="1" t="s">
        <v>1255</v>
      </c>
      <c r="C868">
        <v>51163.9</v>
      </c>
      <c r="D868">
        <v>1381</v>
      </c>
      <c r="E868" s="1" t="s">
        <v>1876</v>
      </c>
      <c r="F868" s="1" t="s">
        <v>15</v>
      </c>
      <c r="G868" s="1" t="s">
        <v>16</v>
      </c>
      <c r="H868">
        <v>303</v>
      </c>
      <c r="I868">
        <v>78</v>
      </c>
      <c r="J868">
        <v>647</v>
      </c>
      <c r="K868" s="1" t="s">
        <v>137</v>
      </c>
      <c r="L868" s="1" t="s">
        <v>18</v>
      </c>
      <c r="M868" s="1" t="s">
        <v>1872</v>
      </c>
      <c r="N868" s="1" t="s">
        <v>1877</v>
      </c>
    </row>
    <row r="869" spans="1:14" x14ac:dyDescent="0.35">
      <c r="A869">
        <v>3277018</v>
      </c>
      <c r="B869" s="1" t="s">
        <v>1255</v>
      </c>
      <c r="C869">
        <v>51163.9</v>
      </c>
      <c r="D869">
        <v>1381</v>
      </c>
      <c r="E869" s="1" t="s">
        <v>1878</v>
      </c>
      <c r="F869" s="1" t="s">
        <v>15</v>
      </c>
      <c r="G869" s="1" t="s">
        <v>32</v>
      </c>
      <c r="H869">
        <v>100</v>
      </c>
      <c r="I869">
        <v>39</v>
      </c>
      <c r="J869">
        <v>158</v>
      </c>
      <c r="K869" s="1" t="s">
        <v>84</v>
      </c>
      <c r="L869" s="1" t="s">
        <v>24</v>
      </c>
      <c r="M869" s="1" t="s">
        <v>1872</v>
      </c>
      <c r="N869" s="1" t="s">
        <v>1879</v>
      </c>
    </row>
    <row r="870" spans="1:14" x14ac:dyDescent="0.35">
      <c r="A870">
        <v>3277019</v>
      </c>
      <c r="B870" s="1" t="s">
        <v>1255</v>
      </c>
      <c r="C870">
        <v>51163.9</v>
      </c>
      <c r="D870">
        <v>1381</v>
      </c>
      <c r="E870" s="1" t="s">
        <v>1880</v>
      </c>
      <c r="F870" s="1" t="s">
        <v>15</v>
      </c>
      <c r="G870" s="1" t="s">
        <v>32</v>
      </c>
      <c r="H870">
        <v>138</v>
      </c>
      <c r="I870">
        <v>37</v>
      </c>
      <c r="J870">
        <v>225</v>
      </c>
      <c r="K870" s="1" t="s">
        <v>90</v>
      </c>
      <c r="L870" s="1" t="s">
        <v>24</v>
      </c>
      <c r="M870" s="1" t="s">
        <v>1872</v>
      </c>
      <c r="N870" s="1" t="s">
        <v>1881</v>
      </c>
    </row>
    <row r="871" spans="1:14" x14ac:dyDescent="0.35">
      <c r="A871">
        <v>3277021</v>
      </c>
      <c r="B871" s="1" t="s">
        <v>1255</v>
      </c>
      <c r="C871">
        <v>51163.9</v>
      </c>
      <c r="D871">
        <v>1381</v>
      </c>
      <c r="E871" s="1" t="s">
        <v>1882</v>
      </c>
      <c r="F871" s="1" t="s">
        <v>15</v>
      </c>
      <c r="G871" s="1" t="s">
        <v>32</v>
      </c>
      <c r="H871">
        <v>190</v>
      </c>
      <c r="I871">
        <v>75</v>
      </c>
      <c r="J871">
        <v>340</v>
      </c>
      <c r="K871" s="1" t="s">
        <v>90</v>
      </c>
      <c r="L871" s="1" t="s">
        <v>24</v>
      </c>
      <c r="M871" s="1" t="s">
        <v>1872</v>
      </c>
      <c r="N871" s="1" t="s">
        <v>1883</v>
      </c>
    </row>
    <row r="872" spans="1:14" x14ac:dyDescent="0.35">
      <c r="A872">
        <v>3204075</v>
      </c>
      <c r="B872" s="1" t="s">
        <v>1255</v>
      </c>
      <c r="C872">
        <v>51163.9</v>
      </c>
      <c r="D872">
        <v>1381</v>
      </c>
      <c r="E872" s="1" t="s">
        <v>1884</v>
      </c>
      <c r="F872" s="1" t="s">
        <v>15</v>
      </c>
      <c r="G872" s="1" t="s">
        <v>32</v>
      </c>
      <c r="H872">
        <v>263</v>
      </c>
      <c r="I872">
        <v>218</v>
      </c>
      <c r="J872">
        <v>125</v>
      </c>
      <c r="K872" s="1" t="s">
        <v>84</v>
      </c>
      <c r="L872" s="1" t="s">
        <v>24</v>
      </c>
      <c r="M872" s="1" t="s">
        <v>1872</v>
      </c>
      <c r="N872" s="1" t="s">
        <v>1885</v>
      </c>
    </row>
    <row r="873" spans="1:14" x14ac:dyDescent="0.35">
      <c r="A873">
        <v>3277023</v>
      </c>
      <c r="B873" s="1" t="s">
        <v>1255</v>
      </c>
      <c r="C873">
        <v>51163.9</v>
      </c>
      <c r="D873">
        <v>1381</v>
      </c>
      <c r="E873" s="1" t="s">
        <v>1886</v>
      </c>
      <c r="F873" s="1" t="s">
        <v>15</v>
      </c>
      <c r="G873" s="1" t="s">
        <v>22</v>
      </c>
      <c r="H873">
        <v>86</v>
      </c>
      <c r="I873">
        <v>30</v>
      </c>
      <c r="J873">
        <v>16</v>
      </c>
      <c r="K873" s="1" t="s">
        <v>90</v>
      </c>
      <c r="L873" s="1" t="s">
        <v>24</v>
      </c>
      <c r="M873" s="1" t="s">
        <v>1872</v>
      </c>
      <c r="N873" s="1" t="s">
        <v>1887</v>
      </c>
    </row>
    <row r="874" spans="1:14" x14ac:dyDescent="0.35">
      <c r="A874">
        <v>3274137</v>
      </c>
      <c r="B874" s="1" t="s">
        <v>1255</v>
      </c>
      <c r="C874">
        <v>51163.9</v>
      </c>
      <c r="D874">
        <v>1381</v>
      </c>
      <c r="E874" s="1" t="s">
        <v>368</v>
      </c>
      <c r="F874" s="1" t="s">
        <v>71</v>
      </c>
      <c r="G874" s="1" t="s">
        <v>32</v>
      </c>
      <c r="H874">
        <v>36</v>
      </c>
      <c r="I874">
        <v>28</v>
      </c>
      <c r="J874">
        <v>93</v>
      </c>
      <c r="K874" s="1" t="s">
        <v>23</v>
      </c>
      <c r="L874" s="1" t="s">
        <v>24</v>
      </c>
      <c r="M874" s="1" t="s">
        <v>1888</v>
      </c>
      <c r="N874" s="1" t="s">
        <v>1889</v>
      </c>
    </row>
    <row r="875" spans="1:14" x14ac:dyDescent="0.35">
      <c r="A875">
        <v>3274016</v>
      </c>
      <c r="B875" s="1" t="s">
        <v>1255</v>
      </c>
      <c r="C875">
        <v>51163.9</v>
      </c>
      <c r="D875">
        <v>1381</v>
      </c>
      <c r="E875" s="1" t="s">
        <v>1890</v>
      </c>
      <c r="F875" s="1" t="s">
        <v>15</v>
      </c>
      <c r="G875" s="1" t="s">
        <v>16</v>
      </c>
      <c r="H875">
        <v>418</v>
      </c>
      <c r="I875">
        <v>114</v>
      </c>
      <c r="J875">
        <v>1232</v>
      </c>
      <c r="K875" s="1" t="s">
        <v>137</v>
      </c>
      <c r="L875" s="1" t="s">
        <v>18</v>
      </c>
      <c r="M875" s="1" t="s">
        <v>1888</v>
      </c>
      <c r="N875" s="1" t="s">
        <v>1891</v>
      </c>
    </row>
    <row r="876" spans="1:14" x14ac:dyDescent="0.35">
      <c r="A876">
        <v>3274020</v>
      </c>
      <c r="B876" s="1" t="s">
        <v>1255</v>
      </c>
      <c r="C876">
        <v>51163.9</v>
      </c>
      <c r="D876">
        <v>1381</v>
      </c>
      <c r="E876" s="1" t="s">
        <v>1892</v>
      </c>
      <c r="F876" s="1" t="s">
        <v>15</v>
      </c>
      <c r="G876" s="1" t="s">
        <v>16</v>
      </c>
      <c r="H876">
        <v>210</v>
      </c>
      <c r="I876">
        <v>41</v>
      </c>
      <c r="J876">
        <v>647</v>
      </c>
      <c r="K876" s="1" t="s">
        <v>27</v>
      </c>
      <c r="L876" s="1" t="s">
        <v>120</v>
      </c>
      <c r="M876" s="1" t="s">
        <v>1888</v>
      </c>
      <c r="N876" s="1" t="s">
        <v>1893</v>
      </c>
    </row>
    <row r="877" spans="1:14" x14ac:dyDescent="0.35">
      <c r="A877">
        <v>3274064</v>
      </c>
      <c r="B877" s="1" t="s">
        <v>1255</v>
      </c>
      <c r="C877">
        <v>51163.9</v>
      </c>
      <c r="D877">
        <v>1381</v>
      </c>
      <c r="E877" s="1" t="s">
        <v>1894</v>
      </c>
      <c r="F877" s="1" t="s">
        <v>15</v>
      </c>
      <c r="G877" s="1" t="s">
        <v>32</v>
      </c>
      <c r="H877">
        <v>113</v>
      </c>
      <c r="I877">
        <v>34</v>
      </c>
      <c r="J877">
        <v>160</v>
      </c>
      <c r="K877" s="1" t="s">
        <v>90</v>
      </c>
      <c r="L877" s="1" t="s">
        <v>24</v>
      </c>
      <c r="M877" s="1" t="s">
        <v>1888</v>
      </c>
      <c r="N877" s="1" t="s">
        <v>1895</v>
      </c>
    </row>
    <row r="878" spans="1:14" x14ac:dyDescent="0.35">
      <c r="A878">
        <v>3274031</v>
      </c>
      <c r="B878" s="1" t="s">
        <v>1255</v>
      </c>
      <c r="C878">
        <v>51163.9</v>
      </c>
      <c r="D878">
        <v>1381</v>
      </c>
      <c r="E878" s="1" t="s">
        <v>1896</v>
      </c>
      <c r="F878" s="1" t="s">
        <v>15</v>
      </c>
      <c r="G878" s="1" t="s">
        <v>32</v>
      </c>
      <c r="H878">
        <v>101</v>
      </c>
      <c r="I878">
        <v>22</v>
      </c>
      <c r="J878">
        <v>63</v>
      </c>
      <c r="K878" s="1" t="s">
        <v>23</v>
      </c>
      <c r="L878" s="1" t="s">
        <v>24</v>
      </c>
      <c r="M878" s="1" t="s">
        <v>1888</v>
      </c>
      <c r="N878" s="1" t="s">
        <v>1897</v>
      </c>
    </row>
    <row r="879" spans="1:14" x14ac:dyDescent="0.35">
      <c r="A879">
        <v>3274134</v>
      </c>
      <c r="B879" s="1" t="s">
        <v>1255</v>
      </c>
      <c r="C879">
        <v>51163.9</v>
      </c>
      <c r="D879">
        <v>1381</v>
      </c>
      <c r="E879" s="1" t="s">
        <v>1898</v>
      </c>
      <c r="F879" s="1" t="s">
        <v>15</v>
      </c>
      <c r="G879" s="1" t="s">
        <v>32</v>
      </c>
      <c r="H879">
        <v>100</v>
      </c>
      <c r="I879">
        <v>47</v>
      </c>
      <c r="J879">
        <v>176</v>
      </c>
      <c r="K879" s="1" t="s">
        <v>23</v>
      </c>
      <c r="L879" s="1" t="s">
        <v>24</v>
      </c>
      <c r="M879" s="1" t="s">
        <v>1888</v>
      </c>
      <c r="N879" s="1" t="s">
        <v>1899</v>
      </c>
    </row>
    <row r="880" spans="1:14" x14ac:dyDescent="0.35">
      <c r="A880">
        <v>3274053</v>
      </c>
      <c r="B880" s="1" t="s">
        <v>1255</v>
      </c>
      <c r="C880">
        <v>51163.9</v>
      </c>
      <c r="D880">
        <v>1381</v>
      </c>
      <c r="E880" s="1" t="s">
        <v>1900</v>
      </c>
      <c r="F880" s="1" t="s">
        <v>15</v>
      </c>
      <c r="G880" s="1" t="s">
        <v>32</v>
      </c>
      <c r="H880">
        <v>127</v>
      </c>
      <c r="I880">
        <v>39</v>
      </c>
      <c r="J880">
        <v>265</v>
      </c>
      <c r="K880" s="1" t="s">
        <v>61</v>
      </c>
      <c r="L880" s="1" t="s">
        <v>24</v>
      </c>
      <c r="M880" s="1" t="s">
        <v>1888</v>
      </c>
      <c r="N880" s="1" t="s">
        <v>1901</v>
      </c>
    </row>
    <row r="881" spans="1:14" x14ac:dyDescent="0.35">
      <c r="A881">
        <v>3274090</v>
      </c>
      <c r="B881" s="1" t="s">
        <v>1255</v>
      </c>
      <c r="C881">
        <v>51163.9</v>
      </c>
      <c r="D881">
        <v>1381</v>
      </c>
      <c r="E881" s="1" t="s">
        <v>1902</v>
      </c>
      <c r="F881" s="1" t="s">
        <v>15</v>
      </c>
      <c r="G881" s="1" t="s">
        <v>32</v>
      </c>
      <c r="H881">
        <v>190</v>
      </c>
      <c r="I881">
        <v>55</v>
      </c>
      <c r="J881">
        <v>291</v>
      </c>
      <c r="K881" s="1" t="s">
        <v>23</v>
      </c>
      <c r="L881" s="1" t="s">
        <v>24</v>
      </c>
      <c r="M881" s="1" t="s">
        <v>1888</v>
      </c>
      <c r="N881" s="1" t="s">
        <v>1903</v>
      </c>
    </row>
    <row r="882" spans="1:14" x14ac:dyDescent="0.35">
      <c r="A882">
        <v>3274100</v>
      </c>
      <c r="B882" s="1" t="s">
        <v>1255</v>
      </c>
      <c r="C882">
        <v>51163.9</v>
      </c>
      <c r="D882">
        <v>1381</v>
      </c>
      <c r="E882" s="1" t="s">
        <v>1904</v>
      </c>
      <c r="F882" s="1" t="s">
        <v>15</v>
      </c>
      <c r="G882" s="1" t="s">
        <v>22</v>
      </c>
      <c r="H882">
        <v>51</v>
      </c>
      <c r="I882">
        <v>38</v>
      </c>
      <c r="J882">
        <v>46</v>
      </c>
      <c r="K882" s="1" t="s">
        <v>84</v>
      </c>
      <c r="L882" s="1" t="s">
        <v>24</v>
      </c>
      <c r="M882" s="1" t="s">
        <v>1888</v>
      </c>
      <c r="N882" s="1" t="s">
        <v>1905</v>
      </c>
    </row>
    <row r="883" spans="1:14" x14ac:dyDescent="0.35">
      <c r="A883">
        <v>3274111</v>
      </c>
      <c r="B883" s="1" t="s">
        <v>1255</v>
      </c>
      <c r="C883">
        <v>51163.9</v>
      </c>
      <c r="D883">
        <v>1381</v>
      </c>
      <c r="E883" s="1" t="s">
        <v>1711</v>
      </c>
      <c r="F883" s="1" t="s">
        <v>15</v>
      </c>
      <c r="G883" s="1" t="s">
        <v>22</v>
      </c>
      <c r="H883">
        <v>49</v>
      </c>
      <c r="I883">
        <v>13</v>
      </c>
      <c r="J883">
        <v>65</v>
      </c>
      <c r="K883" s="1" t="s">
        <v>444</v>
      </c>
      <c r="L883" s="1" t="s">
        <v>24</v>
      </c>
      <c r="M883" s="1" t="s">
        <v>1888</v>
      </c>
      <c r="N883" s="1" t="s">
        <v>1906</v>
      </c>
    </row>
    <row r="884" spans="1:14" x14ac:dyDescent="0.35">
      <c r="A884">
        <v>3276149</v>
      </c>
      <c r="B884" s="1" t="s">
        <v>1255</v>
      </c>
      <c r="C884">
        <v>51163.9</v>
      </c>
      <c r="D884">
        <v>1381</v>
      </c>
      <c r="E884" s="1" t="s">
        <v>1907</v>
      </c>
      <c r="F884" s="1" t="s">
        <v>71</v>
      </c>
      <c r="G884" s="1" t="s">
        <v>32</v>
      </c>
      <c r="H884">
        <v>35</v>
      </c>
      <c r="I884">
        <v>16</v>
      </c>
      <c r="J884">
        <v>54</v>
      </c>
      <c r="K884" s="1" t="s">
        <v>90</v>
      </c>
      <c r="L884" s="1" t="s">
        <v>24</v>
      </c>
      <c r="M884" s="1" t="s">
        <v>1908</v>
      </c>
      <c r="N884" s="1" t="s">
        <v>1909</v>
      </c>
    </row>
    <row r="885" spans="1:14" x14ac:dyDescent="0.35">
      <c r="A885">
        <v>3201141</v>
      </c>
      <c r="B885" s="1" t="s">
        <v>1255</v>
      </c>
      <c r="C885">
        <v>51163.9</v>
      </c>
      <c r="D885">
        <v>1381</v>
      </c>
      <c r="E885" s="1" t="s">
        <v>1910</v>
      </c>
      <c r="F885" s="1" t="s">
        <v>71</v>
      </c>
      <c r="G885" s="1" t="s">
        <v>32</v>
      </c>
      <c r="H885">
        <v>66</v>
      </c>
      <c r="I885">
        <v>27</v>
      </c>
      <c r="K885" s="1" t="s">
        <v>84</v>
      </c>
      <c r="L885" s="1" t="s">
        <v>24</v>
      </c>
      <c r="M885" s="1" t="s">
        <v>1908</v>
      </c>
      <c r="N885" s="1" t="s">
        <v>1911</v>
      </c>
    </row>
    <row r="886" spans="1:14" x14ac:dyDescent="0.35">
      <c r="A886">
        <v>3276147</v>
      </c>
      <c r="B886" s="1" t="s">
        <v>1255</v>
      </c>
      <c r="C886">
        <v>51163.9</v>
      </c>
      <c r="D886">
        <v>1381</v>
      </c>
      <c r="E886" s="1" t="s">
        <v>1912</v>
      </c>
      <c r="F886" s="1" t="s">
        <v>71</v>
      </c>
      <c r="G886" s="1" t="s">
        <v>32</v>
      </c>
      <c r="H886">
        <v>30</v>
      </c>
      <c r="I886">
        <v>24</v>
      </c>
      <c r="J886">
        <v>28</v>
      </c>
      <c r="K886" s="1" t="s">
        <v>90</v>
      </c>
      <c r="L886" s="1" t="s">
        <v>24</v>
      </c>
      <c r="M886" s="1" t="s">
        <v>1908</v>
      </c>
      <c r="N886" s="1" t="s">
        <v>1913</v>
      </c>
    </row>
    <row r="887" spans="1:14" x14ac:dyDescent="0.35">
      <c r="A887">
        <v>3276150</v>
      </c>
      <c r="B887" s="1" t="s">
        <v>1255</v>
      </c>
      <c r="C887">
        <v>51163.9</v>
      </c>
      <c r="D887">
        <v>1381</v>
      </c>
      <c r="E887" s="1" t="s">
        <v>1914</v>
      </c>
      <c r="F887" s="1" t="s">
        <v>738</v>
      </c>
      <c r="G887" s="1" t="s">
        <v>16</v>
      </c>
      <c r="H887">
        <v>75</v>
      </c>
      <c r="I887">
        <v>47</v>
      </c>
      <c r="J887">
        <v>191</v>
      </c>
      <c r="K887" s="1" t="s">
        <v>90</v>
      </c>
      <c r="L887" s="1" t="s">
        <v>24</v>
      </c>
      <c r="M887" s="1" t="s">
        <v>1908</v>
      </c>
      <c r="N887" s="1" t="s">
        <v>1915</v>
      </c>
    </row>
    <row r="888" spans="1:14" x14ac:dyDescent="0.35">
      <c r="A888">
        <v>3201256</v>
      </c>
      <c r="B888" s="1" t="s">
        <v>1255</v>
      </c>
      <c r="C888">
        <v>51163.9</v>
      </c>
      <c r="D888">
        <v>1381</v>
      </c>
      <c r="E888" s="1" t="s">
        <v>1916</v>
      </c>
      <c r="F888" s="1" t="s">
        <v>15</v>
      </c>
      <c r="G888" s="1" t="s">
        <v>130</v>
      </c>
      <c r="H888">
        <v>300</v>
      </c>
      <c r="I888">
        <v>147</v>
      </c>
      <c r="J888">
        <v>120</v>
      </c>
      <c r="K888" s="1" t="s">
        <v>49</v>
      </c>
      <c r="L888" s="1" t="s">
        <v>24</v>
      </c>
      <c r="M888" s="1" t="s">
        <v>1908</v>
      </c>
      <c r="N888" s="1" t="s">
        <v>1917</v>
      </c>
    </row>
    <row r="889" spans="1:14" x14ac:dyDescent="0.35">
      <c r="A889">
        <v>3276017</v>
      </c>
      <c r="B889" s="1" t="s">
        <v>1255</v>
      </c>
      <c r="C889">
        <v>51163.9</v>
      </c>
      <c r="D889">
        <v>1381</v>
      </c>
      <c r="E889" s="1" t="s">
        <v>1333</v>
      </c>
      <c r="F889" s="1" t="s">
        <v>15</v>
      </c>
      <c r="G889" s="1" t="s">
        <v>16</v>
      </c>
      <c r="H889">
        <v>210</v>
      </c>
      <c r="I889">
        <v>48</v>
      </c>
      <c r="J889">
        <v>542</v>
      </c>
      <c r="K889" s="1" t="s">
        <v>23</v>
      </c>
      <c r="L889" s="1" t="s">
        <v>24</v>
      </c>
      <c r="M889" s="1" t="s">
        <v>1908</v>
      </c>
      <c r="N889" s="1" t="s">
        <v>1918</v>
      </c>
    </row>
    <row r="890" spans="1:14" x14ac:dyDescent="0.35">
      <c r="A890">
        <v>3201072</v>
      </c>
      <c r="B890" s="1" t="s">
        <v>1255</v>
      </c>
      <c r="C890">
        <v>51163.9</v>
      </c>
      <c r="D890">
        <v>1381</v>
      </c>
      <c r="E890" s="1" t="s">
        <v>1919</v>
      </c>
      <c r="F890" s="1" t="s">
        <v>15</v>
      </c>
      <c r="G890" s="1" t="s">
        <v>16</v>
      </c>
      <c r="H890">
        <v>202</v>
      </c>
      <c r="I890">
        <v>114</v>
      </c>
      <c r="J890">
        <v>901</v>
      </c>
      <c r="K890" s="1" t="s">
        <v>23</v>
      </c>
      <c r="L890" s="1" t="s">
        <v>24</v>
      </c>
      <c r="M890" s="1" t="s">
        <v>1908</v>
      </c>
      <c r="N890" s="1" t="s">
        <v>1920</v>
      </c>
    </row>
    <row r="891" spans="1:14" x14ac:dyDescent="0.35">
      <c r="A891">
        <v>3201185</v>
      </c>
      <c r="B891" s="1" t="s">
        <v>1255</v>
      </c>
      <c r="C891">
        <v>51163.9</v>
      </c>
      <c r="D891">
        <v>1381</v>
      </c>
      <c r="E891" s="1" t="s">
        <v>1921</v>
      </c>
      <c r="F891" s="1" t="s">
        <v>15</v>
      </c>
      <c r="G891" s="1" t="s">
        <v>16</v>
      </c>
      <c r="H891">
        <v>203</v>
      </c>
      <c r="I891">
        <v>65</v>
      </c>
      <c r="J891">
        <v>416</v>
      </c>
      <c r="K891" s="1" t="s">
        <v>23</v>
      </c>
      <c r="L891" s="1" t="s">
        <v>24</v>
      </c>
      <c r="M891" s="1" t="s">
        <v>1908</v>
      </c>
      <c r="N891" s="1" t="s">
        <v>1922</v>
      </c>
    </row>
    <row r="892" spans="1:14" x14ac:dyDescent="0.35">
      <c r="A892">
        <v>3201126</v>
      </c>
      <c r="B892" s="1" t="s">
        <v>1255</v>
      </c>
      <c r="C892">
        <v>51163.9</v>
      </c>
      <c r="D892">
        <v>1381</v>
      </c>
      <c r="E892" s="1" t="s">
        <v>1923</v>
      </c>
      <c r="F892" s="1" t="s">
        <v>15</v>
      </c>
      <c r="G892" s="1" t="s">
        <v>16</v>
      </c>
      <c r="H892">
        <v>277</v>
      </c>
      <c r="I892">
        <v>107</v>
      </c>
      <c r="J892">
        <v>877</v>
      </c>
      <c r="K892" s="1" t="s">
        <v>84</v>
      </c>
      <c r="L892" s="1" t="s">
        <v>24</v>
      </c>
      <c r="M892" s="1" t="s">
        <v>1908</v>
      </c>
      <c r="N892" s="1" t="s">
        <v>1924</v>
      </c>
    </row>
    <row r="893" spans="1:14" x14ac:dyDescent="0.35">
      <c r="A893">
        <v>3276154</v>
      </c>
      <c r="B893" s="1" t="s">
        <v>1255</v>
      </c>
      <c r="C893">
        <v>51163.9</v>
      </c>
      <c r="D893">
        <v>1381</v>
      </c>
      <c r="E893" s="1" t="s">
        <v>1045</v>
      </c>
      <c r="F893" s="1" t="s">
        <v>15</v>
      </c>
      <c r="G893" s="1" t="s">
        <v>16</v>
      </c>
      <c r="H893">
        <v>221</v>
      </c>
      <c r="I893">
        <v>40</v>
      </c>
      <c r="J893">
        <v>162</v>
      </c>
      <c r="K893" s="1" t="s">
        <v>90</v>
      </c>
      <c r="L893" s="1" t="s">
        <v>24</v>
      </c>
      <c r="M893" s="1" t="s">
        <v>1908</v>
      </c>
      <c r="N893" s="1" t="s">
        <v>1925</v>
      </c>
    </row>
    <row r="894" spans="1:14" x14ac:dyDescent="0.35">
      <c r="A894">
        <v>3276166</v>
      </c>
      <c r="B894" s="1" t="s">
        <v>1255</v>
      </c>
      <c r="C894">
        <v>51163.9</v>
      </c>
      <c r="D894">
        <v>1381</v>
      </c>
      <c r="E894" s="1" t="s">
        <v>1926</v>
      </c>
      <c r="F894" s="1" t="s">
        <v>15</v>
      </c>
      <c r="G894" s="1" t="s">
        <v>32</v>
      </c>
      <c r="H894">
        <v>191</v>
      </c>
      <c r="I894">
        <v>22</v>
      </c>
      <c r="K894" s="1" t="s">
        <v>23</v>
      </c>
      <c r="L894" s="1" t="s">
        <v>24</v>
      </c>
      <c r="M894" s="1" t="s">
        <v>1908</v>
      </c>
      <c r="N894" s="1" t="s">
        <v>1927</v>
      </c>
    </row>
    <row r="895" spans="1:14" x14ac:dyDescent="0.35">
      <c r="A895">
        <v>3276169</v>
      </c>
      <c r="B895" s="1" t="s">
        <v>1255</v>
      </c>
      <c r="C895">
        <v>51163.9</v>
      </c>
      <c r="D895">
        <v>1381</v>
      </c>
      <c r="E895" s="1" t="s">
        <v>1928</v>
      </c>
      <c r="F895" s="1" t="s">
        <v>15</v>
      </c>
      <c r="G895" s="1" t="s">
        <v>32</v>
      </c>
      <c r="H895">
        <v>96</v>
      </c>
      <c r="I895">
        <v>28</v>
      </c>
      <c r="K895" s="1" t="s">
        <v>90</v>
      </c>
      <c r="L895" s="1" t="s">
        <v>24</v>
      </c>
      <c r="M895" s="1" t="s">
        <v>1908</v>
      </c>
      <c r="N895" s="1" t="s">
        <v>1929</v>
      </c>
    </row>
    <row r="896" spans="1:14" x14ac:dyDescent="0.35">
      <c r="A896">
        <v>3201196</v>
      </c>
      <c r="B896" s="1" t="s">
        <v>1255</v>
      </c>
      <c r="C896">
        <v>51163.9</v>
      </c>
      <c r="D896">
        <v>1381</v>
      </c>
      <c r="E896" s="1" t="s">
        <v>1930</v>
      </c>
      <c r="F896" s="1" t="s">
        <v>15</v>
      </c>
      <c r="G896" s="1" t="s">
        <v>32</v>
      </c>
      <c r="H896">
        <v>111</v>
      </c>
      <c r="I896">
        <v>89</v>
      </c>
      <c r="J896">
        <v>256</v>
      </c>
      <c r="K896" s="1" t="s">
        <v>23</v>
      </c>
      <c r="L896" s="1" t="s">
        <v>24</v>
      </c>
      <c r="M896" s="1" t="s">
        <v>1908</v>
      </c>
      <c r="N896" s="1" t="s">
        <v>1931</v>
      </c>
    </row>
    <row r="897" spans="1:14" x14ac:dyDescent="0.35">
      <c r="A897">
        <v>3276167</v>
      </c>
      <c r="B897" s="1" t="s">
        <v>1255</v>
      </c>
      <c r="C897">
        <v>51163.9</v>
      </c>
      <c r="D897">
        <v>1381</v>
      </c>
      <c r="E897" s="1" t="s">
        <v>1932</v>
      </c>
      <c r="F897" s="1" t="s">
        <v>15</v>
      </c>
      <c r="G897" s="1" t="s">
        <v>32</v>
      </c>
      <c r="H897">
        <v>111</v>
      </c>
      <c r="I897">
        <v>45</v>
      </c>
      <c r="K897" s="1" t="s">
        <v>23</v>
      </c>
      <c r="L897" s="1" t="s">
        <v>24</v>
      </c>
      <c r="M897" s="1" t="s">
        <v>1908</v>
      </c>
      <c r="N897" s="1" t="s">
        <v>1933</v>
      </c>
    </row>
    <row r="898" spans="1:14" x14ac:dyDescent="0.35">
      <c r="A898">
        <v>3276152</v>
      </c>
      <c r="B898" s="1" t="s">
        <v>1255</v>
      </c>
      <c r="C898">
        <v>51163.9</v>
      </c>
      <c r="D898">
        <v>1381</v>
      </c>
      <c r="E898" s="1" t="s">
        <v>1934</v>
      </c>
      <c r="F898" s="1" t="s">
        <v>15</v>
      </c>
      <c r="G898" s="1" t="s">
        <v>32</v>
      </c>
      <c r="H898">
        <v>101</v>
      </c>
      <c r="I898">
        <v>29</v>
      </c>
      <c r="J898">
        <v>122</v>
      </c>
      <c r="K898" s="1" t="s">
        <v>23</v>
      </c>
      <c r="L898" s="1" t="s">
        <v>24</v>
      </c>
      <c r="M898" s="1" t="s">
        <v>1908</v>
      </c>
      <c r="N898" s="1" t="s">
        <v>1935</v>
      </c>
    </row>
    <row r="899" spans="1:14" x14ac:dyDescent="0.35">
      <c r="A899">
        <v>3276124</v>
      </c>
      <c r="B899" s="1" t="s">
        <v>1255</v>
      </c>
      <c r="C899">
        <v>51163.9</v>
      </c>
      <c r="D899">
        <v>1381</v>
      </c>
      <c r="E899" s="1" t="s">
        <v>1936</v>
      </c>
      <c r="F899" s="1" t="s">
        <v>15</v>
      </c>
      <c r="G899" s="1" t="s">
        <v>32</v>
      </c>
      <c r="H899">
        <v>229</v>
      </c>
      <c r="I899">
        <v>47</v>
      </c>
      <c r="J899">
        <v>490</v>
      </c>
      <c r="K899" s="1" t="s">
        <v>137</v>
      </c>
      <c r="L899" s="1" t="s">
        <v>18</v>
      </c>
      <c r="M899" s="1" t="s">
        <v>1908</v>
      </c>
      <c r="N899" s="1" t="s">
        <v>1937</v>
      </c>
    </row>
    <row r="900" spans="1:14" x14ac:dyDescent="0.35">
      <c r="A900">
        <v>3276135</v>
      </c>
      <c r="B900" s="1" t="s">
        <v>1255</v>
      </c>
      <c r="C900">
        <v>51163.9</v>
      </c>
      <c r="D900">
        <v>1381</v>
      </c>
      <c r="E900" s="1" t="s">
        <v>1938</v>
      </c>
      <c r="F900" s="1" t="s">
        <v>15</v>
      </c>
      <c r="G900" s="1" t="s">
        <v>32</v>
      </c>
      <c r="H900">
        <v>100</v>
      </c>
      <c r="I900">
        <v>30</v>
      </c>
      <c r="J900">
        <v>178</v>
      </c>
      <c r="K900" s="1" t="s">
        <v>90</v>
      </c>
      <c r="L900" s="1" t="s">
        <v>24</v>
      </c>
      <c r="M900" s="1" t="s">
        <v>1908</v>
      </c>
      <c r="N900" s="1" t="s">
        <v>1939</v>
      </c>
    </row>
    <row r="901" spans="1:14" x14ac:dyDescent="0.35">
      <c r="A901">
        <v>3276028</v>
      </c>
      <c r="B901" s="1" t="s">
        <v>1255</v>
      </c>
      <c r="C901">
        <v>51163.9</v>
      </c>
      <c r="D901">
        <v>1381</v>
      </c>
      <c r="E901" s="1" t="s">
        <v>1940</v>
      </c>
      <c r="F901" s="1" t="s">
        <v>15</v>
      </c>
      <c r="G901" s="1" t="s">
        <v>32</v>
      </c>
      <c r="H901">
        <v>117</v>
      </c>
      <c r="I901">
        <v>62</v>
      </c>
      <c r="J901">
        <v>251</v>
      </c>
      <c r="K901" s="1" t="s">
        <v>90</v>
      </c>
      <c r="L901" s="1" t="s">
        <v>24</v>
      </c>
      <c r="M901" s="1" t="s">
        <v>1908</v>
      </c>
      <c r="N901" s="1" t="s">
        <v>1941</v>
      </c>
    </row>
    <row r="902" spans="1:14" x14ac:dyDescent="0.35">
      <c r="A902">
        <v>3201061</v>
      </c>
      <c r="B902" s="1" t="s">
        <v>1255</v>
      </c>
      <c r="C902">
        <v>51163.9</v>
      </c>
      <c r="D902">
        <v>1381</v>
      </c>
      <c r="E902" s="1" t="s">
        <v>1942</v>
      </c>
      <c r="F902" s="1" t="s">
        <v>15</v>
      </c>
      <c r="G902" s="1" t="s">
        <v>32</v>
      </c>
      <c r="H902">
        <v>118</v>
      </c>
      <c r="I902">
        <v>26</v>
      </c>
      <c r="J902">
        <v>360</v>
      </c>
      <c r="K902" s="1" t="s">
        <v>84</v>
      </c>
      <c r="L902" s="1" t="s">
        <v>24</v>
      </c>
      <c r="M902" s="1" t="s">
        <v>1908</v>
      </c>
      <c r="N902" s="1" t="s">
        <v>1943</v>
      </c>
    </row>
    <row r="903" spans="1:14" x14ac:dyDescent="0.35">
      <c r="A903">
        <v>3276168</v>
      </c>
      <c r="B903" s="1" t="s">
        <v>1255</v>
      </c>
      <c r="C903">
        <v>51163.9</v>
      </c>
      <c r="D903">
        <v>1381</v>
      </c>
      <c r="E903" s="1" t="s">
        <v>1944</v>
      </c>
      <c r="F903" s="1" t="s">
        <v>15</v>
      </c>
      <c r="G903" s="1" t="s">
        <v>32</v>
      </c>
      <c r="H903">
        <v>108</v>
      </c>
      <c r="I903">
        <v>32</v>
      </c>
      <c r="K903" s="1" t="s">
        <v>137</v>
      </c>
      <c r="L903" s="1" t="s">
        <v>18</v>
      </c>
      <c r="M903" s="1" t="s">
        <v>1908</v>
      </c>
      <c r="N903" s="1" t="s">
        <v>1945</v>
      </c>
    </row>
    <row r="904" spans="1:14" x14ac:dyDescent="0.35">
      <c r="A904">
        <v>3276146</v>
      </c>
      <c r="B904" s="1" t="s">
        <v>1255</v>
      </c>
      <c r="C904">
        <v>51163.9</v>
      </c>
      <c r="D904">
        <v>1381</v>
      </c>
      <c r="E904" s="1" t="s">
        <v>1946</v>
      </c>
      <c r="F904" s="1" t="s">
        <v>15</v>
      </c>
      <c r="G904" s="1" t="s">
        <v>32</v>
      </c>
      <c r="H904">
        <v>113</v>
      </c>
      <c r="I904">
        <v>69</v>
      </c>
      <c r="J904">
        <v>428</v>
      </c>
      <c r="K904" s="1" t="s">
        <v>90</v>
      </c>
      <c r="L904" s="1" t="s">
        <v>24</v>
      </c>
      <c r="M904" s="1" t="s">
        <v>1908</v>
      </c>
      <c r="N904" s="1" t="s">
        <v>1947</v>
      </c>
    </row>
    <row r="905" spans="1:14" x14ac:dyDescent="0.35">
      <c r="A905">
        <v>3201035</v>
      </c>
      <c r="B905" s="1" t="s">
        <v>1255</v>
      </c>
      <c r="C905">
        <v>51163.9</v>
      </c>
      <c r="D905">
        <v>1381</v>
      </c>
      <c r="E905" s="1" t="s">
        <v>1948</v>
      </c>
      <c r="F905" s="1" t="s">
        <v>15</v>
      </c>
      <c r="G905" s="1" t="s">
        <v>32</v>
      </c>
      <c r="H905">
        <v>118</v>
      </c>
      <c r="I905">
        <v>52</v>
      </c>
      <c r="J905">
        <v>514</v>
      </c>
      <c r="K905" s="1" t="s">
        <v>84</v>
      </c>
      <c r="L905" s="1" t="s">
        <v>24</v>
      </c>
      <c r="M905" s="1" t="s">
        <v>1908</v>
      </c>
      <c r="N905" s="1" t="s">
        <v>1949</v>
      </c>
    </row>
    <row r="906" spans="1:14" x14ac:dyDescent="0.35">
      <c r="A906">
        <v>3276039</v>
      </c>
      <c r="B906" s="1" t="s">
        <v>1255</v>
      </c>
      <c r="C906">
        <v>51163.9</v>
      </c>
      <c r="D906">
        <v>1381</v>
      </c>
      <c r="E906" s="1" t="s">
        <v>1950</v>
      </c>
      <c r="F906" s="1" t="s">
        <v>15</v>
      </c>
      <c r="G906" s="1" t="s">
        <v>32</v>
      </c>
      <c r="H906">
        <v>157</v>
      </c>
      <c r="I906">
        <v>67</v>
      </c>
      <c r="J906">
        <v>164</v>
      </c>
      <c r="K906" s="1" t="s">
        <v>146</v>
      </c>
      <c r="L906" s="1" t="s">
        <v>120</v>
      </c>
      <c r="M906" s="1" t="s">
        <v>1908</v>
      </c>
      <c r="N906" s="1" t="s">
        <v>1951</v>
      </c>
    </row>
    <row r="907" spans="1:14" x14ac:dyDescent="0.35">
      <c r="A907">
        <v>3276153</v>
      </c>
      <c r="B907" s="1" t="s">
        <v>1255</v>
      </c>
      <c r="C907">
        <v>51163.9</v>
      </c>
      <c r="D907">
        <v>1381</v>
      </c>
      <c r="E907" s="1" t="s">
        <v>1952</v>
      </c>
      <c r="F907" s="1" t="s">
        <v>15</v>
      </c>
      <c r="G907" s="1" t="s">
        <v>32</v>
      </c>
      <c r="H907">
        <v>195</v>
      </c>
      <c r="I907">
        <v>48</v>
      </c>
      <c r="J907">
        <v>38</v>
      </c>
      <c r="K907" s="1" t="s">
        <v>90</v>
      </c>
      <c r="L907" s="1" t="s">
        <v>24</v>
      </c>
      <c r="M907" s="1" t="s">
        <v>1908</v>
      </c>
      <c r="N907" s="1" t="s">
        <v>1953</v>
      </c>
    </row>
    <row r="908" spans="1:14" x14ac:dyDescent="0.35">
      <c r="A908">
        <v>3276041</v>
      </c>
      <c r="B908" s="1" t="s">
        <v>1255</v>
      </c>
      <c r="C908">
        <v>51163.9</v>
      </c>
      <c r="D908">
        <v>1381</v>
      </c>
      <c r="E908" s="1" t="s">
        <v>1954</v>
      </c>
      <c r="F908" s="1" t="s">
        <v>15</v>
      </c>
      <c r="G908" s="1" t="s">
        <v>32</v>
      </c>
      <c r="H908">
        <v>137</v>
      </c>
      <c r="I908">
        <v>50</v>
      </c>
      <c r="J908">
        <v>519</v>
      </c>
      <c r="K908" s="1" t="s">
        <v>90</v>
      </c>
      <c r="L908" s="1" t="s">
        <v>24</v>
      </c>
      <c r="M908" s="1" t="s">
        <v>1908</v>
      </c>
      <c r="N908" s="1" t="s">
        <v>1955</v>
      </c>
    </row>
    <row r="909" spans="1:14" x14ac:dyDescent="0.35">
      <c r="A909">
        <v>3276151</v>
      </c>
      <c r="B909" s="1" t="s">
        <v>1255</v>
      </c>
      <c r="C909">
        <v>51163.9</v>
      </c>
      <c r="D909">
        <v>1381</v>
      </c>
      <c r="E909" s="1" t="s">
        <v>1956</v>
      </c>
      <c r="F909" s="1" t="s">
        <v>15</v>
      </c>
      <c r="G909" s="1" t="s">
        <v>32</v>
      </c>
      <c r="H909">
        <v>130</v>
      </c>
      <c r="I909">
        <v>102</v>
      </c>
      <c r="J909">
        <v>385</v>
      </c>
      <c r="K909" s="1" t="s">
        <v>90</v>
      </c>
      <c r="L909" s="1" t="s">
        <v>24</v>
      </c>
      <c r="M909" s="1" t="s">
        <v>1908</v>
      </c>
      <c r="N909" s="1" t="s">
        <v>1957</v>
      </c>
    </row>
    <row r="910" spans="1:14" x14ac:dyDescent="0.35">
      <c r="A910">
        <v>3276155</v>
      </c>
      <c r="B910" s="1" t="s">
        <v>1255</v>
      </c>
      <c r="C910">
        <v>51163.9</v>
      </c>
      <c r="D910">
        <v>1381</v>
      </c>
      <c r="E910" s="1" t="s">
        <v>1958</v>
      </c>
      <c r="F910" s="1" t="s">
        <v>15</v>
      </c>
      <c r="G910" s="1" t="s">
        <v>22</v>
      </c>
      <c r="H910">
        <v>41</v>
      </c>
      <c r="I910">
        <v>37</v>
      </c>
      <c r="J910">
        <v>60</v>
      </c>
      <c r="K910" s="1" t="s">
        <v>23</v>
      </c>
      <c r="L910" s="1" t="s">
        <v>24</v>
      </c>
      <c r="M910" s="1" t="s">
        <v>1908</v>
      </c>
      <c r="N910" s="1" t="s">
        <v>1959</v>
      </c>
    </row>
    <row r="911" spans="1:14" x14ac:dyDescent="0.35">
      <c r="A911">
        <v>3272014</v>
      </c>
      <c r="B911" s="1" t="s">
        <v>1255</v>
      </c>
      <c r="C911">
        <v>51163.9</v>
      </c>
      <c r="D911">
        <v>1381</v>
      </c>
      <c r="E911" s="1" t="s">
        <v>1960</v>
      </c>
      <c r="F911" s="1" t="s">
        <v>15</v>
      </c>
      <c r="G911" s="1" t="s">
        <v>16</v>
      </c>
      <c r="H911">
        <v>538</v>
      </c>
      <c r="I911">
        <v>108</v>
      </c>
      <c r="J911">
        <v>1509</v>
      </c>
      <c r="K911" s="1" t="s">
        <v>137</v>
      </c>
      <c r="L911" s="1" t="s">
        <v>18</v>
      </c>
      <c r="M911" s="1" t="s">
        <v>1961</v>
      </c>
      <c r="N911" s="1" t="s">
        <v>1962</v>
      </c>
    </row>
    <row r="912" spans="1:14" x14ac:dyDescent="0.35">
      <c r="A912">
        <v>3272051</v>
      </c>
      <c r="B912" s="1" t="s">
        <v>1255</v>
      </c>
      <c r="C912">
        <v>51163.9</v>
      </c>
      <c r="D912">
        <v>1381</v>
      </c>
      <c r="E912" s="1" t="s">
        <v>1963</v>
      </c>
      <c r="F912" s="1" t="s">
        <v>15</v>
      </c>
      <c r="G912" s="1" t="s">
        <v>32</v>
      </c>
      <c r="H912">
        <v>174</v>
      </c>
      <c r="I912">
        <v>40</v>
      </c>
      <c r="J912">
        <v>472</v>
      </c>
      <c r="K912" s="1" t="s">
        <v>84</v>
      </c>
      <c r="L912" s="1" t="s">
        <v>24</v>
      </c>
      <c r="M912" s="1" t="s">
        <v>1961</v>
      </c>
      <c r="N912" s="1" t="s">
        <v>1964</v>
      </c>
    </row>
    <row r="913" spans="1:14" x14ac:dyDescent="0.35">
      <c r="A913">
        <v>3272025</v>
      </c>
      <c r="B913" s="1" t="s">
        <v>1255</v>
      </c>
      <c r="C913">
        <v>51163.9</v>
      </c>
      <c r="D913">
        <v>1381</v>
      </c>
      <c r="E913" s="1" t="s">
        <v>1965</v>
      </c>
      <c r="F913" s="1" t="s">
        <v>15</v>
      </c>
      <c r="G913" s="1" t="s">
        <v>32</v>
      </c>
      <c r="H913">
        <v>139</v>
      </c>
      <c r="I913">
        <v>76</v>
      </c>
      <c r="J913">
        <v>388</v>
      </c>
      <c r="K913" s="1" t="s">
        <v>146</v>
      </c>
      <c r="L913" s="1" t="s">
        <v>120</v>
      </c>
      <c r="M913" s="1" t="s">
        <v>1961</v>
      </c>
      <c r="N913" s="1" t="s">
        <v>1966</v>
      </c>
    </row>
    <row r="914" spans="1:14" x14ac:dyDescent="0.35">
      <c r="A914">
        <v>3272062</v>
      </c>
      <c r="B914" s="1" t="s">
        <v>1255</v>
      </c>
      <c r="C914">
        <v>51163.9</v>
      </c>
      <c r="D914">
        <v>1381</v>
      </c>
      <c r="E914" s="1" t="s">
        <v>1967</v>
      </c>
      <c r="F914" s="1" t="s">
        <v>15</v>
      </c>
      <c r="G914" s="1" t="s">
        <v>32</v>
      </c>
      <c r="H914">
        <v>161</v>
      </c>
      <c r="I914">
        <v>32</v>
      </c>
      <c r="J914">
        <v>312</v>
      </c>
      <c r="K914" s="1" t="s">
        <v>23</v>
      </c>
      <c r="L914" s="1" t="s">
        <v>24</v>
      </c>
      <c r="M914" s="1" t="s">
        <v>1961</v>
      </c>
      <c r="N914" s="1" t="s">
        <v>1968</v>
      </c>
    </row>
    <row r="915" spans="1:14" x14ac:dyDescent="0.35">
      <c r="A915">
        <v>3272075</v>
      </c>
      <c r="B915" s="1" t="s">
        <v>1255</v>
      </c>
      <c r="C915">
        <v>51163.9</v>
      </c>
      <c r="D915">
        <v>1381</v>
      </c>
      <c r="E915" s="1" t="s">
        <v>1969</v>
      </c>
      <c r="F915" s="1" t="s">
        <v>15</v>
      </c>
      <c r="G915" s="1" t="s">
        <v>22</v>
      </c>
      <c r="H915">
        <v>50</v>
      </c>
      <c r="I915">
        <v>20</v>
      </c>
      <c r="J915">
        <v>167</v>
      </c>
      <c r="K915" s="1" t="s">
        <v>137</v>
      </c>
      <c r="L915" s="1" t="s">
        <v>18</v>
      </c>
      <c r="M915" s="1" t="s">
        <v>1961</v>
      </c>
      <c r="N915" s="1" t="s">
        <v>1970</v>
      </c>
    </row>
    <row r="916" spans="1:14" x14ac:dyDescent="0.35">
      <c r="A916">
        <v>3272036</v>
      </c>
      <c r="B916" s="1" t="s">
        <v>1255</v>
      </c>
      <c r="C916">
        <v>51163.9</v>
      </c>
      <c r="D916">
        <v>1381</v>
      </c>
      <c r="E916" s="1" t="s">
        <v>1971</v>
      </c>
      <c r="F916" s="1" t="s">
        <v>15</v>
      </c>
      <c r="G916" s="1" t="s">
        <v>22</v>
      </c>
      <c r="H916">
        <v>63</v>
      </c>
      <c r="I916">
        <v>28</v>
      </c>
      <c r="J916">
        <v>146</v>
      </c>
      <c r="K916" s="1" t="s">
        <v>84</v>
      </c>
      <c r="L916" s="1" t="s">
        <v>24</v>
      </c>
      <c r="M916" s="1" t="s">
        <v>1961</v>
      </c>
      <c r="N916" s="1" t="s">
        <v>1972</v>
      </c>
    </row>
    <row r="917" spans="1:14" x14ac:dyDescent="0.35">
      <c r="A917">
        <v>3278017</v>
      </c>
      <c r="B917" s="1" t="s">
        <v>1255</v>
      </c>
      <c r="C917">
        <v>51163.9</v>
      </c>
      <c r="D917">
        <v>1381</v>
      </c>
      <c r="E917" s="1" t="s">
        <v>1973</v>
      </c>
      <c r="F917" s="1" t="s">
        <v>71</v>
      </c>
      <c r="G917" s="1" t="s">
        <v>32</v>
      </c>
      <c r="H917">
        <v>27</v>
      </c>
      <c r="I917">
        <v>15</v>
      </c>
      <c r="J917">
        <v>65</v>
      </c>
      <c r="K917" s="1" t="s">
        <v>90</v>
      </c>
      <c r="L917" s="1" t="s">
        <v>24</v>
      </c>
      <c r="M917" s="1" t="s">
        <v>1974</v>
      </c>
      <c r="N917" s="1" t="s">
        <v>1975</v>
      </c>
    </row>
    <row r="918" spans="1:14" x14ac:dyDescent="0.35">
      <c r="A918">
        <v>3278016</v>
      </c>
      <c r="B918" s="1" t="s">
        <v>1255</v>
      </c>
      <c r="C918">
        <v>51163.9</v>
      </c>
      <c r="D918">
        <v>1381</v>
      </c>
      <c r="E918" s="1" t="s">
        <v>1976</v>
      </c>
      <c r="F918" s="1" t="s">
        <v>71</v>
      </c>
      <c r="G918" s="1" t="s">
        <v>32</v>
      </c>
      <c r="H918">
        <v>26</v>
      </c>
      <c r="I918">
        <v>11</v>
      </c>
      <c r="J918">
        <v>17</v>
      </c>
      <c r="K918" s="1" t="s">
        <v>23</v>
      </c>
      <c r="L918" s="1" t="s">
        <v>24</v>
      </c>
      <c r="M918" s="1" t="s">
        <v>1974</v>
      </c>
      <c r="N918" s="1" t="s">
        <v>1977</v>
      </c>
    </row>
    <row r="919" spans="1:14" x14ac:dyDescent="0.35">
      <c r="A919">
        <v>3278015</v>
      </c>
      <c r="B919" s="1" t="s">
        <v>1255</v>
      </c>
      <c r="C919">
        <v>51163.9</v>
      </c>
      <c r="D919">
        <v>1381</v>
      </c>
      <c r="E919" s="1" t="s">
        <v>1978</v>
      </c>
      <c r="F919" s="1" t="s">
        <v>71</v>
      </c>
      <c r="G919" s="1" t="s">
        <v>32</v>
      </c>
      <c r="H919">
        <v>30</v>
      </c>
      <c r="I919">
        <v>14</v>
      </c>
      <c r="J919">
        <v>11</v>
      </c>
      <c r="K919" s="1" t="s">
        <v>23</v>
      </c>
      <c r="L919" s="1" t="s">
        <v>24</v>
      </c>
      <c r="M919" s="1" t="s">
        <v>1974</v>
      </c>
      <c r="N919" s="1" t="s">
        <v>1979</v>
      </c>
    </row>
    <row r="920" spans="1:14" x14ac:dyDescent="0.35">
      <c r="A920">
        <v>3278021</v>
      </c>
      <c r="B920" s="1" t="s">
        <v>1255</v>
      </c>
      <c r="C920">
        <v>51163.9</v>
      </c>
      <c r="D920">
        <v>1381</v>
      </c>
      <c r="E920" s="1" t="s">
        <v>1980</v>
      </c>
      <c r="F920" s="1" t="s">
        <v>71</v>
      </c>
      <c r="G920" s="1" t="s">
        <v>32</v>
      </c>
      <c r="H920">
        <v>67</v>
      </c>
      <c r="I920">
        <v>25</v>
      </c>
      <c r="J920">
        <v>44</v>
      </c>
      <c r="K920" s="1" t="s">
        <v>23</v>
      </c>
      <c r="L920" s="1" t="s">
        <v>24</v>
      </c>
      <c r="M920" s="1" t="s">
        <v>1974</v>
      </c>
      <c r="N920" s="1" t="s">
        <v>1981</v>
      </c>
    </row>
    <row r="921" spans="1:14" x14ac:dyDescent="0.35">
      <c r="A921">
        <v>3206083</v>
      </c>
      <c r="B921" s="1" t="s">
        <v>1255</v>
      </c>
      <c r="C921">
        <v>51163.9</v>
      </c>
      <c r="D921">
        <v>1381</v>
      </c>
      <c r="E921" s="1" t="s">
        <v>1982</v>
      </c>
      <c r="F921" s="1" t="s">
        <v>71</v>
      </c>
      <c r="G921" s="1" t="s">
        <v>32</v>
      </c>
      <c r="H921">
        <v>30</v>
      </c>
      <c r="I921">
        <v>25</v>
      </c>
      <c r="J921">
        <v>75</v>
      </c>
      <c r="K921" s="1" t="s">
        <v>84</v>
      </c>
      <c r="L921" s="1" t="s">
        <v>24</v>
      </c>
      <c r="M921" s="1" t="s">
        <v>1974</v>
      </c>
      <c r="N921" s="1" t="s">
        <v>1983</v>
      </c>
    </row>
    <row r="922" spans="1:14" x14ac:dyDescent="0.35">
      <c r="A922">
        <v>3278094</v>
      </c>
      <c r="B922" s="1" t="s">
        <v>1255</v>
      </c>
      <c r="C922">
        <v>51163.9</v>
      </c>
      <c r="D922">
        <v>1381</v>
      </c>
      <c r="E922" s="1" t="s">
        <v>1984</v>
      </c>
      <c r="F922" s="1" t="s">
        <v>738</v>
      </c>
      <c r="G922" s="1" t="s">
        <v>16</v>
      </c>
      <c r="H922">
        <v>76</v>
      </c>
      <c r="I922">
        <v>47</v>
      </c>
      <c r="K922" s="1" t="s">
        <v>90</v>
      </c>
      <c r="L922" s="1" t="s">
        <v>24</v>
      </c>
      <c r="M922" s="1" t="s">
        <v>1974</v>
      </c>
      <c r="N922" s="1" t="s">
        <v>1985</v>
      </c>
    </row>
    <row r="923" spans="1:14" x14ac:dyDescent="0.35">
      <c r="A923">
        <v>3206011</v>
      </c>
      <c r="B923" s="1" t="s">
        <v>1255</v>
      </c>
      <c r="C923">
        <v>51163.9</v>
      </c>
      <c r="D923">
        <v>1381</v>
      </c>
      <c r="E923" s="1" t="s">
        <v>1986</v>
      </c>
      <c r="F923" s="1" t="s">
        <v>15</v>
      </c>
      <c r="G923" s="1" t="s">
        <v>16</v>
      </c>
      <c r="H923">
        <v>465</v>
      </c>
      <c r="I923">
        <v>39</v>
      </c>
      <c r="J923">
        <v>392</v>
      </c>
      <c r="K923" s="1" t="s">
        <v>137</v>
      </c>
      <c r="L923" s="1" t="s">
        <v>18</v>
      </c>
      <c r="M923" s="1" t="s">
        <v>1974</v>
      </c>
      <c r="N923" s="1" t="s">
        <v>1987</v>
      </c>
    </row>
    <row r="924" spans="1:14" x14ac:dyDescent="0.35">
      <c r="A924">
        <v>3206070</v>
      </c>
      <c r="B924" s="1" t="s">
        <v>1255</v>
      </c>
      <c r="C924">
        <v>51163.9</v>
      </c>
      <c r="D924">
        <v>1381</v>
      </c>
      <c r="E924" s="1" t="s">
        <v>1988</v>
      </c>
      <c r="F924" s="1" t="s">
        <v>15</v>
      </c>
      <c r="G924" s="1" t="s">
        <v>32</v>
      </c>
      <c r="H924">
        <v>199</v>
      </c>
      <c r="I924">
        <v>95</v>
      </c>
      <c r="J924">
        <v>624</v>
      </c>
      <c r="K924" s="1" t="s">
        <v>90</v>
      </c>
      <c r="L924" s="1" t="s">
        <v>24</v>
      </c>
      <c r="M924" s="1" t="s">
        <v>1974</v>
      </c>
      <c r="N924" s="1" t="s">
        <v>1989</v>
      </c>
    </row>
    <row r="925" spans="1:14" x14ac:dyDescent="0.35">
      <c r="A925">
        <v>3278014</v>
      </c>
      <c r="B925" s="1" t="s">
        <v>1255</v>
      </c>
      <c r="C925">
        <v>51163.9</v>
      </c>
      <c r="D925">
        <v>1381</v>
      </c>
      <c r="E925" s="1" t="s">
        <v>1990</v>
      </c>
      <c r="F925" s="1" t="s">
        <v>15</v>
      </c>
      <c r="G925" s="1" t="s">
        <v>32</v>
      </c>
      <c r="H925">
        <v>190</v>
      </c>
      <c r="I925">
        <v>48</v>
      </c>
      <c r="J925">
        <v>490</v>
      </c>
      <c r="K925" s="1" t="s">
        <v>90</v>
      </c>
      <c r="L925" s="1" t="s">
        <v>24</v>
      </c>
      <c r="M925" s="1" t="s">
        <v>1974</v>
      </c>
      <c r="N925" s="1" t="s">
        <v>1991</v>
      </c>
    </row>
    <row r="926" spans="1:14" x14ac:dyDescent="0.35">
      <c r="A926">
        <v>3278081</v>
      </c>
      <c r="B926" s="1" t="s">
        <v>1255</v>
      </c>
      <c r="C926">
        <v>51163.9</v>
      </c>
      <c r="D926">
        <v>1381</v>
      </c>
      <c r="E926" s="1" t="s">
        <v>1992</v>
      </c>
      <c r="F926" s="1" t="s">
        <v>15</v>
      </c>
      <c r="G926" s="1" t="s">
        <v>32</v>
      </c>
      <c r="H926">
        <v>106</v>
      </c>
      <c r="I926">
        <v>29</v>
      </c>
      <c r="J926">
        <v>277</v>
      </c>
      <c r="K926" s="1" t="s">
        <v>23</v>
      </c>
      <c r="L926" s="1" t="s">
        <v>24</v>
      </c>
      <c r="M926" s="1" t="s">
        <v>1974</v>
      </c>
      <c r="N926" s="1" t="s">
        <v>1993</v>
      </c>
    </row>
    <row r="927" spans="1:14" x14ac:dyDescent="0.35">
      <c r="A927">
        <v>3278082</v>
      </c>
      <c r="B927" s="1" t="s">
        <v>1255</v>
      </c>
      <c r="C927">
        <v>51163.9</v>
      </c>
      <c r="D927">
        <v>1381</v>
      </c>
      <c r="E927" s="1" t="s">
        <v>1495</v>
      </c>
      <c r="F927" s="1" t="s">
        <v>15</v>
      </c>
      <c r="G927" s="1" t="s">
        <v>32</v>
      </c>
      <c r="H927">
        <v>100</v>
      </c>
      <c r="I927">
        <v>35</v>
      </c>
      <c r="J927">
        <v>46</v>
      </c>
      <c r="K927" s="1" t="s">
        <v>23</v>
      </c>
      <c r="L927" s="1" t="s">
        <v>24</v>
      </c>
      <c r="M927" s="1" t="s">
        <v>1974</v>
      </c>
      <c r="N927" s="1" t="s">
        <v>1994</v>
      </c>
    </row>
    <row r="928" spans="1:14" x14ac:dyDescent="0.35">
      <c r="A928">
        <v>3278093</v>
      </c>
      <c r="B928" s="1" t="s">
        <v>1255</v>
      </c>
      <c r="C928">
        <v>51163.9</v>
      </c>
      <c r="D928">
        <v>1381</v>
      </c>
      <c r="E928" s="1" t="s">
        <v>1995</v>
      </c>
      <c r="F928" s="1" t="s">
        <v>15</v>
      </c>
      <c r="G928" s="1" t="s">
        <v>32</v>
      </c>
      <c r="H928">
        <v>111</v>
      </c>
      <c r="I928">
        <v>25</v>
      </c>
      <c r="K928" s="1" t="s">
        <v>23</v>
      </c>
      <c r="L928" s="1" t="s">
        <v>24</v>
      </c>
      <c r="M928" s="1" t="s">
        <v>1974</v>
      </c>
      <c r="N928" s="1" t="s">
        <v>1996</v>
      </c>
    </row>
    <row r="929" spans="1:14" x14ac:dyDescent="0.35">
      <c r="A929">
        <v>3278095</v>
      </c>
      <c r="B929" s="1" t="s">
        <v>1255</v>
      </c>
      <c r="C929">
        <v>51163.9</v>
      </c>
      <c r="D929">
        <v>1381</v>
      </c>
      <c r="E929" s="1" t="s">
        <v>1997</v>
      </c>
      <c r="F929" s="1" t="s">
        <v>15</v>
      </c>
      <c r="G929" s="1" t="s">
        <v>22</v>
      </c>
      <c r="I929">
        <v>1</v>
      </c>
      <c r="K929" s="1" t="s">
        <v>137</v>
      </c>
      <c r="L929" s="1" t="s">
        <v>24</v>
      </c>
      <c r="M929" s="1" t="s">
        <v>1974</v>
      </c>
      <c r="N929" s="1" t="s">
        <v>1998</v>
      </c>
    </row>
    <row r="930" spans="1:14" x14ac:dyDescent="0.35">
      <c r="A930">
        <v>3206055</v>
      </c>
      <c r="B930" s="1" t="s">
        <v>1255</v>
      </c>
      <c r="C930">
        <v>51163.9</v>
      </c>
      <c r="D930">
        <v>1381</v>
      </c>
      <c r="E930" s="1" t="s">
        <v>1999</v>
      </c>
      <c r="F930" s="1" t="s">
        <v>15</v>
      </c>
      <c r="G930" s="1" t="s">
        <v>22</v>
      </c>
      <c r="H930">
        <v>70</v>
      </c>
      <c r="I930">
        <v>29</v>
      </c>
      <c r="J930">
        <v>41</v>
      </c>
      <c r="K930" s="1" t="s">
        <v>444</v>
      </c>
      <c r="L930" s="1" t="s">
        <v>24</v>
      </c>
      <c r="M930" s="1" t="s">
        <v>1974</v>
      </c>
      <c r="N930" s="1" t="s">
        <v>2000</v>
      </c>
    </row>
    <row r="931" spans="1:14" x14ac:dyDescent="0.35">
      <c r="A931">
        <v>3278018</v>
      </c>
      <c r="B931" s="1" t="s">
        <v>1255</v>
      </c>
      <c r="C931">
        <v>51163.9</v>
      </c>
      <c r="D931">
        <v>1381</v>
      </c>
      <c r="E931" s="1" t="s">
        <v>2001</v>
      </c>
      <c r="F931" s="1" t="s">
        <v>15</v>
      </c>
      <c r="G931" s="1" t="s">
        <v>22</v>
      </c>
      <c r="H931">
        <v>50</v>
      </c>
      <c r="I931">
        <v>27</v>
      </c>
      <c r="J931">
        <v>125</v>
      </c>
      <c r="K931" s="1" t="s">
        <v>23</v>
      </c>
      <c r="L931" s="1" t="s">
        <v>24</v>
      </c>
      <c r="M931" s="1" t="s">
        <v>1974</v>
      </c>
      <c r="N931" s="1" t="s">
        <v>2002</v>
      </c>
    </row>
    <row r="932" spans="1:14" x14ac:dyDescent="0.35">
      <c r="A932">
        <v>3208061</v>
      </c>
      <c r="B932" s="1" t="s">
        <v>1255</v>
      </c>
      <c r="C932">
        <v>51163.9</v>
      </c>
      <c r="D932">
        <v>1381</v>
      </c>
      <c r="E932" s="1" t="s">
        <v>2003</v>
      </c>
      <c r="F932" s="1" t="s">
        <v>738</v>
      </c>
      <c r="G932" s="1" t="s">
        <v>16</v>
      </c>
      <c r="H932">
        <v>75</v>
      </c>
      <c r="I932">
        <v>33</v>
      </c>
      <c r="J932">
        <v>134</v>
      </c>
      <c r="K932" s="1" t="s">
        <v>90</v>
      </c>
      <c r="L932" s="1" t="s">
        <v>24</v>
      </c>
      <c r="M932" s="1" t="s">
        <v>2004</v>
      </c>
      <c r="N932" s="1" t="s">
        <v>2005</v>
      </c>
    </row>
    <row r="933" spans="1:14" x14ac:dyDescent="0.35">
      <c r="A933">
        <v>3208013</v>
      </c>
      <c r="B933" s="1" t="s">
        <v>1255</v>
      </c>
      <c r="C933">
        <v>51163.9</v>
      </c>
      <c r="D933">
        <v>1381</v>
      </c>
      <c r="E933" s="1" t="s">
        <v>2006</v>
      </c>
      <c r="F933" s="1" t="s">
        <v>15</v>
      </c>
      <c r="G933" s="1" t="s">
        <v>16</v>
      </c>
      <c r="H933">
        <v>216</v>
      </c>
      <c r="I933">
        <v>73</v>
      </c>
      <c r="J933">
        <v>445</v>
      </c>
      <c r="K933" s="1" t="s">
        <v>17</v>
      </c>
      <c r="L933" s="1" t="s">
        <v>120</v>
      </c>
      <c r="M933" s="1" t="s">
        <v>2004</v>
      </c>
      <c r="N933" s="1" t="s">
        <v>2007</v>
      </c>
    </row>
    <row r="934" spans="1:14" x14ac:dyDescent="0.35">
      <c r="A934">
        <v>3208060</v>
      </c>
      <c r="B934" s="1" t="s">
        <v>1255</v>
      </c>
      <c r="C934">
        <v>51163.9</v>
      </c>
      <c r="D934">
        <v>1381</v>
      </c>
      <c r="E934" s="1" t="s">
        <v>2008</v>
      </c>
      <c r="F934" s="1" t="s">
        <v>15</v>
      </c>
      <c r="G934" s="1" t="s">
        <v>32</v>
      </c>
      <c r="H934">
        <v>145</v>
      </c>
      <c r="I934">
        <v>20</v>
      </c>
      <c r="J934">
        <v>133</v>
      </c>
      <c r="K934" s="1" t="s">
        <v>90</v>
      </c>
      <c r="L934" s="1" t="s">
        <v>24</v>
      </c>
      <c r="M934" s="1" t="s">
        <v>2004</v>
      </c>
      <c r="N934" s="1" t="s">
        <v>2009</v>
      </c>
    </row>
    <row r="935" spans="1:14" x14ac:dyDescent="0.35">
      <c r="A935">
        <v>3208058</v>
      </c>
      <c r="B935" s="1" t="s">
        <v>1255</v>
      </c>
      <c r="C935">
        <v>51163.9</v>
      </c>
      <c r="D935">
        <v>1381</v>
      </c>
      <c r="E935" s="1" t="s">
        <v>2010</v>
      </c>
      <c r="F935" s="1" t="s">
        <v>15</v>
      </c>
      <c r="G935" s="1" t="s">
        <v>32</v>
      </c>
      <c r="H935">
        <v>159</v>
      </c>
      <c r="I935">
        <v>45</v>
      </c>
      <c r="J935">
        <v>238</v>
      </c>
      <c r="K935" s="1" t="s">
        <v>90</v>
      </c>
      <c r="L935" s="1" t="s">
        <v>24</v>
      </c>
      <c r="M935" s="1" t="s">
        <v>2004</v>
      </c>
      <c r="N935" s="1" t="s">
        <v>2011</v>
      </c>
    </row>
    <row r="936" spans="1:14" x14ac:dyDescent="0.35">
      <c r="A936">
        <v>3208035</v>
      </c>
      <c r="B936" s="1" t="s">
        <v>1255</v>
      </c>
      <c r="C936">
        <v>51163.9</v>
      </c>
      <c r="D936">
        <v>1381</v>
      </c>
      <c r="E936" s="1" t="s">
        <v>2012</v>
      </c>
      <c r="F936" s="1" t="s">
        <v>15</v>
      </c>
      <c r="G936" s="1" t="s">
        <v>32</v>
      </c>
      <c r="H936">
        <v>102</v>
      </c>
      <c r="I936">
        <v>28</v>
      </c>
      <c r="J936">
        <v>313</v>
      </c>
      <c r="K936" s="1" t="s">
        <v>84</v>
      </c>
      <c r="L936" s="1" t="s">
        <v>24</v>
      </c>
      <c r="M936" s="1" t="s">
        <v>2004</v>
      </c>
      <c r="N936" s="1" t="s">
        <v>2013</v>
      </c>
    </row>
    <row r="937" spans="1:14" x14ac:dyDescent="0.35">
      <c r="A937">
        <v>3208024</v>
      </c>
      <c r="B937" s="1" t="s">
        <v>1255</v>
      </c>
      <c r="C937">
        <v>51163.9</v>
      </c>
      <c r="D937">
        <v>1381</v>
      </c>
      <c r="E937" s="1" t="s">
        <v>2014</v>
      </c>
      <c r="F937" s="1" t="s">
        <v>15</v>
      </c>
      <c r="G937" s="1" t="s">
        <v>32</v>
      </c>
      <c r="H937">
        <v>120</v>
      </c>
      <c r="I937">
        <v>30</v>
      </c>
      <c r="J937">
        <v>189</v>
      </c>
      <c r="K937" s="1" t="s">
        <v>84</v>
      </c>
      <c r="L937" s="1" t="s">
        <v>24</v>
      </c>
      <c r="M937" s="1" t="s">
        <v>2004</v>
      </c>
      <c r="N937" s="1" t="s">
        <v>2015</v>
      </c>
    </row>
    <row r="938" spans="1:14" x14ac:dyDescent="0.35">
      <c r="A938">
        <v>3208065</v>
      </c>
      <c r="B938" s="1" t="s">
        <v>1255</v>
      </c>
      <c r="C938">
        <v>51163.9</v>
      </c>
      <c r="D938">
        <v>1381</v>
      </c>
      <c r="E938" s="1" t="s">
        <v>2016</v>
      </c>
      <c r="F938" s="1" t="s">
        <v>15</v>
      </c>
      <c r="G938" s="1" t="s">
        <v>32</v>
      </c>
      <c r="H938">
        <v>152</v>
      </c>
      <c r="I938">
        <v>32</v>
      </c>
      <c r="J938">
        <v>93</v>
      </c>
      <c r="K938" s="1" t="s">
        <v>90</v>
      </c>
      <c r="L938" s="1" t="s">
        <v>24</v>
      </c>
      <c r="M938" s="1" t="s">
        <v>2004</v>
      </c>
      <c r="N938" s="1" t="s">
        <v>2017</v>
      </c>
    </row>
    <row r="939" spans="1:14" x14ac:dyDescent="0.35">
      <c r="A939">
        <v>3208059</v>
      </c>
      <c r="B939" s="1" t="s">
        <v>1255</v>
      </c>
      <c r="C939">
        <v>51163.9</v>
      </c>
      <c r="D939">
        <v>1381</v>
      </c>
      <c r="E939" s="1" t="s">
        <v>2018</v>
      </c>
      <c r="F939" s="1" t="s">
        <v>15</v>
      </c>
      <c r="G939" s="1" t="s">
        <v>32</v>
      </c>
      <c r="H939">
        <v>110</v>
      </c>
      <c r="I939">
        <v>28</v>
      </c>
      <c r="J939">
        <v>109</v>
      </c>
      <c r="K939" s="1" t="s">
        <v>17</v>
      </c>
      <c r="L939" s="1" t="s">
        <v>18</v>
      </c>
      <c r="M939" s="1" t="s">
        <v>2004</v>
      </c>
      <c r="N939" s="1" t="s">
        <v>2019</v>
      </c>
    </row>
    <row r="940" spans="1:14" x14ac:dyDescent="0.35">
      <c r="A940">
        <v>3208046</v>
      </c>
      <c r="B940" s="1" t="s">
        <v>1255</v>
      </c>
      <c r="C940">
        <v>51163.9</v>
      </c>
      <c r="D940">
        <v>1381</v>
      </c>
      <c r="E940" s="1" t="s">
        <v>2020</v>
      </c>
      <c r="F940" s="1" t="s">
        <v>15</v>
      </c>
      <c r="G940" s="1" t="s">
        <v>32</v>
      </c>
      <c r="H940">
        <v>185</v>
      </c>
      <c r="I940">
        <v>19</v>
      </c>
      <c r="J940">
        <v>328</v>
      </c>
      <c r="K940" s="1" t="s">
        <v>90</v>
      </c>
      <c r="L940" s="1" t="s">
        <v>24</v>
      </c>
      <c r="M940" s="1" t="s">
        <v>2004</v>
      </c>
      <c r="N940" s="1" t="s">
        <v>2021</v>
      </c>
    </row>
    <row r="941" spans="1:14" x14ac:dyDescent="0.35">
      <c r="A941">
        <v>3208076</v>
      </c>
      <c r="B941" s="1" t="s">
        <v>1255</v>
      </c>
      <c r="C941">
        <v>51163.9</v>
      </c>
      <c r="D941">
        <v>1381</v>
      </c>
      <c r="E941" s="1" t="s">
        <v>2022</v>
      </c>
      <c r="F941" s="1" t="s">
        <v>15</v>
      </c>
      <c r="G941" s="1" t="s">
        <v>22</v>
      </c>
      <c r="H941">
        <v>61</v>
      </c>
      <c r="I941">
        <v>35</v>
      </c>
      <c r="K941" s="1" t="s">
        <v>23</v>
      </c>
      <c r="L941" s="1" t="s">
        <v>24</v>
      </c>
      <c r="M941" s="1" t="s">
        <v>2004</v>
      </c>
      <c r="N941" s="1" t="s">
        <v>2023</v>
      </c>
    </row>
    <row r="942" spans="1:14" x14ac:dyDescent="0.35">
      <c r="A942">
        <v>3208057</v>
      </c>
      <c r="B942" s="1" t="s">
        <v>1255</v>
      </c>
      <c r="C942">
        <v>51163.9</v>
      </c>
      <c r="D942">
        <v>1381</v>
      </c>
      <c r="E942" s="1" t="s">
        <v>2024</v>
      </c>
      <c r="F942" s="1" t="s">
        <v>15</v>
      </c>
      <c r="G942" s="1" t="s">
        <v>22</v>
      </c>
      <c r="H942">
        <v>61</v>
      </c>
      <c r="I942">
        <v>23</v>
      </c>
      <c r="J942">
        <v>57</v>
      </c>
      <c r="K942" s="1" t="s">
        <v>90</v>
      </c>
      <c r="L942" s="1" t="s">
        <v>24</v>
      </c>
      <c r="M942" s="1" t="s">
        <v>2004</v>
      </c>
      <c r="N942" s="1" t="s">
        <v>2025</v>
      </c>
    </row>
    <row r="943" spans="1:14" x14ac:dyDescent="0.35">
      <c r="A943">
        <v>3210036</v>
      </c>
      <c r="B943" s="1" t="s">
        <v>1255</v>
      </c>
      <c r="C943">
        <v>51163.9</v>
      </c>
      <c r="D943">
        <v>1381</v>
      </c>
      <c r="E943" s="1" t="s">
        <v>2026</v>
      </c>
      <c r="F943" s="1" t="s">
        <v>220</v>
      </c>
      <c r="G943" s="1" t="s">
        <v>32</v>
      </c>
      <c r="H943">
        <v>25</v>
      </c>
      <c r="I943">
        <v>21</v>
      </c>
      <c r="J943">
        <v>68</v>
      </c>
      <c r="K943" s="1" t="s">
        <v>84</v>
      </c>
      <c r="L943" s="1" t="s">
        <v>24</v>
      </c>
      <c r="M943" s="1" t="s">
        <v>2027</v>
      </c>
      <c r="N943" s="1" t="s">
        <v>2028</v>
      </c>
    </row>
    <row r="944" spans="1:14" x14ac:dyDescent="0.35">
      <c r="A944">
        <v>3210025</v>
      </c>
      <c r="B944" s="1" t="s">
        <v>1255</v>
      </c>
      <c r="C944">
        <v>51163.9</v>
      </c>
      <c r="D944">
        <v>1381</v>
      </c>
      <c r="E944" s="1" t="s">
        <v>2029</v>
      </c>
      <c r="F944" s="1" t="s">
        <v>15</v>
      </c>
      <c r="G944" s="1" t="s">
        <v>16</v>
      </c>
      <c r="H944">
        <v>259</v>
      </c>
      <c r="I944">
        <v>65</v>
      </c>
      <c r="J944">
        <v>619</v>
      </c>
      <c r="K944" s="1" t="s">
        <v>17</v>
      </c>
      <c r="L944" s="1" t="s">
        <v>18</v>
      </c>
      <c r="M944" s="1" t="s">
        <v>2027</v>
      </c>
      <c r="N944" s="1" t="s">
        <v>2030</v>
      </c>
    </row>
    <row r="945" spans="1:14" x14ac:dyDescent="0.35">
      <c r="A945">
        <v>3210038</v>
      </c>
      <c r="B945" s="1" t="s">
        <v>1255</v>
      </c>
      <c r="C945">
        <v>51163.9</v>
      </c>
      <c r="D945">
        <v>1381</v>
      </c>
      <c r="E945" s="1" t="s">
        <v>2031</v>
      </c>
      <c r="F945" s="1" t="s">
        <v>15</v>
      </c>
      <c r="G945" s="1" t="s">
        <v>32</v>
      </c>
      <c r="H945">
        <v>105</v>
      </c>
      <c r="I945">
        <v>19</v>
      </c>
      <c r="K945" s="1" t="s">
        <v>23</v>
      </c>
      <c r="L945" s="1" t="s">
        <v>24</v>
      </c>
      <c r="M945" s="1" t="s">
        <v>2027</v>
      </c>
      <c r="N945" s="1" t="s">
        <v>2032</v>
      </c>
    </row>
    <row r="946" spans="1:14" x14ac:dyDescent="0.35">
      <c r="A946">
        <v>3210037</v>
      </c>
      <c r="B946" s="1" t="s">
        <v>1255</v>
      </c>
      <c r="C946">
        <v>51163.9</v>
      </c>
      <c r="D946">
        <v>1381</v>
      </c>
      <c r="E946" s="1" t="s">
        <v>2033</v>
      </c>
      <c r="F946" s="1" t="s">
        <v>15</v>
      </c>
      <c r="G946" s="1" t="s">
        <v>32</v>
      </c>
      <c r="H946">
        <v>228</v>
      </c>
      <c r="I946">
        <v>20</v>
      </c>
      <c r="J946">
        <v>139</v>
      </c>
      <c r="K946" s="1" t="s">
        <v>90</v>
      </c>
      <c r="L946" s="1" t="s">
        <v>24</v>
      </c>
      <c r="M946" s="1" t="s">
        <v>2027</v>
      </c>
      <c r="N946" s="1" t="s">
        <v>2034</v>
      </c>
    </row>
    <row r="947" spans="1:14" x14ac:dyDescent="0.35">
      <c r="A947">
        <v>3210014</v>
      </c>
      <c r="B947" s="1" t="s">
        <v>1255</v>
      </c>
      <c r="C947">
        <v>51163.9</v>
      </c>
      <c r="D947">
        <v>1381</v>
      </c>
      <c r="E947" s="1" t="s">
        <v>2035</v>
      </c>
      <c r="F947" s="1" t="s">
        <v>15</v>
      </c>
      <c r="G947" s="1" t="s">
        <v>32</v>
      </c>
      <c r="H947">
        <v>218</v>
      </c>
      <c r="I947">
        <v>53</v>
      </c>
      <c r="J947">
        <v>417</v>
      </c>
      <c r="K947" s="1" t="s">
        <v>17</v>
      </c>
      <c r="L947" s="1" t="s">
        <v>18</v>
      </c>
      <c r="M947" s="1" t="s">
        <v>2027</v>
      </c>
      <c r="N947" s="1" t="s">
        <v>2036</v>
      </c>
    </row>
    <row r="948" spans="1:14" x14ac:dyDescent="0.35">
      <c r="A948">
        <v>3210049</v>
      </c>
      <c r="B948" s="1" t="s">
        <v>1255</v>
      </c>
      <c r="C948">
        <v>51163.9</v>
      </c>
      <c r="D948">
        <v>1381</v>
      </c>
      <c r="E948" s="1" t="s">
        <v>2037</v>
      </c>
      <c r="F948" s="1" t="s">
        <v>15</v>
      </c>
      <c r="G948" s="1" t="s">
        <v>22</v>
      </c>
      <c r="H948">
        <v>50</v>
      </c>
      <c r="I948">
        <v>10</v>
      </c>
      <c r="K948" s="1" t="s">
        <v>17</v>
      </c>
      <c r="L948" s="1" t="s">
        <v>24</v>
      </c>
      <c r="M948" s="1" t="s">
        <v>2027</v>
      </c>
      <c r="N948" s="1" t="s">
        <v>2038</v>
      </c>
    </row>
    <row r="949" spans="1:14" x14ac:dyDescent="0.35">
      <c r="A949">
        <v>3218001</v>
      </c>
      <c r="B949" s="1" t="s">
        <v>1255</v>
      </c>
      <c r="C949">
        <v>51163.9</v>
      </c>
      <c r="D949">
        <v>1381</v>
      </c>
      <c r="E949" s="1" t="s">
        <v>2039</v>
      </c>
      <c r="F949" s="1" t="s">
        <v>15</v>
      </c>
      <c r="G949" s="1" t="s">
        <v>32</v>
      </c>
      <c r="H949">
        <v>247</v>
      </c>
      <c r="I949">
        <v>29</v>
      </c>
      <c r="J949">
        <v>467</v>
      </c>
      <c r="K949" s="1" t="s">
        <v>17</v>
      </c>
      <c r="L949" s="1" t="s">
        <v>18</v>
      </c>
      <c r="M949" s="1" t="s">
        <v>2040</v>
      </c>
      <c r="N949" s="1" t="s">
        <v>2041</v>
      </c>
    </row>
    <row r="950" spans="1:14" x14ac:dyDescent="0.35">
      <c r="A950">
        <v>3214036</v>
      </c>
      <c r="B950" s="1" t="s">
        <v>1255</v>
      </c>
      <c r="C950">
        <v>51163.9</v>
      </c>
      <c r="D950">
        <v>1381</v>
      </c>
      <c r="E950" s="1" t="s">
        <v>2042</v>
      </c>
      <c r="F950" s="1" t="s">
        <v>71</v>
      </c>
      <c r="G950" s="1" t="s">
        <v>32</v>
      </c>
      <c r="H950">
        <v>51</v>
      </c>
      <c r="I950">
        <v>25</v>
      </c>
      <c r="J950">
        <v>64</v>
      </c>
      <c r="K950" s="1" t="s">
        <v>90</v>
      </c>
      <c r="L950" s="1" t="s">
        <v>24</v>
      </c>
      <c r="M950" s="1" t="s">
        <v>2043</v>
      </c>
      <c r="N950" s="1" t="s">
        <v>2044</v>
      </c>
    </row>
    <row r="951" spans="1:14" x14ac:dyDescent="0.35">
      <c r="A951">
        <v>3214031</v>
      </c>
      <c r="B951" s="1" t="s">
        <v>1255</v>
      </c>
      <c r="C951">
        <v>51163.9</v>
      </c>
      <c r="D951">
        <v>1381</v>
      </c>
      <c r="E951" s="1" t="s">
        <v>2045</v>
      </c>
      <c r="F951" s="1" t="s">
        <v>15</v>
      </c>
      <c r="G951" s="1" t="s">
        <v>16</v>
      </c>
      <c r="H951">
        <v>261</v>
      </c>
      <c r="I951">
        <v>57</v>
      </c>
      <c r="J951">
        <v>513</v>
      </c>
      <c r="K951" s="1" t="s">
        <v>90</v>
      </c>
      <c r="L951" s="1" t="s">
        <v>24</v>
      </c>
      <c r="M951" s="1" t="s">
        <v>2043</v>
      </c>
      <c r="N951" s="1" t="s">
        <v>2046</v>
      </c>
    </row>
    <row r="952" spans="1:14" x14ac:dyDescent="0.35">
      <c r="A952">
        <v>3214011</v>
      </c>
      <c r="B952" s="1" t="s">
        <v>1255</v>
      </c>
      <c r="C952">
        <v>51163.9</v>
      </c>
      <c r="D952">
        <v>1381</v>
      </c>
      <c r="E952" s="1" t="s">
        <v>2047</v>
      </c>
      <c r="F952" s="1" t="s">
        <v>15</v>
      </c>
      <c r="G952" s="1" t="s">
        <v>16</v>
      </c>
      <c r="H952">
        <v>261</v>
      </c>
      <c r="I952">
        <v>108</v>
      </c>
      <c r="J952">
        <v>752</v>
      </c>
      <c r="K952" s="1" t="s">
        <v>17</v>
      </c>
      <c r="L952" s="1" t="s">
        <v>18</v>
      </c>
      <c r="M952" s="1" t="s">
        <v>2043</v>
      </c>
      <c r="N952" s="1" t="s">
        <v>2048</v>
      </c>
    </row>
    <row r="953" spans="1:14" x14ac:dyDescent="0.35">
      <c r="A953">
        <v>3214032</v>
      </c>
      <c r="B953" s="1" t="s">
        <v>1255</v>
      </c>
      <c r="C953">
        <v>51163.9</v>
      </c>
      <c r="D953">
        <v>1381</v>
      </c>
      <c r="E953" s="1" t="s">
        <v>2049</v>
      </c>
      <c r="F953" s="1" t="s">
        <v>15</v>
      </c>
      <c r="G953" s="1" t="s">
        <v>16</v>
      </c>
      <c r="H953">
        <v>247</v>
      </c>
      <c r="I953">
        <v>58</v>
      </c>
      <c r="J953">
        <v>605</v>
      </c>
      <c r="K953" s="1" t="s">
        <v>90</v>
      </c>
      <c r="L953" s="1" t="s">
        <v>24</v>
      </c>
      <c r="M953" s="1" t="s">
        <v>2043</v>
      </c>
      <c r="N953" s="1" t="s">
        <v>2050</v>
      </c>
    </row>
    <row r="954" spans="1:14" x14ac:dyDescent="0.35">
      <c r="A954">
        <v>3214035</v>
      </c>
      <c r="B954" s="1" t="s">
        <v>1255</v>
      </c>
      <c r="C954">
        <v>51163.9</v>
      </c>
      <c r="D954">
        <v>1381</v>
      </c>
      <c r="E954" s="1" t="s">
        <v>2051</v>
      </c>
      <c r="F954" s="1" t="s">
        <v>15</v>
      </c>
      <c r="G954" s="1" t="s">
        <v>32</v>
      </c>
      <c r="H954">
        <v>145</v>
      </c>
      <c r="I954">
        <v>38</v>
      </c>
      <c r="J954">
        <v>259</v>
      </c>
      <c r="K954" s="1" t="s">
        <v>90</v>
      </c>
      <c r="L954" s="1" t="s">
        <v>24</v>
      </c>
      <c r="M954" s="1" t="s">
        <v>2043</v>
      </c>
      <c r="N954" s="1" t="s">
        <v>2052</v>
      </c>
    </row>
    <row r="955" spans="1:14" x14ac:dyDescent="0.35">
      <c r="A955">
        <v>3214033</v>
      </c>
      <c r="B955" s="1" t="s">
        <v>1255</v>
      </c>
      <c r="C955">
        <v>51163.9</v>
      </c>
      <c r="D955">
        <v>1381</v>
      </c>
      <c r="E955" s="1" t="s">
        <v>2053</v>
      </c>
      <c r="F955" s="1" t="s">
        <v>15</v>
      </c>
      <c r="G955" s="1" t="s">
        <v>32</v>
      </c>
      <c r="H955">
        <v>134</v>
      </c>
      <c r="I955">
        <v>31</v>
      </c>
      <c r="J955">
        <v>315</v>
      </c>
      <c r="K955" s="1" t="s">
        <v>90</v>
      </c>
      <c r="L955" s="1" t="s">
        <v>24</v>
      </c>
      <c r="M955" s="1" t="s">
        <v>2043</v>
      </c>
      <c r="N955" s="1" t="s">
        <v>2054</v>
      </c>
    </row>
    <row r="956" spans="1:14" x14ac:dyDescent="0.35">
      <c r="A956">
        <v>3214037</v>
      </c>
      <c r="B956" s="1" t="s">
        <v>1255</v>
      </c>
      <c r="C956">
        <v>51163.9</v>
      </c>
      <c r="D956">
        <v>1381</v>
      </c>
      <c r="E956" s="1" t="s">
        <v>2055</v>
      </c>
      <c r="F956" s="1" t="s">
        <v>15</v>
      </c>
      <c r="G956" s="1" t="s">
        <v>32</v>
      </c>
      <c r="H956">
        <v>130</v>
      </c>
      <c r="I956">
        <v>32</v>
      </c>
      <c r="J956">
        <v>126</v>
      </c>
      <c r="K956" s="1" t="s">
        <v>90</v>
      </c>
      <c r="L956" s="1" t="s">
        <v>24</v>
      </c>
      <c r="M956" s="1" t="s">
        <v>2043</v>
      </c>
      <c r="N956" s="1" t="s">
        <v>2056</v>
      </c>
    </row>
    <row r="957" spans="1:14" x14ac:dyDescent="0.35">
      <c r="A957">
        <v>3214038</v>
      </c>
      <c r="B957" s="1" t="s">
        <v>1255</v>
      </c>
      <c r="C957">
        <v>51163.9</v>
      </c>
      <c r="D957">
        <v>1381</v>
      </c>
      <c r="E957" s="1" t="s">
        <v>2057</v>
      </c>
      <c r="F957" s="1" t="s">
        <v>15</v>
      </c>
      <c r="G957" s="1" t="s">
        <v>32</v>
      </c>
      <c r="H957">
        <v>88</v>
      </c>
      <c r="I957">
        <v>26</v>
      </c>
      <c r="J957">
        <v>133</v>
      </c>
      <c r="K957" s="1" t="s">
        <v>90</v>
      </c>
      <c r="L957" s="1" t="s">
        <v>24</v>
      </c>
      <c r="M957" s="1" t="s">
        <v>2043</v>
      </c>
      <c r="N957" s="1" t="s">
        <v>2058</v>
      </c>
    </row>
    <row r="958" spans="1:14" x14ac:dyDescent="0.35">
      <c r="A958">
        <v>3214034</v>
      </c>
      <c r="B958" s="1" t="s">
        <v>1255</v>
      </c>
      <c r="C958">
        <v>51163.9</v>
      </c>
      <c r="D958">
        <v>1381</v>
      </c>
      <c r="E958" s="1" t="s">
        <v>2059</v>
      </c>
      <c r="F958" s="1" t="s">
        <v>15</v>
      </c>
      <c r="G958" s="1" t="s">
        <v>32</v>
      </c>
      <c r="H958">
        <v>149</v>
      </c>
      <c r="I958">
        <v>91</v>
      </c>
      <c r="J958">
        <v>330</v>
      </c>
      <c r="K958" s="1" t="s">
        <v>90</v>
      </c>
      <c r="L958" s="1" t="s">
        <v>24</v>
      </c>
      <c r="M958" s="1" t="s">
        <v>2043</v>
      </c>
      <c r="N958" s="1" t="s">
        <v>2060</v>
      </c>
    </row>
    <row r="959" spans="1:14" x14ac:dyDescent="0.35">
      <c r="A959">
        <v>3214040</v>
      </c>
      <c r="B959" s="1" t="s">
        <v>1255</v>
      </c>
      <c r="C959">
        <v>51163.9</v>
      </c>
      <c r="D959">
        <v>1381</v>
      </c>
      <c r="E959" s="1" t="s">
        <v>2061</v>
      </c>
      <c r="F959" s="1" t="s">
        <v>15</v>
      </c>
      <c r="G959" s="1" t="s">
        <v>22</v>
      </c>
      <c r="H959">
        <v>75</v>
      </c>
      <c r="I959">
        <v>21</v>
      </c>
      <c r="J959">
        <v>133</v>
      </c>
      <c r="K959" s="1" t="s">
        <v>90</v>
      </c>
      <c r="L959" s="1" t="s">
        <v>24</v>
      </c>
      <c r="M959" s="1" t="s">
        <v>2043</v>
      </c>
      <c r="N959" s="1" t="s">
        <v>2062</v>
      </c>
    </row>
    <row r="960" spans="1:14" x14ac:dyDescent="0.35">
      <c r="A960">
        <v>3213049</v>
      </c>
      <c r="B960" s="1" t="s">
        <v>1255</v>
      </c>
      <c r="C960">
        <v>51163.9</v>
      </c>
      <c r="D960">
        <v>1381</v>
      </c>
      <c r="E960" s="1" t="s">
        <v>2063</v>
      </c>
      <c r="F960" s="1" t="s">
        <v>71</v>
      </c>
      <c r="G960" s="1" t="s">
        <v>32</v>
      </c>
      <c r="H960">
        <v>33</v>
      </c>
      <c r="I960">
        <v>11</v>
      </c>
      <c r="J960">
        <v>44</v>
      </c>
      <c r="K960" s="1" t="s">
        <v>90</v>
      </c>
      <c r="L960" s="1" t="s">
        <v>24</v>
      </c>
      <c r="M960" s="1" t="s">
        <v>2064</v>
      </c>
      <c r="N960" s="1" t="s">
        <v>2065</v>
      </c>
    </row>
    <row r="961" spans="1:14" x14ac:dyDescent="0.35">
      <c r="A961">
        <v>3213010</v>
      </c>
      <c r="B961" s="1" t="s">
        <v>1255</v>
      </c>
      <c r="C961">
        <v>51163.9</v>
      </c>
      <c r="D961">
        <v>1381</v>
      </c>
      <c r="E961" s="1" t="s">
        <v>2066</v>
      </c>
      <c r="F961" s="1" t="s">
        <v>15</v>
      </c>
      <c r="G961" s="1" t="s">
        <v>16</v>
      </c>
      <c r="H961">
        <v>250</v>
      </c>
      <c r="I961">
        <v>101</v>
      </c>
      <c r="J961">
        <v>551</v>
      </c>
      <c r="K961" s="1" t="s">
        <v>17</v>
      </c>
      <c r="L961" s="1" t="s">
        <v>18</v>
      </c>
      <c r="M961" s="1" t="s">
        <v>2064</v>
      </c>
      <c r="N961" s="1" t="s">
        <v>2067</v>
      </c>
    </row>
    <row r="962" spans="1:14" x14ac:dyDescent="0.35">
      <c r="A962">
        <v>3213061</v>
      </c>
      <c r="B962" s="1" t="s">
        <v>1255</v>
      </c>
      <c r="C962">
        <v>51163.9</v>
      </c>
      <c r="D962">
        <v>1381</v>
      </c>
      <c r="E962" s="1" t="s">
        <v>2068</v>
      </c>
      <c r="F962" s="1" t="s">
        <v>15</v>
      </c>
      <c r="G962" s="1" t="s">
        <v>32</v>
      </c>
      <c r="H962">
        <v>103</v>
      </c>
      <c r="I962">
        <v>23</v>
      </c>
      <c r="K962" s="1" t="s">
        <v>23</v>
      </c>
      <c r="L962" s="1" t="s">
        <v>24</v>
      </c>
      <c r="M962" s="1" t="s">
        <v>2064</v>
      </c>
      <c r="N962" s="1" t="s">
        <v>2069</v>
      </c>
    </row>
    <row r="963" spans="1:14" x14ac:dyDescent="0.35">
      <c r="A963">
        <v>3213062</v>
      </c>
      <c r="B963" s="1" t="s">
        <v>1255</v>
      </c>
      <c r="C963">
        <v>51163.9</v>
      </c>
      <c r="D963">
        <v>1381</v>
      </c>
      <c r="E963" s="1" t="s">
        <v>2070</v>
      </c>
      <c r="F963" s="1" t="s">
        <v>15</v>
      </c>
      <c r="G963" s="1" t="s">
        <v>32</v>
      </c>
      <c r="H963">
        <v>119</v>
      </c>
      <c r="I963">
        <v>27</v>
      </c>
      <c r="K963" s="1" t="s">
        <v>23</v>
      </c>
      <c r="L963" s="1" t="s">
        <v>24</v>
      </c>
      <c r="M963" s="1" t="s">
        <v>2064</v>
      </c>
      <c r="N963" s="1" t="s">
        <v>2071</v>
      </c>
    </row>
    <row r="964" spans="1:14" x14ac:dyDescent="0.35">
      <c r="A964">
        <v>3213045</v>
      </c>
      <c r="B964" s="1" t="s">
        <v>1255</v>
      </c>
      <c r="C964">
        <v>51163.9</v>
      </c>
      <c r="D964">
        <v>1381</v>
      </c>
      <c r="E964" s="1" t="s">
        <v>2072</v>
      </c>
      <c r="F964" s="1" t="s">
        <v>15</v>
      </c>
      <c r="G964" s="1" t="s">
        <v>32</v>
      </c>
      <c r="H964">
        <v>100</v>
      </c>
      <c r="I964">
        <v>32</v>
      </c>
      <c r="J964">
        <v>185</v>
      </c>
      <c r="K964" s="1" t="s">
        <v>90</v>
      </c>
      <c r="L964" s="1" t="s">
        <v>24</v>
      </c>
      <c r="M964" s="1" t="s">
        <v>2064</v>
      </c>
      <c r="N964" s="1" t="s">
        <v>2073</v>
      </c>
    </row>
    <row r="965" spans="1:14" x14ac:dyDescent="0.35">
      <c r="A965">
        <v>3213044</v>
      </c>
      <c r="B965" s="1" t="s">
        <v>1255</v>
      </c>
      <c r="C965">
        <v>51163.9</v>
      </c>
      <c r="D965">
        <v>1381</v>
      </c>
      <c r="E965" s="1" t="s">
        <v>2074</v>
      </c>
      <c r="F965" s="1" t="s">
        <v>15</v>
      </c>
      <c r="G965" s="1" t="s">
        <v>32</v>
      </c>
      <c r="H965">
        <v>100</v>
      </c>
      <c r="I965">
        <v>21</v>
      </c>
      <c r="J965">
        <v>55</v>
      </c>
      <c r="K965" s="1" t="s">
        <v>23</v>
      </c>
      <c r="L965" s="1" t="s">
        <v>24</v>
      </c>
      <c r="M965" s="1" t="s">
        <v>2064</v>
      </c>
      <c r="N965" s="1" t="s">
        <v>2075</v>
      </c>
    </row>
    <row r="966" spans="1:14" x14ac:dyDescent="0.35">
      <c r="A966">
        <v>3213021</v>
      </c>
      <c r="B966" s="1" t="s">
        <v>1255</v>
      </c>
      <c r="C966">
        <v>51163.9</v>
      </c>
      <c r="D966">
        <v>1381</v>
      </c>
      <c r="E966" s="1" t="s">
        <v>2076</v>
      </c>
      <c r="F966" s="1" t="s">
        <v>15</v>
      </c>
      <c r="G966" s="1" t="s">
        <v>22</v>
      </c>
      <c r="H966">
        <v>105</v>
      </c>
      <c r="I966">
        <v>27</v>
      </c>
      <c r="J966">
        <v>283</v>
      </c>
      <c r="K966" s="1" t="s">
        <v>61</v>
      </c>
      <c r="L966" s="1" t="s">
        <v>24</v>
      </c>
      <c r="M966" s="1" t="s">
        <v>2064</v>
      </c>
      <c r="N966" s="1" t="s">
        <v>2077</v>
      </c>
    </row>
    <row r="967" spans="1:14" x14ac:dyDescent="0.35">
      <c r="A967">
        <v>3213047</v>
      </c>
      <c r="B967" s="1" t="s">
        <v>1255</v>
      </c>
      <c r="C967">
        <v>51163.9</v>
      </c>
      <c r="D967">
        <v>1381</v>
      </c>
      <c r="E967" s="1" t="s">
        <v>2078</v>
      </c>
      <c r="F967" s="1" t="s">
        <v>15</v>
      </c>
      <c r="G967" s="1" t="s">
        <v>22</v>
      </c>
      <c r="H967">
        <v>55</v>
      </c>
      <c r="I967">
        <v>24</v>
      </c>
      <c r="J967">
        <v>42</v>
      </c>
      <c r="K967" s="1" t="s">
        <v>23</v>
      </c>
      <c r="L967" s="1" t="s">
        <v>24</v>
      </c>
      <c r="M967" s="1" t="s">
        <v>2064</v>
      </c>
      <c r="N967" s="1" t="s">
        <v>2079</v>
      </c>
    </row>
    <row r="968" spans="1:14" x14ac:dyDescent="0.35">
      <c r="A968">
        <v>3213032</v>
      </c>
      <c r="B968" s="1" t="s">
        <v>1255</v>
      </c>
      <c r="C968">
        <v>51163.9</v>
      </c>
      <c r="D968">
        <v>1381</v>
      </c>
      <c r="E968" s="1" t="s">
        <v>2080</v>
      </c>
      <c r="F968" s="1" t="s">
        <v>15</v>
      </c>
      <c r="G968" s="1" t="s">
        <v>22</v>
      </c>
      <c r="H968">
        <v>65</v>
      </c>
      <c r="I968">
        <v>13</v>
      </c>
      <c r="J968">
        <v>71</v>
      </c>
      <c r="K968" s="1" t="s">
        <v>974</v>
      </c>
      <c r="L968" s="1" t="s">
        <v>24</v>
      </c>
      <c r="M968" s="1" t="s">
        <v>2064</v>
      </c>
      <c r="N968" s="1" t="s">
        <v>2081</v>
      </c>
    </row>
    <row r="969" spans="1:14" x14ac:dyDescent="0.35">
      <c r="A969">
        <v>3202014</v>
      </c>
      <c r="B969" s="1" t="s">
        <v>1255</v>
      </c>
      <c r="C969">
        <v>51163.9</v>
      </c>
      <c r="D969">
        <v>1381</v>
      </c>
      <c r="E969" s="1" t="s">
        <v>2082</v>
      </c>
      <c r="F969" s="1" t="s">
        <v>15</v>
      </c>
      <c r="G969" s="1" t="s">
        <v>16</v>
      </c>
      <c r="H969">
        <v>326</v>
      </c>
      <c r="I969">
        <v>120</v>
      </c>
      <c r="J969">
        <v>466</v>
      </c>
      <c r="K969" s="1" t="s">
        <v>17</v>
      </c>
      <c r="L969" s="1" t="s">
        <v>18</v>
      </c>
      <c r="M969" s="1" t="s">
        <v>2083</v>
      </c>
      <c r="N969" s="1" t="s">
        <v>2084</v>
      </c>
    </row>
    <row r="970" spans="1:14" x14ac:dyDescent="0.35">
      <c r="A970">
        <v>3202040</v>
      </c>
      <c r="B970" s="1" t="s">
        <v>1255</v>
      </c>
      <c r="C970">
        <v>51163.9</v>
      </c>
      <c r="D970">
        <v>1381</v>
      </c>
      <c r="E970" s="1" t="s">
        <v>2085</v>
      </c>
      <c r="F970" s="1" t="s">
        <v>15</v>
      </c>
      <c r="G970" s="1" t="s">
        <v>32</v>
      </c>
      <c r="H970">
        <v>244</v>
      </c>
      <c r="I970">
        <v>30</v>
      </c>
      <c r="J970">
        <v>464</v>
      </c>
      <c r="K970" s="1" t="s">
        <v>17</v>
      </c>
      <c r="L970" s="1" t="s">
        <v>18</v>
      </c>
      <c r="M970" s="1" t="s">
        <v>2083</v>
      </c>
      <c r="N970" s="1" t="s">
        <v>2086</v>
      </c>
    </row>
    <row r="971" spans="1:14" x14ac:dyDescent="0.35">
      <c r="A971">
        <v>3202051</v>
      </c>
      <c r="B971" s="1" t="s">
        <v>1255</v>
      </c>
      <c r="C971">
        <v>51163.9</v>
      </c>
      <c r="D971">
        <v>1381</v>
      </c>
      <c r="E971" s="1" t="s">
        <v>2087</v>
      </c>
      <c r="F971" s="1" t="s">
        <v>15</v>
      </c>
      <c r="G971" s="1" t="s">
        <v>32</v>
      </c>
      <c r="H971">
        <v>180</v>
      </c>
      <c r="I971">
        <v>31</v>
      </c>
      <c r="J971">
        <v>183</v>
      </c>
      <c r="K971" s="1" t="s">
        <v>124</v>
      </c>
      <c r="L971" s="1" t="s">
        <v>18</v>
      </c>
      <c r="M971" s="1" t="s">
        <v>2083</v>
      </c>
      <c r="N971" s="1" t="s">
        <v>2088</v>
      </c>
    </row>
    <row r="972" spans="1:14" x14ac:dyDescent="0.35">
      <c r="A972">
        <v>3202062</v>
      </c>
      <c r="B972" s="1" t="s">
        <v>1255</v>
      </c>
      <c r="C972">
        <v>51163.9</v>
      </c>
      <c r="D972">
        <v>1381</v>
      </c>
      <c r="E972" s="1" t="s">
        <v>2089</v>
      </c>
      <c r="F972" s="1" t="s">
        <v>15</v>
      </c>
      <c r="G972" s="1" t="s">
        <v>32</v>
      </c>
      <c r="H972">
        <v>215</v>
      </c>
      <c r="I972">
        <v>88</v>
      </c>
      <c r="J972">
        <v>408</v>
      </c>
      <c r="K972" s="1" t="s">
        <v>23</v>
      </c>
      <c r="L972" s="1" t="s">
        <v>24</v>
      </c>
      <c r="M972" s="1" t="s">
        <v>2083</v>
      </c>
      <c r="N972" s="1" t="s">
        <v>2090</v>
      </c>
    </row>
    <row r="973" spans="1:14" x14ac:dyDescent="0.35">
      <c r="A973">
        <v>3202084</v>
      </c>
      <c r="B973" s="1" t="s">
        <v>1255</v>
      </c>
      <c r="C973">
        <v>51163.9</v>
      </c>
      <c r="D973">
        <v>1381</v>
      </c>
      <c r="E973" s="1" t="s">
        <v>2091</v>
      </c>
      <c r="F973" s="1" t="s">
        <v>15</v>
      </c>
      <c r="G973" s="1" t="s">
        <v>32</v>
      </c>
      <c r="H973">
        <v>166</v>
      </c>
      <c r="I973">
        <v>58</v>
      </c>
      <c r="J973">
        <v>173</v>
      </c>
      <c r="K973" s="1" t="s">
        <v>23</v>
      </c>
      <c r="L973" s="1" t="s">
        <v>24</v>
      </c>
      <c r="M973" s="1" t="s">
        <v>2083</v>
      </c>
      <c r="N973" s="1" t="s">
        <v>2092</v>
      </c>
    </row>
    <row r="974" spans="1:14" x14ac:dyDescent="0.35">
      <c r="A974">
        <v>3202086</v>
      </c>
      <c r="B974" s="1" t="s">
        <v>1255</v>
      </c>
      <c r="C974">
        <v>51163.9</v>
      </c>
      <c r="D974">
        <v>1381</v>
      </c>
      <c r="E974" s="1" t="s">
        <v>2093</v>
      </c>
      <c r="F974" s="1" t="s">
        <v>15</v>
      </c>
      <c r="G974" s="1" t="s">
        <v>32</v>
      </c>
      <c r="H974">
        <v>164</v>
      </c>
      <c r="I974">
        <v>54</v>
      </c>
      <c r="J974">
        <v>218</v>
      </c>
      <c r="K974" s="1" t="s">
        <v>23</v>
      </c>
      <c r="L974" s="1" t="s">
        <v>24</v>
      </c>
      <c r="M974" s="1" t="s">
        <v>2083</v>
      </c>
      <c r="N974" s="1" t="s">
        <v>2094</v>
      </c>
    </row>
    <row r="975" spans="1:14" x14ac:dyDescent="0.35">
      <c r="A975">
        <v>3202088</v>
      </c>
      <c r="B975" s="1" t="s">
        <v>1255</v>
      </c>
      <c r="C975">
        <v>51163.9</v>
      </c>
      <c r="D975">
        <v>1381</v>
      </c>
      <c r="E975" s="1" t="s">
        <v>2095</v>
      </c>
      <c r="F975" s="1" t="s">
        <v>15</v>
      </c>
      <c r="G975" s="1" t="s">
        <v>32</v>
      </c>
      <c r="H975">
        <v>111</v>
      </c>
      <c r="I975">
        <v>37</v>
      </c>
      <c r="J975">
        <v>98</v>
      </c>
      <c r="K975" s="1" t="s">
        <v>23</v>
      </c>
      <c r="L975" s="1" t="s">
        <v>24</v>
      </c>
      <c r="M975" s="1" t="s">
        <v>2083</v>
      </c>
      <c r="N975" s="1" t="s">
        <v>2096</v>
      </c>
    </row>
    <row r="976" spans="1:14" x14ac:dyDescent="0.35">
      <c r="A976">
        <v>3202073</v>
      </c>
      <c r="B976" s="1" t="s">
        <v>1255</v>
      </c>
      <c r="C976">
        <v>51163.9</v>
      </c>
      <c r="D976">
        <v>1381</v>
      </c>
      <c r="E976" s="1" t="s">
        <v>2097</v>
      </c>
      <c r="F976" s="1" t="s">
        <v>15</v>
      </c>
      <c r="G976" s="1" t="s">
        <v>32</v>
      </c>
      <c r="H976">
        <v>174</v>
      </c>
      <c r="I976">
        <v>24</v>
      </c>
      <c r="J976">
        <v>320</v>
      </c>
      <c r="K976" s="1" t="s">
        <v>23</v>
      </c>
      <c r="L976" s="1" t="s">
        <v>24</v>
      </c>
      <c r="M976" s="1" t="s">
        <v>2083</v>
      </c>
      <c r="N976" s="1" t="s">
        <v>2098</v>
      </c>
    </row>
    <row r="977" spans="1:14" x14ac:dyDescent="0.35">
      <c r="A977">
        <v>3202087</v>
      </c>
      <c r="B977" s="1" t="s">
        <v>1255</v>
      </c>
      <c r="C977">
        <v>51163.9</v>
      </c>
      <c r="D977">
        <v>1381</v>
      </c>
      <c r="E977" s="1" t="s">
        <v>2099</v>
      </c>
      <c r="F977" s="1" t="s">
        <v>15</v>
      </c>
      <c r="G977" s="1" t="s">
        <v>22</v>
      </c>
      <c r="H977">
        <v>54</v>
      </c>
      <c r="I977">
        <v>18</v>
      </c>
      <c r="J977">
        <v>125</v>
      </c>
      <c r="K977" s="1" t="s">
        <v>17</v>
      </c>
      <c r="L977" s="1" t="s">
        <v>18</v>
      </c>
      <c r="M977" s="1" t="s">
        <v>2083</v>
      </c>
      <c r="N977" s="1" t="s">
        <v>2100</v>
      </c>
    </row>
    <row r="978" spans="1:14" x14ac:dyDescent="0.35">
      <c r="A978">
        <v>3211038</v>
      </c>
      <c r="B978" s="1" t="s">
        <v>1255</v>
      </c>
      <c r="C978">
        <v>51163.9</v>
      </c>
      <c r="D978">
        <v>1381</v>
      </c>
      <c r="E978" s="1" t="s">
        <v>2101</v>
      </c>
      <c r="F978" s="1" t="s">
        <v>15</v>
      </c>
      <c r="G978" s="1" t="s">
        <v>16</v>
      </c>
      <c r="H978">
        <v>200</v>
      </c>
      <c r="I978">
        <v>42</v>
      </c>
      <c r="K978" s="1" t="s">
        <v>49</v>
      </c>
      <c r="L978" s="1" t="s">
        <v>24</v>
      </c>
      <c r="M978" s="1" t="s">
        <v>2102</v>
      </c>
      <c r="N978" s="1" t="s">
        <v>2103</v>
      </c>
    </row>
    <row r="979" spans="1:14" x14ac:dyDescent="0.35">
      <c r="A979">
        <v>3211015</v>
      </c>
      <c r="B979" s="1" t="s">
        <v>1255</v>
      </c>
      <c r="C979">
        <v>51163.9</v>
      </c>
      <c r="D979">
        <v>1381</v>
      </c>
      <c r="E979" s="1" t="s">
        <v>2104</v>
      </c>
      <c r="F979" s="1" t="s">
        <v>15</v>
      </c>
      <c r="G979" s="1" t="s">
        <v>16</v>
      </c>
      <c r="H979">
        <v>227</v>
      </c>
      <c r="I979">
        <v>52</v>
      </c>
      <c r="J979">
        <v>1147</v>
      </c>
      <c r="K979" s="1" t="s">
        <v>17</v>
      </c>
      <c r="L979" s="1" t="s">
        <v>18</v>
      </c>
      <c r="M979" s="1" t="s">
        <v>2102</v>
      </c>
      <c r="N979" s="1" t="s">
        <v>2105</v>
      </c>
    </row>
    <row r="980" spans="1:14" x14ac:dyDescent="0.35">
      <c r="A980">
        <v>3211026</v>
      </c>
      <c r="B980" s="1" t="s">
        <v>1255</v>
      </c>
      <c r="C980">
        <v>51163.9</v>
      </c>
      <c r="D980">
        <v>1381</v>
      </c>
      <c r="E980" s="1" t="s">
        <v>2106</v>
      </c>
      <c r="F980" s="1" t="s">
        <v>15</v>
      </c>
      <c r="G980" s="1" t="s">
        <v>32</v>
      </c>
      <c r="H980">
        <v>126</v>
      </c>
      <c r="I980">
        <v>103</v>
      </c>
      <c r="J980">
        <v>310</v>
      </c>
      <c r="K980" s="1" t="s">
        <v>23</v>
      </c>
      <c r="L980" s="1" t="s">
        <v>24</v>
      </c>
      <c r="M980" s="1" t="s">
        <v>2102</v>
      </c>
      <c r="N980" s="1" t="s">
        <v>2107</v>
      </c>
    </row>
    <row r="981" spans="1:14" x14ac:dyDescent="0.35">
      <c r="A981">
        <v>3211039</v>
      </c>
      <c r="B981" s="1" t="s">
        <v>1255</v>
      </c>
      <c r="C981">
        <v>51163.9</v>
      </c>
      <c r="D981">
        <v>1381</v>
      </c>
      <c r="E981" s="1" t="s">
        <v>2108</v>
      </c>
      <c r="F981" s="1" t="s">
        <v>15</v>
      </c>
      <c r="G981" s="1" t="s">
        <v>32</v>
      </c>
      <c r="I981">
        <v>17</v>
      </c>
      <c r="K981" s="1" t="s">
        <v>23</v>
      </c>
      <c r="L981" s="1" t="s">
        <v>24</v>
      </c>
      <c r="M981" s="1" t="s">
        <v>2102</v>
      </c>
      <c r="N981" s="1" t="s">
        <v>2109</v>
      </c>
    </row>
    <row r="982" spans="1:14" x14ac:dyDescent="0.35">
      <c r="A982">
        <v>3211027</v>
      </c>
      <c r="B982" s="1" t="s">
        <v>1255</v>
      </c>
      <c r="C982">
        <v>51163.9</v>
      </c>
      <c r="D982">
        <v>1381</v>
      </c>
      <c r="E982" s="1" t="s">
        <v>2110</v>
      </c>
      <c r="F982" s="1" t="s">
        <v>15</v>
      </c>
      <c r="G982" s="1" t="s">
        <v>22</v>
      </c>
      <c r="H982">
        <v>63</v>
      </c>
      <c r="I982">
        <v>26</v>
      </c>
      <c r="J982">
        <v>86</v>
      </c>
      <c r="K982" s="1" t="s">
        <v>90</v>
      </c>
      <c r="L982" s="1" t="s">
        <v>24</v>
      </c>
      <c r="M982" s="1" t="s">
        <v>2102</v>
      </c>
      <c r="N982" s="1" t="s">
        <v>2111</v>
      </c>
    </row>
    <row r="983" spans="1:14" x14ac:dyDescent="0.35">
      <c r="A983">
        <v>3206084</v>
      </c>
      <c r="B983" s="1" t="s">
        <v>1255</v>
      </c>
      <c r="C983">
        <v>51163.9</v>
      </c>
      <c r="D983">
        <v>1381</v>
      </c>
      <c r="E983" s="1" t="s">
        <v>2112</v>
      </c>
      <c r="F983" s="1" t="s">
        <v>71</v>
      </c>
      <c r="G983" s="1" t="s">
        <v>32</v>
      </c>
      <c r="H983">
        <v>55</v>
      </c>
      <c r="I983">
        <v>16</v>
      </c>
      <c r="J983">
        <v>110</v>
      </c>
      <c r="K983" s="1" t="s">
        <v>90</v>
      </c>
      <c r="L983" s="1" t="s">
        <v>24</v>
      </c>
      <c r="M983" s="1" t="s">
        <v>2113</v>
      </c>
      <c r="N983" s="1" t="s">
        <v>2114</v>
      </c>
    </row>
    <row r="984" spans="1:14" x14ac:dyDescent="0.35">
      <c r="A984">
        <v>3206023</v>
      </c>
      <c r="B984" s="1" t="s">
        <v>1255</v>
      </c>
      <c r="C984">
        <v>51163.9</v>
      </c>
      <c r="D984">
        <v>1381</v>
      </c>
      <c r="E984" s="1" t="s">
        <v>2115</v>
      </c>
      <c r="F984" s="1" t="s">
        <v>15</v>
      </c>
      <c r="G984" s="1" t="s">
        <v>32</v>
      </c>
      <c r="H984">
        <v>240</v>
      </c>
      <c r="I984">
        <v>47</v>
      </c>
      <c r="J984">
        <v>855</v>
      </c>
      <c r="K984" s="1" t="s">
        <v>17</v>
      </c>
      <c r="L984" s="1" t="s">
        <v>18</v>
      </c>
      <c r="M984" s="1" t="s">
        <v>2113</v>
      </c>
      <c r="N984" s="1" t="s">
        <v>2116</v>
      </c>
    </row>
    <row r="985" spans="1:14" x14ac:dyDescent="0.35">
      <c r="A985">
        <v>3304021</v>
      </c>
      <c r="B985" s="1" t="s">
        <v>2117</v>
      </c>
      <c r="C985">
        <v>38565</v>
      </c>
      <c r="D985">
        <v>1123</v>
      </c>
      <c r="E985" s="1" t="s">
        <v>2118</v>
      </c>
      <c r="F985" s="1" t="s">
        <v>15</v>
      </c>
      <c r="G985" s="1" t="s">
        <v>32</v>
      </c>
      <c r="H985">
        <v>181</v>
      </c>
      <c r="I985">
        <v>45</v>
      </c>
      <c r="J985">
        <v>556</v>
      </c>
      <c r="K985" s="1" t="s">
        <v>819</v>
      </c>
      <c r="L985" s="1" t="s">
        <v>24</v>
      </c>
      <c r="M985" s="1" t="s">
        <v>2119</v>
      </c>
      <c r="N985" s="1" t="s">
        <v>2120</v>
      </c>
    </row>
    <row r="986" spans="1:14" x14ac:dyDescent="0.35">
      <c r="A986">
        <v>3304010</v>
      </c>
      <c r="B986" s="1" t="s">
        <v>2117</v>
      </c>
      <c r="C986">
        <v>38565</v>
      </c>
      <c r="D986">
        <v>1123</v>
      </c>
      <c r="E986" s="1" t="s">
        <v>2121</v>
      </c>
      <c r="F986" s="1" t="s">
        <v>15</v>
      </c>
      <c r="G986" s="1" t="s">
        <v>32</v>
      </c>
      <c r="H986">
        <v>305</v>
      </c>
      <c r="I986">
        <v>28</v>
      </c>
      <c r="J986">
        <v>592</v>
      </c>
      <c r="K986" s="1" t="s">
        <v>17</v>
      </c>
      <c r="L986" s="1" t="s">
        <v>18</v>
      </c>
      <c r="M986" s="1" t="s">
        <v>2119</v>
      </c>
      <c r="N986" s="1" t="s">
        <v>2122</v>
      </c>
    </row>
    <row r="987" spans="1:14" x14ac:dyDescent="0.35">
      <c r="A987">
        <v>3304032</v>
      </c>
      <c r="B987" s="1" t="s">
        <v>2117</v>
      </c>
      <c r="C987">
        <v>38565</v>
      </c>
      <c r="D987">
        <v>1123</v>
      </c>
      <c r="E987" s="1" t="s">
        <v>2123</v>
      </c>
      <c r="F987" s="1" t="s">
        <v>15</v>
      </c>
      <c r="G987" s="1" t="s">
        <v>32</v>
      </c>
      <c r="H987">
        <v>127</v>
      </c>
      <c r="I987">
        <v>29</v>
      </c>
      <c r="J987">
        <v>499</v>
      </c>
      <c r="K987" s="1" t="s">
        <v>84</v>
      </c>
      <c r="L987" s="1" t="s">
        <v>24</v>
      </c>
      <c r="M987" s="1" t="s">
        <v>2119</v>
      </c>
      <c r="N987" s="1" t="s">
        <v>2124</v>
      </c>
    </row>
    <row r="988" spans="1:14" x14ac:dyDescent="0.35">
      <c r="A988">
        <v>3304035</v>
      </c>
      <c r="B988" s="1" t="s">
        <v>2117</v>
      </c>
      <c r="C988">
        <v>38565</v>
      </c>
      <c r="D988">
        <v>1123</v>
      </c>
      <c r="E988" s="1" t="s">
        <v>2125</v>
      </c>
      <c r="F988" s="1" t="s">
        <v>15</v>
      </c>
      <c r="G988" s="1" t="s">
        <v>22</v>
      </c>
      <c r="H988">
        <v>87</v>
      </c>
      <c r="I988">
        <v>19</v>
      </c>
      <c r="J988">
        <v>8</v>
      </c>
      <c r="K988" s="1" t="s">
        <v>444</v>
      </c>
      <c r="L988" s="1" t="s">
        <v>24</v>
      </c>
      <c r="M988" s="1" t="s">
        <v>2119</v>
      </c>
      <c r="N988" s="1" t="s">
        <v>2126</v>
      </c>
    </row>
    <row r="989" spans="1:14" x14ac:dyDescent="0.35">
      <c r="A989">
        <v>3302063</v>
      </c>
      <c r="B989" s="1" t="s">
        <v>2117</v>
      </c>
      <c r="C989">
        <v>38565</v>
      </c>
      <c r="D989">
        <v>1123</v>
      </c>
      <c r="E989" s="1" t="s">
        <v>2127</v>
      </c>
      <c r="F989" s="1" t="s">
        <v>220</v>
      </c>
      <c r="G989" s="1" t="s">
        <v>32</v>
      </c>
      <c r="H989">
        <v>30</v>
      </c>
      <c r="I989">
        <v>25</v>
      </c>
      <c r="J989">
        <v>68</v>
      </c>
      <c r="K989" s="1" t="s">
        <v>23</v>
      </c>
      <c r="L989" s="1" t="s">
        <v>24</v>
      </c>
      <c r="M989" s="1" t="s">
        <v>2128</v>
      </c>
      <c r="N989" s="1" t="s">
        <v>2129</v>
      </c>
    </row>
    <row r="990" spans="1:14" x14ac:dyDescent="0.35">
      <c r="A990">
        <v>3302225</v>
      </c>
      <c r="B990" s="1" t="s">
        <v>2117</v>
      </c>
      <c r="C990">
        <v>38565</v>
      </c>
      <c r="D990">
        <v>1123</v>
      </c>
      <c r="E990" s="1" t="s">
        <v>2130</v>
      </c>
      <c r="F990" s="1" t="s">
        <v>220</v>
      </c>
      <c r="G990" s="1" t="s">
        <v>32</v>
      </c>
      <c r="H990">
        <v>25</v>
      </c>
      <c r="I990">
        <v>11</v>
      </c>
      <c r="J990">
        <v>26</v>
      </c>
      <c r="K990" s="1" t="s">
        <v>90</v>
      </c>
      <c r="L990" s="1" t="s">
        <v>24</v>
      </c>
      <c r="M990" s="1" t="s">
        <v>2128</v>
      </c>
      <c r="N990" s="1" t="s">
        <v>2131</v>
      </c>
    </row>
    <row r="991" spans="1:14" x14ac:dyDescent="0.35">
      <c r="A991">
        <v>3302228</v>
      </c>
      <c r="B991" s="1" t="s">
        <v>2117</v>
      </c>
      <c r="C991">
        <v>38565</v>
      </c>
      <c r="D991">
        <v>1123</v>
      </c>
      <c r="E991" s="1" t="s">
        <v>2132</v>
      </c>
      <c r="F991" s="1" t="s">
        <v>119</v>
      </c>
      <c r="G991" s="1" t="s">
        <v>16</v>
      </c>
      <c r="H991">
        <v>12</v>
      </c>
      <c r="I991">
        <v>18</v>
      </c>
      <c r="J991">
        <v>120</v>
      </c>
      <c r="K991" s="1" t="s">
        <v>49</v>
      </c>
      <c r="L991" s="1" t="s">
        <v>24</v>
      </c>
      <c r="M991" s="1" t="s">
        <v>2128</v>
      </c>
      <c r="N991" s="1" t="s">
        <v>2133</v>
      </c>
    </row>
    <row r="992" spans="1:14" x14ac:dyDescent="0.35">
      <c r="A992">
        <v>3302174</v>
      </c>
      <c r="B992" s="1" t="s">
        <v>2117</v>
      </c>
      <c r="C992">
        <v>38565</v>
      </c>
      <c r="D992">
        <v>1123</v>
      </c>
      <c r="E992" s="1" t="s">
        <v>2134</v>
      </c>
      <c r="F992" s="1" t="s">
        <v>71</v>
      </c>
      <c r="G992" s="1" t="s">
        <v>32</v>
      </c>
      <c r="H992">
        <v>30</v>
      </c>
      <c r="I992">
        <v>18</v>
      </c>
      <c r="J992">
        <v>126</v>
      </c>
      <c r="K992" s="1" t="s">
        <v>84</v>
      </c>
      <c r="L992" s="1" t="s">
        <v>24</v>
      </c>
      <c r="M992" s="1" t="s">
        <v>2128</v>
      </c>
      <c r="N992" s="1" t="s">
        <v>2135</v>
      </c>
    </row>
    <row r="993" spans="1:14" x14ac:dyDescent="0.35">
      <c r="A993">
        <v>3302226</v>
      </c>
      <c r="B993" s="1" t="s">
        <v>2117</v>
      </c>
      <c r="C993">
        <v>38565</v>
      </c>
      <c r="D993">
        <v>1123</v>
      </c>
      <c r="E993" s="1" t="s">
        <v>2136</v>
      </c>
      <c r="F993" s="1" t="s">
        <v>71</v>
      </c>
      <c r="G993" s="1" t="s">
        <v>32</v>
      </c>
      <c r="H993">
        <v>30</v>
      </c>
      <c r="I993">
        <v>17</v>
      </c>
      <c r="J993">
        <v>82</v>
      </c>
      <c r="K993" s="1" t="s">
        <v>84</v>
      </c>
      <c r="L993" s="1" t="s">
        <v>24</v>
      </c>
      <c r="M993" s="1" t="s">
        <v>2128</v>
      </c>
      <c r="N993" s="1" t="s">
        <v>2137</v>
      </c>
    </row>
    <row r="994" spans="1:14" x14ac:dyDescent="0.35">
      <c r="A994">
        <v>3302248</v>
      </c>
      <c r="B994" s="1" t="s">
        <v>2117</v>
      </c>
      <c r="C994">
        <v>38565</v>
      </c>
      <c r="D994">
        <v>1123</v>
      </c>
      <c r="E994" s="1" t="s">
        <v>2138</v>
      </c>
      <c r="F994" s="1" t="s">
        <v>334</v>
      </c>
      <c r="G994" s="1" t="s">
        <v>32</v>
      </c>
      <c r="H994">
        <v>15</v>
      </c>
      <c r="I994">
        <v>19</v>
      </c>
      <c r="K994" s="1" t="s">
        <v>17</v>
      </c>
      <c r="L994" s="1" t="s">
        <v>120</v>
      </c>
      <c r="M994" s="1" t="s">
        <v>2128</v>
      </c>
      <c r="N994" s="1" t="s">
        <v>2139</v>
      </c>
    </row>
    <row r="995" spans="1:14" x14ac:dyDescent="0.35">
      <c r="A995">
        <v>3302052</v>
      </c>
      <c r="B995" s="1" t="s">
        <v>2117</v>
      </c>
      <c r="C995">
        <v>38565</v>
      </c>
      <c r="D995">
        <v>1123</v>
      </c>
      <c r="E995" s="1" t="s">
        <v>2140</v>
      </c>
      <c r="F995" s="1" t="s">
        <v>889</v>
      </c>
      <c r="G995" s="1" t="s">
        <v>32</v>
      </c>
      <c r="H995">
        <v>37</v>
      </c>
      <c r="I995">
        <v>24</v>
      </c>
      <c r="J995">
        <v>156</v>
      </c>
      <c r="K995" s="1" t="s">
        <v>23</v>
      </c>
      <c r="L995" s="1" t="s">
        <v>24</v>
      </c>
      <c r="M995" s="1" t="s">
        <v>2128</v>
      </c>
      <c r="N995" s="1" t="s">
        <v>2141</v>
      </c>
    </row>
    <row r="996" spans="1:14" x14ac:dyDescent="0.35">
      <c r="A996">
        <v>3302026</v>
      </c>
      <c r="B996" s="1" t="s">
        <v>2117</v>
      </c>
      <c r="C996">
        <v>38565</v>
      </c>
      <c r="D996">
        <v>1123</v>
      </c>
      <c r="E996" s="1" t="s">
        <v>2142</v>
      </c>
      <c r="F996" s="1" t="s">
        <v>15</v>
      </c>
      <c r="G996" s="1" t="s">
        <v>130</v>
      </c>
      <c r="H996">
        <v>700</v>
      </c>
      <c r="I996">
        <v>124</v>
      </c>
      <c r="J996">
        <v>1823</v>
      </c>
      <c r="K996" s="1" t="s">
        <v>124</v>
      </c>
      <c r="L996" s="1" t="s">
        <v>18</v>
      </c>
      <c r="M996" s="1" t="s">
        <v>2128</v>
      </c>
      <c r="N996" s="1" t="s">
        <v>2143</v>
      </c>
    </row>
    <row r="997" spans="1:14" x14ac:dyDescent="0.35">
      <c r="A997">
        <v>3302015</v>
      </c>
      <c r="B997" s="1" t="s">
        <v>2117</v>
      </c>
      <c r="C997">
        <v>38565</v>
      </c>
      <c r="D997">
        <v>1123</v>
      </c>
      <c r="E997" s="1" t="s">
        <v>2144</v>
      </c>
      <c r="F997" s="1" t="s">
        <v>15</v>
      </c>
      <c r="G997" s="1" t="s">
        <v>16</v>
      </c>
      <c r="H997">
        <v>412</v>
      </c>
      <c r="I997">
        <v>111</v>
      </c>
      <c r="J997">
        <v>1146</v>
      </c>
      <c r="K997" s="1" t="s">
        <v>17</v>
      </c>
      <c r="L997" s="1" t="s">
        <v>18</v>
      </c>
      <c r="M997" s="1" t="s">
        <v>2128</v>
      </c>
      <c r="N997" s="1" t="s">
        <v>2145</v>
      </c>
    </row>
    <row r="998" spans="1:14" x14ac:dyDescent="0.35">
      <c r="A998">
        <v>3302224</v>
      </c>
      <c r="B998" s="1" t="s">
        <v>2117</v>
      </c>
      <c r="C998">
        <v>38565</v>
      </c>
      <c r="D998">
        <v>1123</v>
      </c>
      <c r="E998" s="1" t="s">
        <v>2146</v>
      </c>
      <c r="F998" s="1" t="s">
        <v>15</v>
      </c>
      <c r="G998" s="1" t="s">
        <v>32</v>
      </c>
      <c r="H998">
        <v>199</v>
      </c>
      <c r="I998">
        <v>77</v>
      </c>
      <c r="J998">
        <v>140</v>
      </c>
      <c r="K998" s="1" t="s">
        <v>84</v>
      </c>
      <c r="L998" s="1" t="s">
        <v>24</v>
      </c>
      <c r="M998" s="1" t="s">
        <v>2128</v>
      </c>
      <c r="N998" s="1" t="s">
        <v>2147</v>
      </c>
    </row>
    <row r="999" spans="1:14" x14ac:dyDescent="0.35">
      <c r="A999">
        <v>3302213</v>
      </c>
      <c r="B999" s="1" t="s">
        <v>2117</v>
      </c>
      <c r="C999">
        <v>38565</v>
      </c>
      <c r="D999">
        <v>1123</v>
      </c>
      <c r="E999" s="1" t="s">
        <v>2148</v>
      </c>
      <c r="F999" s="1" t="s">
        <v>15</v>
      </c>
      <c r="G999" s="1" t="s">
        <v>32</v>
      </c>
      <c r="H999">
        <v>150</v>
      </c>
      <c r="I999">
        <v>43</v>
      </c>
      <c r="J999">
        <v>452</v>
      </c>
      <c r="K999" s="1" t="s">
        <v>84</v>
      </c>
      <c r="L999" s="1" t="s">
        <v>24</v>
      </c>
      <c r="M999" s="1" t="s">
        <v>2128</v>
      </c>
      <c r="N999" s="1" t="s">
        <v>2149</v>
      </c>
    </row>
    <row r="1000" spans="1:14" x14ac:dyDescent="0.35">
      <c r="A1000">
        <v>3302191</v>
      </c>
      <c r="B1000" s="1" t="s">
        <v>2117</v>
      </c>
      <c r="C1000">
        <v>38565</v>
      </c>
      <c r="D1000">
        <v>1123</v>
      </c>
      <c r="E1000" s="1" t="s">
        <v>2150</v>
      </c>
      <c r="F1000" s="1" t="s">
        <v>15</v>
      </c>
      <c r="G1000" s="1" t="s">
        <v>32</v>
      </c>
      <c r="H1000">
        <v>189</v>
      </c>
      <c r="I1000">
        <v>76</v>
      </c>
      <c r="J1000">
        <v>303</v>
      </c>
      <c r="K1000" s="1" t="s">
        <v>17</v>
      </c>
      <c r="L1000" s="1" t="s">
        <v>18</v>
      </c>
      <c r="M1000" s="1" t="s">
        <v>2128</v>
      </c>
      <c r="N1000" s="1" t="s">
        <v>2151</v>
      </c>
    </row>
    <row r="1001" spans="1:14" x14ac:dyDescent="0.35">
      <c r="A1001">
        <v>3302249</v>
      </c>
      <c r="B1001" s="1" t="s">
        <v>2117</v>
      </c>
      <c r="C1001">
        <v>38565</v>
      </c>
      <c r="D1001">
        <v>1123</v>
      </c>
      <c r="E1001" s="1" t="s">
        <v>2152</v>
      </c>
      <c r="F1001" s="1" t="s">
        <v>15</v>
      </c>
      <c r="G1001" s="1" t="s">
        <v>32</v>
      </c>
      <c r="H1001">
        <v>101</v>
      </c>
      <c r="I1001">
        <v>53</v>
      </c>
      <c r="K1001" s="1" t="s">
        <v>90</v>
      </c>
      <c r="L1001" s="1" t="s">
        <v>24</v>
      </c>
      <c r="M1001" s="1" t="s">
        <v>2128</v>
      </c>
      <c r="N1001" s="1" t="s">
        <v>2153</v>
      </c>
    </row>
    <row r="1002" spans="1:14" x14ac:dyDescent="0.35">
      <c r="A1002">
        <v>3302232</v>
      </c>
      <c r="B1002" s="1" t="s">
        <v>2117</v>
      </c>
      <c r="C1002">
        <v>38565</v>
      </c>
      <c r="D1002">
        <v>1123</v>
      </c>
      <c r="E1002" s="1" t="s">
        <v>2154</v>
      </c>
      <c r="F1002" s="1" t="s">
        <v>15</v>
      </c>
      <c r="G1002" s="1" t="s">
        <v>32</v>
      </c>
      <c r="H1002">
        <v>133</v>
      </c>
      <c r="I1002">
        <v>94</v>
      </c>
      <c r="J1002">
        <v>233</v>
      </c>
      <c r="K1002" s="1" t="s">
        <v>90</v>
      </c>
      <c r="L1002" s="1" t="s">
        <v>24</v>
      </c>
      <c r="M1002" s="1" t="s">
        <v>2128</v>
      </c>
      <c r="N1002" s="1" t="s">
        <v>2155</v>
      </c>
    </row>
    <row r="1003" spans="1:14" x14ac:dyDescent="0.35">
      <c r="A1003">
        <v>3302229</v>
      </c>
      <c r="B1003" s="1" t="s">
        <v>2117</v>
      </c>
      <c r="C1003">
        <v>38565</v>
      </c>
      <c r="D1003">
        <v>1123</v>
      </c>
      <c r="E1003" s="1" t="s">
        <v>2156</v>
      </c>
      <c r="F1003" s="1" t="s">
        <v>15</v>
      </c>
      <c r="G1003" s="1" t="s">
        <v>32</v>
      </c>
      <c r="H1003">
        <v>115</v>
      </c>
      <c r="I1003">
        <v>65</v>
      </c>
      <c r="J1003">
        <v>319</v>
      </c>
      <c r="K1003" s="1" t="s">
        <v>23</v>
      </c>
      <c r="L1003" s="1" t="s">
        <v>24</v>
      </c>
      <c r="M1003" s="1" t="s">
        <v>2128</v>
      </c>
      <c r="N1003" s="1" t="s">
        <v>2157</v>
      </c>
    </row>
    <row r="1004" spans="1:14" x14ac:dyDescent="0.35">
      <c r="A1004">
        <v>3302030</v>
      </c>
      <c r="B1004" s="1" t="s">
        <v>2117</v>
      </c>
      <c r="C1004">
        <v>38565</v>
      </c>
      <c r="D1004">
        <v>1123</v>
      </c>
      <c r="E1004" s="1" t="s">
        <v>2158</v>
      </c>
      <c r="F1004" s="1" t="s">
        <v>15</v>
      </c>
      <c r="G1004" s="1" t="s">
        <v>32</v>
      </c>
      <c r="H1004">
        <v>154</v>
      </c>
      <c r="I1004">
        <v>88</v>
      </c>
      <c r="J1004">
        <v>30</v>
      </c>
      <c r="K1004" s="1" t="s">
        <v>27</v>
      </c>
      <c r="L1004" s="1" t="s">
        <v>120</v>
      </c>
      <c r="M1004" s="1" t="s">
        <v>2128</v>
      </c>
      <c r="N1004" s="1" t="s">
        <v>2159</v>
      </c>
    </row>
    <row r="1005" spans="1:14" x14ac:dyDescent="0.35">
      <c r="A1005">
        <v>3302132</v>
      </c>
      <c r="B1005" s="1" t="s">
        <v>2117</v>
      </c>
      <c r="C1005">
        <v>38565</v>
      </c>
      <c r="D1005">
        <v>1123</v>
      </c>
      <c r="E1005" s="1" t="s">
        <v>2160</v>
      </c>
      <c r="F1005" s="1" t="s">
        <v>15</v>
      </c>
      <c r="G1005" s="1" t="s">
        <v>32</v>
      </c>
      <c r="H1005">
        <v>120</v>
      </c>
      <c r="I1005">
        <v>94</v>
      </c>
      <c r="J1005">
        <v>149</v>
      </c>
      <c r="K1005" s="1" t="s">
        <v>444</v>
      </c>
      <c r="L1005" s="1" t="s">
        <v>24</v>
      </c>
      <c r="M1005" s="1" t="s">
        <v>2128</v>
      </c>
      <c r="N1005" s="1" t="s">
        <v>2161</v>
      </c>
    </row>
    <row r="1006" spans="1:14" x14ac:dyDescent="0.35">
      <c r="A1006">
        <v>3302165</v>
      </c>
      <c r="B1006" s="1" t="s">
        <v>2117</v>
      </c>
      <c r="C1006">
        <v>38565</v>
      </c>
      <c r="D1006">
        <v>1123</v>
      </c>
      <c r="E1006" s="1" t="s">
        <v>2162</v>
      </c>
      <c r="F1006" s="1" t="s">
        <v>15</v>
      </c>
      <c r="G1006" s="1" t="s">
        <v>32</v>
      </c>
      <c r="H1006">
        <v>117</v>
      </c>
      <c r="I1006">
        <v>67</v>
      </c>
      <c r="J1006">
        <v>379</v>
      </c>
      <c r="K1006" s="1" t="s">
        <v>84</v>
      </c>
      <c r="L1006" s="1" t="s">
        <v>24</v>
      </c>
      <c r="M1006" s="1" t="s">
        <v>2128</v>
      </c>
      <c r="N1006" s="1" t="s">
        <v>2163</v>
      </c>
    </row>
    <row r="1007" spans="1:14" x14ac:dyDescent="0.35">
      <c r="A1007">
        <v>3302041</v>
      </c>
      <c r="B1007" s="1" t="s">
        <v>2117</v>
      </c>
      <c r="C1007">
        <v>38565</v>
      </c>
      <c r="D1007">
        <v>1123</v>
      </c>
      <c r="E1007" s="1" t="s">
        <v>2164</v>
      </c>
      <c r="F1007" s="1" t="s">
        <v>15</v>
      </c>
      <c r="G1007" s="1" t="s">
        <v>32</v>
      </c>
      <c r="H1007">
        <v>110</v>
      </c>
      <c r="I1007">
        <v>33</v>
      </c>
      <c r="J1007">
        <v>332</v>
      </c>
      <c r="K1007" s="1" t="s">
        <v>572</v>
      </c>
      <c r="L1007" s="1" t="s">
        <v>24</v>
      </c>
      <c r="M1007" s="1" t="s">
        <v>2128</v>
      </c>
      <c r="N1007" s="1" t="s">
        <v>2165</v>
      </c>
    </row>
    <row r="1008" spans="1:14" x14ac:dyDescent="0.35">
      <c r="A1008">
        <v>3302227</v>
      </c>
      <c r="B1008" s="1" t="s">
        <v>2117</v>
      </c>
      <c r="C1008">
        <v>38565</v>
      </c>
      <c r="D1008">
        <v>1123</v>
      </c>
      <c r="E1008" s="1" t="s">
        <v>2166</v>
      </c>
      <c r="F1008" s="1" t="s">
        <v>15</v>
      </c>
      <c r="G1008" s="1" t="s">
        <v>22</v>
      </c>
      <c r="H1008">
        <v>70</v>
      </c>
      <c r="I1008">
        <v>31</v>
      </c>
      <c r="J1008">
        <v>90</v>
      </c>
      <c r="K1008" s="1" t="s">
        <v>23</v>
      </c>
      <c r="L1008" s="1" t="s">
        <v>24</v>
      </c>
      <c r="M1008" s="1" t="s">
        <v>2128</v>
      </c>
      <c r="N1008" s="1" t="s">
        <v>2167</v>
      </c>
    </row>
    <row r="1009" spans="1:14" x14ac:dyDescent="0.35">
      <c r="A1009">
        <v>3302180</v>
      </c>
      <c r="B1009" s="1" t="s">
        <v>2117</v>
      </c>
      <c r="C1009">
        <v>38565</v>
      </c>
      <c r="D1009">
        <v>1123</v>
      </c>
      <c r="E1009" s="1" t="s">
        <v>2168</v>
      </c>
      <c r="F1009" s="1" t="s">
        <v>15</v>
      </c>
      <c r="G1009" s="1" t="s">
        <v>22</v>
      </c>
      <c r="H1009">
        <v>47</v>
      </c>
      <c r="I1009">
        <v>23</v>
      </c>
      <c r="J1009">
        <v>207</v>
      </c>
      <c r="K1009" s="1" t="s">
        <v>84</v>
      </c>
      <c r="L1009" s="1" t="s">
        <v>24</v>
      </c>
      <c r="M1009" s="1" t="s">
        <v>2128</v>
      </c>
      <c r="N1009" s="1" t="s">
        <v>2169</v>
      </c>
    </row>
    <row r="1010" spans="1:14" x14ac:dyDescent="0.35">
      <c r="A1010">
        <v>3302143</v>
      </c>
      <c r="B1010" s="1" t="s">
        <v>2117</v>
      </c>
      <c r="C1010">
        <v>38565</v>
      </c>
      <c r="D1010">
        <v>1123</v>
      </c>
      <c r="E1010" s="1" t="s">
        <v>2170</v>
      </c>
      <c r="F1010" s="1" t="s">
        <v>15</v>
      </c>
      <c r="G1010" s="1" t="s">
        <v>22</v>
      </c>
      <c r="H1010">
        <v>55</v>
      </c>
      <c r="I1010">
        <v>23</v>
      </c>
      <c r="J1010">
        <v>68</v>
      </c>
      <c r="K1010" s="1" t="s">
        <v>23</v>
      </c>
      <c r="L1010" s="1" t="s">
        <v>24</v>
      </c>
      <c r="M1010" s="1" t="s">
        <v>2128</v>
      </c>
      <c r="N1010" s="1" t="s">
        <v>2171</v>
      </c>
    </row>
    <row r="1011" spans="1:14" x14ac:dyDescent="0.35">
      <c r="A1011">
        <v>3302121</v>
      </c>
      <c r="B1011" s="1" t="s">
        <v>2117</v>
      </c>
      <c r="C1011">
        <v>38565</v>
      </c>
      <c r="D1011">
        <v>1123</v>
      </c>
      <c r="E1011" s="1" t="s">
        <v>2172</v>
      </c>
      <c r="F1011" s="1" t="s">
        <v>15</v>
      </c>
      <c r="G1011" s="1" t="s">
        <v>22</v>
      </c>
      <c r="H1011">
        <v>97</v>
      </c>
      <c r="I1011">
        <v>31</v>
      </c>
      <c r="J1011">
        <v>47</v>
      </c>
      <c r="K1011" s="1" t="s">
        <v>84</v>
      </c>
      <c r="L1011" s="1" t="s">
        <v>24</v>
      </c>
      <c r="M1011" s="1" t="s">
        <v>2128</v>
      </c>
      <c r="N1011" s="1" t="s">
        <v>2173</v>
      </c>
    </row>
    <row r="1012" spans="1:14" x14ac:dyDescent="0.35">
      <c r="A1012">
        <v>3302074</v>
      </c>
      <c r="B1012" s="1" t="s">
        <v>2117</v>
      </c>
      <c r="C1012">
        <v>38565</v>
      </c>
      <c r="D1012">
        <v>1123</v>
      </c>
      <c r="E1012" s="1" t="s">
        <v>2174</v>
      </c>
      <c r="F1012" s="1" t="s">
        <v>15</v>
      </c>
      <c r="G1012" s="1" t="s">
        <v>22</v>
      </c>
      <c r="H1012">
        <v>115</v>
      </c>
      <c r="I1012">
        <v>74</v>
      </c>
      <c r="J1012">
        <v>62</v>
      </c>
      <c r="K1012" s="1" t="s">
        <v>90</v>
      </c>
      <c r="L1012" s="1" t="s">
        <v>24</v>
      </c>
      <c r="M1012" s="1" t="s">
        <v>2128</v>
      </c>
      <c r="N1012" s="1" t="s">
        <v>2175</v>
      </c>
    </row>
    <row r="1013" spans="1:14" x14ac:dyDescent="0.35">
      <c r="A1013">
        <v>3302154</v>
      </c>
      <c r="B1013" s="1" t="s">
        <v>2117</v>
      </c>
      <c r="C1013">
        <v>38565</v>
      </c>
      <c r="D1013">
        <v>1123</v>
      </c>
      <c r="E1013" s="1" t="s">
        <v>292</v>
      </c>
      <c r="F1013" s="1" t="s">
        <v>15</v>
      </c>
      <c r="G1013" s="1" t="s">
        <v>22</v>
      </c>
      <c r="H1013">
        <v>55</v>
      </c>
      <c r="I1013">
        <v>27</v>
      </c>
      <c r="J1013">
        <v>95</v>
      </c>
      <c r="K1013" s="1" t="s">
        <v>84</v>
      </c>
      <c r="L1013" s="1" t="s">
        <v>24</v>
      </c>
      <c r="M1013" s="1" t="s">
        <v>2128</v>
      </c>
      <c r="N1013" s="1" t="s">
        <v>2176</v>
      </c>
    </row>
    <row r="1014" spans="1:14" x14ac:dyDescent="0.35">
      <c r="A1014">
        <v>3325039</v>
      </c>
      <c r="B1014" s="1" t="s">
        <v>2117</v>
      </c>
      <c r="C1014">
        <v>38565</v>
      </c>
      <c r="D1014">
        <v>1123</v>
      </c>
      <c r="E1014" s="1" t="s">
        <v>2177</v>
      </c>
      <c r="F1014" s="1" t="s">
        <v>15</v>
      </c>
      <c r="G1014" s="1" t="s">
        <v>32</v>
      </c>
      <c r="H1014">
        <v>102</v>
      </c>
      <c r="I1014">
        <v>30</v>
      </c>
      <c r="J1014">
        <v>145</v>
      </c>
      <c r="K1014" s="1" t="s">
        <v>17</v>
      </c>
      <c r="L1014" s="1" t="s">
        <v>18</v>
      </c>
      <c r="M1014" s="1" t="s">
        <v>2178</v>
      </c>
      <c r="N1014" s="1" t="s">
        <v>2179</v>
      </c>
    </row>
    <row r="1015" spans="1:14" x14ac:dyDescent="0.35">
      <c r="A1015">
        <v>3325015</v>
      </c>
      <c r="B1015" s="1" t="s">
        <v>2117</v>
      </c>
      <c r="C1015">
        <v>38565</v>
      </c>
      <c r="D1015">
        <v>1123</v>
      </c>
      <c r="E1015" s="1" t="s">
        <v>2180</v>
      </c>
      <c r="F1015" s="1" t="s">
        <v>15</v>
      </c>
      <c r="G1015" s="1" t="s">
        <v>32</v>
      </c>
      <c r="H1015">
        <v>242</v>
      </c>
      <c r="I1015">
        <v>62</v>
      </c>
      <c r="J1015">
        <v>641</v>
      </c>
      <c r="K1015" s="1" t="s">
        <v>17</v>
      </c>
      <c r="L1015" s="1" t="s">
        <v>18</v>
      </c>
      <c r="M1015" s="1" t="s">
        <v>2178</v>
      </c>
      <c r="N1015" s="1" t="s">
        <v>2181</v>
      </c>
    </row>
    <row r="1016" spans="1:14" x14ac:dyDescent="0.35">
      <c r="A1016">
        <v>3325037</v>
      </c>
      <c r="B1016" s="1" t="s">
        <v>2117</v>
      </c>
      <c r="C1016">
        <v>38565</v>
      </c>
      <c r="D1016">
        <v>1123</v>
      </c>
      <c r="E1016" s="1" t="s">
        <v>2182</v>
      </c>
      <c r="F1016" s="1" t="s">
        <v>15</v>
      </c>
      <c r="G1016" s="1" t="s">
        <v>32</v>
      </c>
      <c r="H1016">
        <v>192</v>
      </c>
      <c r="I1016">
        <v>49</v>
      </c>
      <c r="J1016">
        <v>484</v>
      </c>
      <c r="K1016" s="1" t="s">
        <v>23</v>
      </c>
      <c r="L1016" s="1" t="s">
        <v>24</v>
      </c>
      <c r="M1016" s="1" t="s">
        <v>2178</v>
      </c>
      <c r="N1016" s="1" t="s">
        <v>2183</v>
      </c>
    </row>
    <row r="1017" spans="1:14" x14ac:dyDescent="0.35">
      <c r="A1017">
        <v>3316076</v>
      </c>
      <c r="B1017" s="1" t="s">
        <v>2117</v>
      </c>
      <c r="C1017">
        <v>38565</v>
      </c>
      <c r="D1017">
        <v>1123</v>
      </c>
      <c r="E1017" s="1" t="s">
        <v>2184</v>
      </c>
      <c r="F1017" s="1" t="s">
        <v>71</v>
      </c>
      <c r="G1017" s="1" t="s">
        <v>32</v>
      </c>
      <c r="H1017">
        <v>34</v>
      </c>
      <c r="I1017">
        <v>22</v>
      </c>
      <c r="K1017" s="1" t="s">
        <v>90</v>
      </c>
      <c r="L1017" s="1" t="s">
        <v>24</v>
      </c>
      <c r="M1017" s="1" t="s">
        <v>2185</v>
      </c>
      <c r="N1017" s="1" t="s">
        <v>2186</v>
      </c>
    </row>
    <row r="1018" spans="1:14" x14ac:dyDescent="0.35">
      <c r="A1018">
        <v>3316074</v>
      </c>
      <c r="B1018" s="1" t="s">
        <v>2117</v>
      </c>
      <c r="C1018">
        <v>38565</v>
      </c>
      <c r="D1018">
        <v>1123</v>
      </c>
      <c r="E1018" s="1" t="s">
        <v>2187</v>
      </c>
      <c r="F1018" s="1" t="s">
        <v>71</v>
      </c>
      <c r="G1018" s="1" t="s">
        <v>32</v>
      </c>
      <c r="H1018">
        <v>33</v>
      </c>
      <c r="I1018">
        <v>20</v>
      </c>
      <c r="K1018" s="1" t="s">
        <v>90</v>
      </c>
      <c r="L1018" s="1" t="s">
        <v>24</v>
      </c>
      <c r="M1018" s="1" t="s">
        <v>2185</v>
      </c>
      <c r="N1018" s="1" t="s">
        <v>2188</v>
      </c>
    </row>
    <row r="1019" spans="1:14" x14ac:dyDescent="0.35">
      <c r="A1019">
        <v>3316025</v>
      </c>
      <c r="B1019" s="1" t="s">
        <v>2117</v>
      </c>
      <c r="C1019">
        <v>38565</v>
      </c>
      <c r="D1019">
        <v>1123</v>
      </c>
      <c r="E1019" s="1" t="s">
        <v>2189</v>
      </c>
      <c r="F1019" s="1" t="s">
        <v>15</v>
      </c>
      <c r="G1019" s="1" t="s">
        <v>32</v>
      </c>
      <c r="H1019">
        <v>265</v>
      </c>
      <c r="I1019">
        <v>38</v>
      </c>
      <c r="J1019">
        <v>446</v>
      </c>
      <c r="K1019" s="1" t="s">
        <v>17</v>
      </c>
      <c r="L1019" s="1" t="s">
        <v>18</v>
      </c>
      <c r="M1019" s="1" t="s">
        <v>2185</v>
      </c>
      <c r="N1019" s="1" t="s">
        <v>2190</v>
      </c>
    </row>
    <row r="1020" spans="1:14" x14ac:dyDescent="0.35">
      <c r="A1020">
        <v>3316051</v>
      </c>
      <c r="B1020" s="1" t="s">
        <v>2117</v>
      </c>
      <c r="C1020">
        <v>38565</v>
      </c>
      <c r="D1020">
        <v>1123</v>
      </c>
      <c r="E1020" s="1" t="s">
        <v>2191</v>
      </c>
      <c r="F1020" s="1" t="s">
        <v>15</v>
      </c>
      <c r="G1020" s="1" t="s">
        <v>32</v>
      </c>
      <c r="H1020">
        <v>141</v>
      </c>
      <c r="I1020">
        <v>37</v>
      </c>
      <c r="J1020">
        <v>328</v>
      </c>
      <c r="K1020" s="1" t="s">
        <v>84</v>
      </c>
      <c r="L1020" s="1" t="s">
        <v>24</v>
      </c>
      <c r="M1020" s="1" t="s">
        <v>2185</v>
      </c>
      <c r="N1020" s="1" t="s">
        <v>2192</v>
      </c>
    </row>
    <row r="1021" spans="1:14" x14ac:dyDescent="0.35">
      <c r="A1021">
        <v>3316014</v>
      </c>
      <c r="B1021" s="1" t="s">
        <v>2117</v>
      </c>
      <c r="C1021">
        <v>38565</v>
      </c>
      <c r="D1021">
        <v>1123</v>
      </c>
      <c r="E1021" s="1" t="s">
        <v>2193</v>
      </c>
      <c r="F1021" s="1" t="s">
        <v>15</v>
      </c>
      <c r="G1021" s="1" t="s">
        <v>32</v>
      </c>
      <c r="H1021">
        <v>222</v>
      </c>
      <c r="I1021">
        <v>68</v>
      </c>
      <c r="J1021">
        <v>298</v>
      </c>
      <c r="K1021" s="1" t="s">
        <v>17</v>
      </c>
      <c r="L1021" s="1" t="s">
        <v>18</v>
      </c>
      <c r="M1021" s="1" t="s">
        <v>2185</v>
      </c>
      <c r="N1021" s="1" t="s">
        <v>2194</v>
      </c>
    </row>
    <row r="1022" spans="1:14" x14ac:dyDescent="0.35">
      <c r="A1022">
        <v>3316077</v>
      </c>
      <c r="B1022" s="1" t="s">
        <v>2117</v>
      </c>
      <c r="C1022">
        <v>38565</v>
      </c>
      <c r="D1022">
        <v>1123</v>
      </c>
      <c r="E1022" s="1" t="s">
        <v>2195</v>
      </c>
      <c r="F1022" s="1" t="s">
        <v>15</v>
      </c>
      <c r="G1022" s="1" t="s">
        <v>22</v>
      </c>
      <c r="H1022">
        <v>48</v>
      </c>
      <c r="I1022">
        <v>16</v>
      </c>
      <c r="K1022" s="1" t="s">
        <v>146</v>
      </c>
      <c r="L1022" s="1" t="s">
        <v>24</v>
      </c>
      <c r="M1022" s="1" t="s">
        <v>2185</v>
      </c>
      <c r="N1022" s="1" t="s">
        <v>2196</v>
      </c>
    </row>
    <row r="1023" spans="1:14" x14ac:dyDescent="0.35">
      <c r="A1023">
        <v>3316040</v>
      </c>
      <c r="B1023" s="1" t="s">
        <v>2117</v>
      </c>
      <c r="C1023">
        <v>38565</v>
      </c>
      <c r="D1023">
        <v>1123</v>
      </c>
      <c r="E1023" s="1" t="s">
        <v>2197</v>
      </c>
      <c r="F1023" s="1" t="s">
        <v>15</v>
      </c>
      <c r="G1023" s="1" t="s">
        <v>22</v>
      </c>
      <c r="H1023">
        <v>69</v>
      </c>
      <c r="I1023">
        <v>21</v>
      </c>
      <c r="J1023">
        <v>22</v>
      </c>
      <c r="K1023" s="1" t="s">
        <v>84</v>
      </c>
      <c r="L1023" s="1" t="s">
        <v>24</v>
      </c>
      <c r="M1023" s="1" t="s">
        <v>2185</v>
      </c>
      <c r="N1023" s="1" t="s">
        <v>2198</v>
      </c>
    </row>
    <row r="1024" spans="1:14" x14ac:dyDescent="0.35">
      <c r="A1024">
        <v>3316063</v>
      </c>
      <c r="B1024" s="1" t="s">
        <v>2117</v>
      </c>
      <c r="C1024">
        <v>38565</v>
      </c>
      <c r="D1024">
        <v>1123</v>
      </c>
      <c r="E1024" s="1" t="s">
        <v>2199</v>
      </c>
      <c r="F1024" s="1" t="s">
        <v>15</v>
      </c>
      <c r="G1024" s="1" t="s">
        <v>22</v>
      </c>
      <c r="H1024">
        <v>86</v>
      </c>
      <c r="I1024">
        <v>20</v>
      </c>
      <c r="J1024">
        <v>133</v>
      </c>
      <c r="K1024" s="1" t="s">
        <v>23</v>
      </c>
      <c r="L1024" s="1" t="s">
        <v>24</v>
      </c>
      <c r="M1024" s="1" t="s">
        <v>2185</v>
      </c>
      <c r="N1024" s="1" t="s">
        <v>2200</v>
      </c>
    </row>
    <row r="1025" spans="1:14" x14ac:dyDescent="0.35">
      <c r="A1025">
        <v>3316075</v>
      </c>
      <c r="B1025" s="1" t="s">
        <v>2117</v>
      </c>
      <c r="C1025">
        <v>38565</v>
      </c>
      <c r="D1025">
        <v>1123</v>
      </c>
      <c r="E1025" s="1" t="s">
        <v>2201</v>
      </c>
      <c r="F1025" s="1" t="s">
        <v>15</v>
      </c>
      <c r="G1025" s="1" t="s">
        <v>22</v>
      </c>
      <c r="H1025">
        <v>50</v>
      </c>
      <c r="I1025">
        <v>22</v>
      </c>
      <c r="K1025" s="1" t="s">
        <v>17</v>
      </c>
      <c r="L1025" s="1" t="s">
        <v>18</v>
      </c>
      <c r="M1025" s="1" t="s">
        <v>2185</v>
      </c>
      <c r="N1025" s="1" t="s">
        <v>2202</v>
      </c>
    </row>
    <row r="1026" spans="1:14" x14ac:dyDescent="0.35">
      <c r="A1026">
        <v>3316062</v>
      </c>
      <c r="B1026" s="1" t="s">
        <v>2117</v>
      </c>
      <c r="C1026">
        <v>38565</v>
      </c>
      <c r="D1026">
        <v>1123</v>
      </c>
      <c r="E1026" s="1" t="s">
        <v>2203</v>
      </c>
      <c r="F1026" s="1" t="s">
        <v>15</v>
      </c>
      <c r="G1026" s="1" t="s">
        <v>22</v>
      </c>
      <c r="H1026">
        <v>81</v>
      </c>
      <c r="I1026">
        <v>17</v>
      </c>
      <c r="J1026">
        <v>108</v>
      </c>
      <c r="K1026" s="1" t="s">
        <v>27</v>
      </c>
      <c r="L1026" s="1" t="s">
        <v>24</v>
      </c>
      <c r="M1026" s="1" t="s">
        <v>2185</v>
      </c>
      <c r="N1026" s="1" t="s">
        <v>2204</v>
      </c>
    </row>
    <row r="1027" spans="1:14" x14ac:dyDescent="0.35">
      <c r="A1027">
        <v>3309015</v>
      </c>
      <c r="B1027" s="1" t="s">
        <v>2117</v>
      </c>
      <c r="C1027">
        <v>38565</v>
      </c>
      <c r="D1027">
        <v>1123</v>
      </c>
      <c r="E1027" s="1" t="s">
        <v>2205</v>
      </c>
      <c r="F1027" s="1" t="s">
        <v>15</v>
      </c>
      <c r="G1027" s="1" t="s">
        <v>16</v>
      </c>
      <c r="H1027">
        <v>260</v>
      </c>
      <c r="I1027">
        <v>88</v>
      </c>
      <c r="J1027">
        <v>689</v>
      </c>
      <c r="K1027" s="1" t="s">
        <v>17</v>
      </c>
      <c r="L1027" s="1" t="s">
        <v>18</v>
      </c>
      <c r="M1027" s="1" t="s">
        <v>2206</v>
      </c>
      <c r="N1027" s="1" t="s">
        <v>2207</v>
      </c>
    </row>
    <row r="1028" spans="1:14" x14ac:dyDescent="0.35">
      <c r="A1028">
        <v>3309136</v>
      </c>
      <c r="B1028" s="1" t="s">
        <v>2117</v>
      </c>
      <c r="C1028">
        <v>38565</v>
      </c>
      <c r="D1028">
        <v>1123</v>
      </c>
      <c r="E1028" s="1" t="s">
        <v>2208</v>
      </c>
      <c r="F1028" s="1" t="s">
        <v>15</v>
      </c>
      <c r="G1028" s="1" t="s">
        <v>32</v>
      </c>
      <c r="H1028">
        <v>102</v>
      </c>
      <c r="I1028">
        <v>34</v>
      </c>
      <c r="J1028">
        <v>63</v>
      </c>
      <c r="K1028" s="1" t="s">
        <v>23</v>
      </c>
      <c r="L1028" s="1" t="s">
        <v>24</v>
      </c>
      <c r="M1028" s="1" t="s">
        <v>2206</v>
      </c>
      <c r="N1028" s="1" t="s">
        <v>2209</v>
      </c>
    </row>
    <row r="1029" spans="1:14" x14ac:dyDescent="0.35">
      <c r="A1029">
        <v>3309096</v>
      </c>
      <c r="B1029" s="1" t="s">
        <v>2117</v>
      </c>
      <c r="C1029">
        <v>38565</v>
      </c>
      <c r="D1029">
        <v>1123</v>
      </c>
      <c r="E1029" s="1" t="s">
        <v>2210</v>
      </c>
      <c r="F1029" s="1" t="s">
        <v>15</v>
      </c>
      <c r="G1029" s="1" t="s">
        <v>32</v>
      </c>
      <c r="H1029">
        <v>104</v>
      </c>
      <c r="I1029">
        <v>66</v>
      </c>
      <c r="J1029">
        <v>257</v>
      </c>
      <c r="K1029" s="1" t="s">
        <v>17</v>
      </c>
      <c r="L1029" s="1" t="s">
        <v>18</v>
      </c>
      <c r="M1029" s="1" t="s">
        <v>2206</v>
      </c>
      <c r="N1029" s="1" t="s">
        <v>2211</v>
      </c>
    </row>
    <row r="1030" spans="1:14" x14ac:dyDescent="0.35">
      <c r="A1030">
        <v>3309131</v>
      </c>
      <c r="B1030" s="1" t="s">
        <v>2117</v>
      </c>
      <c r="C1030">
        <v>38565</v>
      </c>
      <c r="D1030">
        <v>1123</v>
      </c>
      <c r="E1030" s="1" t="s">
        <v>2212</v>
      </c>
      <c r="F1030" s="1" t="s">
        <v>15</v>
      </c>
      <c r="G1030" s="1" t="s">
        <v>32</v>
      </c>
      <c r="H1030">
        <v>122</v>
      </c>
      <c r="I1030">
        <v>34</v>
      </c>
      <c r="J1030">
        <v>231</v>
      </c>
      <c r="K1030" s="1" t="s">
        <v>23</v>
      </c>
      <c r="L1030" s="1" t="s">
        <v>24</v>
      </c>
      <c r="M1030" s="1" t="s">
        <v>2206</v>
      </c>
      <c r="N1030" s="1" t="s">
        <v>2213</v>
      </c>
    </row>
    <row r="1031" spans="1:14" x14ac:dyDescent="0.35">
      <c r="A1031">
        <v>3309063</v>
      </c>
      <c r="B1031" s="1" t="s">
        <v>2117</v>
      </c>
      <c r="C1031">
        <v>38565</v>
      </c>
      <c r="D1031">
        <v>1123</v>
      </c>
      <c r="E1031" s="1" t="s">
        <v>2214</v>
      </c>
      <c r="F1031" s="1" t="s">
        <v>15</v>
      </c>
      <c r="G1031" s="1" t="s">
        <v>32</v>
      </c>
      <c r="H1031">
        <v>109</v>
      </c>
      <c r="I1031">
        <v>53</v>
      </c>
      <c r="J1031">
        <v>109</v>
      </c>
      <c r="K1031" s="1" t="s">
        <v>444</v>
      </c>
      <c r="L1031" s="1" t="s">
        <v>24</v>
      </c>
      <c r="M1031" s="1" t="s">
        <v>2206</v>
      </c>
      <c r="N1031" s="1" t="s">
        <v>2215</v>
      </c>
    </row>
    <row r="1032" spans="1:14" x14ac:dyDescent="0.35">
      <c r="A1032">
        <v>3309085</v>
      </c>
      <c r="B1032" s="1" t="s">
        <v>2117</v>
      </c>
      <c r="C1032">
        <v>38565</v>
      </c>
      <c r="D1032">
        <v>1123</v>
      </c>
      <c r="E1032" s="1" t="s">
        <v>2216</v>
      </c>
      <c r="F1032" s="1" t="s">
        <v>15</v>
      </c>
      <c r="G1032" s="1" t="s">
        <v>22</v>
      </c>
      <c r="H1032">
        <v>85</v>
      </c>
      <c r="I1032">
        <v>34</v>
      </c>
      <c r="J1032">
        <v>294</v>
      </c>
      <c r="K1032" s="1" t="s">
        <v>23</v>
      </c>
      <c r="L1032" s="1" t="s">
        <v>24</v>
      </c>
      <c r="M1032" s="1" t="s">
        <v>2206</v>
      </c>
      <c r="N1032" s="1" t="s">
        <v>2217</v>
      </c>
    </row>
    <row r="1033" spans="1:14" x14ac:dyDescent="0.35">
      <c r="A1033">
        <v>3309149</v>
      </c>
      <c r="B1033" s="1" t="s">
        <v>2117</v>
      </c>
      <c r="C1033">
        <v>38565</v>
      </c>
      <c r="D1033">
        <v>1123</v>
      </c>
      <c r="E1033" s="1" t="s">
        <v>2218</v>
      </c>
      <c r="F1033" s="1" t="s">
        <v>15</v>
      </c>
      <c r="G1033" s="1" t="s">
        <v>22</v>
      </c>
      <c r="H1033">
        <v>50</v>
      </c>
      <c r="I1033">
        <v>22</v>
      </c>
      <c r="K1033" s="1" t="s">
        <v>444</v>
      </c>
      <c r="L1033" s="1" t="s">
        <v>24</v>
      </c>
      <c r="M1033" s="1" t="s">
        <v>2206</v>
      </c>
      <c r="N1033" s="1" t="s">
        <v>2219</v>
      </c>
    </row>
    <row r="1034" spans="1:14" x14ac:dyDescent="0.35">
      <c r="A1034">
        <v>3309132</v>
      </c>
      <c r="B1034" s="1" t="s">
        <v>2117</v>
      </c>
      <c r="C1034">
        <v>38565</v>
      </c>
      <c r="D1034">
        <v>1123</v>
      </c>
      <c r="E1034" s="1" t="s">
        <v>2220</v>
      </c>
      <c r="F1034" s="1" t="s">
        <v>15</v>
      </c>
      <c r="G1034" s="1" t="s">
        <v>22</v>
      </c>
      <c r="H1034">
        <v>51</v>
      </c>
      <c r="I1034">
        <v>24</v>
      </c>
      <c r="J1034">
        <v>68</v>
      </c>
      <c r="K1034" s="1" t="s">
        <v>23</v>
      </c>
      <c r="L1034" s="1" t="s">
        <v>24</v>
      </c>
      <c r="M1034" s="1" t="s">
        <v>2206</v>
      </c>
      <c r="N1034" s="1" t="s">
        <v>2221</v>
      </c>
    </row>
    <row r="1035" spans="1:14" x14ac:dyDescent="0.35">
      <c r="A1035">
        <v>3309107</v>
      </c>
      <c r="B1035" s="1" t="s">
        <v>2117</v>
      </c>
      <c r="C1035">
        <v>38565</v>
      </c>
      <c r="D1035">
        <v>1123</v>
      </c>
      <c r="E1035" s="1" t="s">
        <v>2222</v>
      </c>
      <c r="F1035" s="1" t="s">
        <v>15</v>
      </c>
      <c r="G1035" s="1" t="s">
        <v>22</v>
      </c>
      <c r="H1035">
        <v>127</v>
      </c>
      <c r="I1035">
        <v>28</v>
      </c>
      <c r="J1035">
        <v>218</v>
      </c>
      <c r="K1035" s="1" t="s">
        <v>17</v>
      </c>
      <c r="L1035" s="1" t="s">
        <v>18</v>
      </c>
      <c r="M1035" s="1" t="s">
        <v>2206</v>
      </c>
      <c r="N1035" s="1" t="s">
        <v>2223</v>
      </c>
    </row>
    <row r="1036" spans="1:14" x14ac:dyDescent="0.35">
      <c r="A1036">
        <v>3309135</v>
      </c>
      <c r="B1036" s="1" t="s">
        <v>2117</v>
      </c>
      <c r="C1036">
        <v>38565</v>
      </c>
      <c r="D1036">
        <v>1123</v>
      </c>
      <c r="E1036" s="1" t="s">
        <v>2224</v>
      </c>
      <c r="F1036" s="1" t="s">
        <v>15</v>
      </c>
      <c r="G1036" s="1" t="s">
        <v>22</v>
      </c>
      <c r="H1036">
        <v>101</v>
      </c>
      <c r="I1036">
        <v>34</v>
      </c>
      <c r="J1036">
        <v>191</v>
      </c>
      <c r="K1036" s="1" t="s">
        <v>23</v>
      </c>
      <c r="L1036" s="1" t="s">
        <v>24</v>
      </c>
      <c r="M1036" s="1" t="s">
        <v>2206</v>
      </c>
      <c r="N1036" s="1" t="s">
        <v>2225</v>
      </c>
    </row>
    <row r="1037" spans="1:14" x14ac:dyDescent="0.35">
      <c r="A1037">
        <v>3309129</v>
      </c>
      <c r="B1037" s="1" t="s">
        <v>2117</v>
      </c>
      <c r="C1037">
        <v>38565</v>
      </c>
      <c r="D1037">
        <v>1123</v>
      </c>
      <c r="E1037" s="1" t="s">
        <v>2226</v>
      </c>
      <c r="F1037" s="1" t="s">
        <v>15</v>
      </c>
      <c r="G1037" s="1" t="s">
        <v>22</v>
      </c>
      <c r="H1037">
        <v>118</v>
      </c>
      <c r="I1037">
        <v>24</v>
      </c>
      <c r="J1037">
        <v>124</v>
      </c>
      <c r="K1037" s="1" t="s">
        <v>23</v>
      </c>
      <c r="L1037" s="1" t="s">
        <v>24</v>
      </c>
      <c r="M1037" s="1" t="s">
        <v>2206</v>
      </c>
      <c r="N1037" s="1" t="s">
        <v>2227</v>
      </c>
    </row>
    <row r="1038" spans="1:14" x14ac:dyDescent="0.35">
      <c r="A1038">
        <v>3309128</v>
      </c>
      <c r="B1038" s="1" t="s">
        <v>2117</v>
      </c>
      <c r="C1038">
        <v>38565</v>
      </c>
      <c r="D1038">
        <v>1123</v>
      </c>
      <c r="E1038" s="1" t="s">
        <v>2228</v>
      </c>
      <c r="F1038" s="1" t="s">
        <v>15</v>
      </c>
      <c r="G1038" s="1" t="s">
        <v>22</v>
      </c>
      <c r="H1038">
        <v>80</v>
      </c>
      <c r="I1038">
        <v>39</v>
      </c>
      <c r="J1038">
        <v>236</v>
      </c>
      <c r="K1038" s="1" t="s">
        <v>444</v>
      </c>
      <c r="L1038" s="1" t="s">
        <v>24</v>
      </c>
      <c r="M1038" s="1" t="s">
        <v>2206</v>
      </c>
      <c r="N1038" s="1" t="s">
        <v>2229</v>
      </c>
    </row>
    <row r="1039" spans="1:14" x14ac:dyDescent="0.35">
      <c r="A1039">
        <v>3309074</v>
      </c>
      <c r="B1039" s="1" t="s">
        <v>2117</v>
      </c>
      <c r="C1039">
        <v>38565</v>
      </c>
      <c r="D1039">
        <v>1123</v>
      </c>
      <c r="E1039" s="1" t="s">
        <v>2230</v>
      </c>
      <c r="F1039" s="1" t="s">
        <v>15</v>
      </c>
      <c r="G1039" s="1" t="s">
        <v>22</v>
      </c>
      <c r="H1039">
        <v>101</v>
      </c>
      <c r="I1039">
        <v>41</v>
      </c>
      <c r="J1039">
        <v>171</v>
      </c>
      <c r="K1039" s="1" t="s">
        <v>84</v>
      </c>
      <c r="L1039" s="1" t="s">
        <v>24</v>
      </c>
      <c r="M1039" s="1" t="s">
        <v>2206</v>
      </c>
      <c r="N1039" s="1" t="s">
        <v>2231</v>
      </c>
    </row>
    <row r="1040" spans="1:14" x14ac:dyDescent="0.35">
      <c r="A1040">
        <v>3329126</v>
      </c>
      <c r="B1040" s="1" t="s">
        <v>2117</v>
      </c>
      <c r="C1040">
        <v>38565</v>
      </c>
      <c r="D1040">
        <v>1123</v>
      </c>
      <c r="E1040" s="1" t="s">
        <v>2232</v>
      </c>
      <c r="F1040" s="1" t="s">
        <v>71</v>
      </c>
      <c r="G1040" s="1" t="s">
        <v>32</v>
      </c>
      <c r="H1040">
        <v>25</v>
      </c>
      <c r="I1040">
        <v>26</v>
      </c>
      <c r="K1040" s="1" t="s">
        <v>23</v>
      </c>
      <c r="L1040" s="1" t="s">
        <v>24</v>
      </c>
      <c r="M1040" s="1" t="s">
        <v>2233</v>
      </c>
      <c r="N1040" s="1" t="s">
        <v>2234</v>
      </c>
    </row>
    <row r="1041" spans="1:14" x14ac:dyDescent="0.35">
      <c r="A1041">
        <v>3329105</v>
      </c>
      <c r="B1041" s="1" t="s">
        <v>2117</v>
      </c>
      <c r="C1041">
        <v>38565</v>
      </c>
      <c r="D1041">
        <v>1123</v>
      </c>
      <c r="E1041" s="1" t="s">
        <v>2235</v>
      </c>
      <c r="F1041" s="1" t="s">
        <v>71</v>
      </c>
      <c r="G1041" s="1" t="s">
        <v>32</v>
      </c>
      <c r="H1041">
        <v>50</v>
      </c>
      <c r="I1041">
        <v>30</v>
      </c>
      <c r="J1041">
        <v>89</v>
      </c>
      <c r="K1041" s="1" t="s">
        <v>23</v>
      </c>
      <c r="L1041" s="1" t="s">
        <v>24</v>
      </c>
      <c r="M1041" s="1" t="s">
        <v>2233</v>
      </c>
      <c r="N1041" s="1" t="s">
        <v>2236</v>
      </c>
    </row>
    <row r="1042" spans="1:14" x14ac:dyDescent="0.35">
      <c r="A1042">
        <v>3329012</v>
      </c>
      <c r="B1042" s="1" t="s">
        <v>2117</v>
      </c>
      <c r="C1042">
        <v>38565</v>
      </c>
      <c r="D1042">
        <v>1123</v>
      </c>
      <c r="E1042" s="1" t="s">
        <v>2237</v>
      </c>
      <c r="F1042" s="1" t="s">
        <v>15</v>
      </c>
      <c r="G1042" s="1" t="s">
        <v>16</v>
      </c>
      <c r="H1042">
        <v>340</v>
      </c>
      <c r="I1042">
        <v>84</v>
      </c>
      <c r="J1042">
        <v>803</v>
      </c>
      <c r="K1042" s="1" t="s">
        <v>17</v>
      </c>
      <c r="L1042" s="1" t="s">
        <v>18</v>
      </c>
      <c r="M1042" s="1" t="s">
        <v>2233</v>
      </c>
      <c r="N1042" s="1" t="s">
        <v>2238</v>
      </c>
    </row>
    <row r="1043" spans="1:14" x14ac:dyDescent="0.35">
      <c r="A1043">
        <v>3329056</v>
      </c>
      <c r="B1043" s="1" t="s">
        <v>2117</v>
      </c>
      <c r="C1043">
        <v>38565</v>
      </c>
      <c r="D1043">
        <v>1123</v>
      </c>
      <c r="E1043" s="1" t="s">
        <v>2239</v>
      </c>
      <c r="F1043" s="1" t="s">
        <v>15</v>
      </c>
      <c r="G1043" s="1" t="s">
        <v>32</v>
      </c>
      <c r="H1043">
        <v>175</v>
      </c>
      <c r="I1043">
        <v>60</v>
      </c>
      <c r="J1043">
        <v>262</v>
      </c>
      <c r="K1043" s="1" t="s">
        <v>444</v>
      </c>
      <c r="L1043" s="1" t="s">
        <v>24</v>
      </c>
      <c r="M1043" s="1" t="s">
        <v>2233</v>
      </c>
      <c r="N1043" s="1" t="s">
        <v>2240</v>
      </c>
    </row>
    <row r="1044" spans="1:14" x14ac:dyDescent="0.35">
      <c r="A1044">
        <v>3329108</v>
      </c>
      <c r="B1044" s="1" t="s">
        <v>2117</v>
      </c>
      <c r="C1044">
        <v>38565</v>
      </c>
      <c r="D1044">
        <v>1123</v>
      </c>
      <c r="E1044" s="1" t="s">
        <v>2241</v>
      </c>
      <c r="F1044" s="1" t="s">
        <v>15</v>
      </c>
      <c r="G1044" s="1" t="s">
        <v>32</v>
      </c>
      <c r="H1044">
        <v>132</v>
      </c>
      <c r="I1044">
        <v>92</v>
      </c>
      <c r="J1044">
        <v>159</v>
      </c>
      <c r="K1044" s="1" t="s">
        <v>23</v>
      </c>
      <c r="L1044" s="1" t="s">
        <v>24</v>
      </c>
      <c r="M1044" s="1" t="s">
        <v>2233</v>
      </c>
      <c r="N1044" s="1" t="s">
        <v>2242</v>
      </c>
    </row>
    <row r="1045" spans="1:14" x14ac:dyDescent="0.35">
      <c r="A1045">
        <v>3329102</v>
      </c>
      <c r="B1045" s="1" t="s">
        <v>2117</v>
      </c>
      <c r="C1045">
        <v>38565</v>
      </c>
      <c r="D1045">
        <v>1123</v>
      </c>
      <c r="E1045" s="1" t="s">
        <v>2243</v>
      </c>
      <c r="F1045" s="1" t="s">
        <v>15</v>
      </c>
      <c r="G1045" s="1" t="s">
        <v>32</v>
      </c>
      <c r="H1045">
        <v>116</v>
      </c>
      <c r="I1045">
        <v>32</v>
      </c>
      <c r="J1045">
        <v>265</v>
      </c>
      <c r="K1045" s="1" t="s">
        <v>17</v>
      </c>
      <c r="L1045" s="1" t="s">
        <v>18</v>
      </c>
      <c r="M1045" s="1" t="s">
        <v>2233</v>
      </c>
      <c r="N1045" s="1" t="s">
        <v>2244</v>
      </c>
    </row>
    <row r="1046" spans="1:14" x14ac:dyDescent="0.35">
      <c r="A1046">
        <v>3329103</v>
      </c>
      <c r="B1046" s="1" t="s">
        <v>2117</v>
      </c>
      <c r="C1046">
        <v>38565</v>
      </c>
      <c r="D1046">
        <v>1123</v>
      </c>
      <c r="E1046" s="1" t="s">
        <v>2245</v>
      </c>
      <c r="F1046" s="1" t="s">
        <v>15</v>
      </c>
      <c r="G1046" s="1" t="s">
        <v>32</v>
      </c>
      <c r="H1046">
        <v>172</v>
      </c>
      <c r="I1046">
        <v>110</v>
      </c>
      <c r="J1046">
        <v>161</v>
      </c>
      <c r="K1046" s="1" t="s">
        <v>90</v>
      </c>
      <c r="L1046" s="1" t="s">
        <v>24</v>
      </c>
      <c r="M1046" s="1" t="s">
        <v>2233</v>
      </c>
      <c r="N1046" s="1" t="s">
        <v>2246</v>
      </c>
    </row>
    <row r="1047" spans="1:14" x14ac:dyDescent="0.35">
      <c r="A1047">
        <v>3329114</v>
      </c>
      <c r="B1047" s="1" t="s">
        <v>2117</v>
      </c>
      <c r="C1047">
        <v>38565</v>
      </c>
      <c r="D1047">
        <v>1123</v>
      </c>
      <c r="E1047" s="1" t="s">
        <v>2247</v>
      </c>
      <c r="F1047" s="1" t="s">
        <v>15</v>
      </c>
      <c r="G1047" s="1" t="s">
        <v>32</v>
      </c>
      <c r="H1047">
        <v>102</v>
      </c>
      <c r="I1047">
        <v>15</v>
      </c>
      <c r="J1047">
        <v>54</v>
      </c>
      <c r="K1047" s="1" t="s">
        <v>90</v>
      </c>
      <c r="L1047" s="1" t="s">
        <v>24</v>
      </c>
      <c r="M1047" s="1" t="s">
        <v>2233</v>
      </c>
      <c r="N1047" s="1" t="s">
        <v>2248</v>
      </c>
    </row>
    <row r="1048" spans="1:14" x14ac:dyDescent="0.35">
      <c r="A1048">
        <v>3329078</v>
      </c>
      <c r="B1048" s="1" t="s">
        <v>2117</v>
      </c>
      <c r="C1048">
        <v>38565</v>
      </c>
      <c r="D1048">
        <v>1123</v>
      </c>
      <c r="E1048" s="1" t="s">
        <v>2249</v>
      </c>
      <c r="F1048" s="1" t="s">
        <v>15</v>
      </c>
      <c r="G1048" s="1" t="s">
        <v>32</v>
      </c>
      <c r="H1048">
        <v>150</v>
      </c>
      <c r="I1048">
        <v>51</v>
      </c>
      <c r="J1048">
        <v>249</v>
      </c>
      <c r="K1048" s="1" t="s">
        <v>23</v>
      </c>
      <c r="L1048" s="1" t="s">
        <v>24</v>
      </c>
      <c r="M1048" s="1" t="s">
        <v>2233</v>
      </c>
      <c r="N1048" s="1" t="s">
        <v>2250</v>
      </c>
    </row>
    <row r="1049" spans="1:14" x14ac:dyDescent="0.35">
      <c r="A1049">
        <v>3329112</v>
      </c>
      <c r="B1049" s="1" t="s">
        <v>2117</v>
      </c>
      <c r="C1049">
        <v>38565</v>
      </c>
      <c r="D1049">
        <v>1123</v>
      </c>
      <c r="E1049" s="1" t="s">
        <v>2251</v>
      </c>
      <c r="F1049" s="1" t="s">
        <v>15</v>
      </c>
      <c r="G1049" s="1" t="s">
        <v>22</v>
      </c>
      <c r="H1049">
        <v>50</v>
      </c>
      <c r="I1049">
        <v>25</v>
      </c>
      <c r="J1049">
        <v>37</v>
      </c>
      <c r="K1049" s="1" t="s">
        <v>90</v>
      </c>
      <c r="L1049" s="1" t="s">
        <v>24</v>
      </c>
      <c r="M1049" s="1" t="s">
        <v>2233</v>
      </c>
      <c r="N1049" s="1" t="s">
        <v>2252</v>
      </c>
    </row>
    <row r="1050" spans="1:14" x14ac:dyDescent="0.35">
      <c r="A1050">
        <v>3329045</v>
      </c>
      <c r="B1050" s="1" t="s">
        <v>2117</v>
      </c>
      <c r="C1050">
        <v>38565</v>
      </c>
      <c r="D1050">
        <v>1123</v>
      </c>
      <c r="E1050" s="1" t="s">
        <v>2253</v>
      </c>
      <c r="F1050" s="1" t="s">
        <v>15</v>
      </c>
      <c r="G1050" s="1" t="s">
        <v>22</v>
      </c>
      <c r="H1050">
        <v>50</v>
      </c>
      <c r="I1050">
        <v>28</v>
      </c>
      <c r="J1050">
        <v>63</v>
      </c>
      <c r="K1050" s="1" t="s">
        <v>23</v>
      </c>
      <c r="L1050" s="1" t="s">
        <v>24</v>
      </c>
      <c r="M1050" s="1" t="s">
        <v>2233</v>
      </c>
      <c r="N1050" s="1" t="s">
        <v>2254</v>
      </c>
    </row>
    <row r="1051" spans="1:14" x14ac:dyDescent="0.35">
      <c r="A1051">
        <v>3329113</v>
      </c>
      <c r="B1051" s="1" t="s">
        <v>2117</v>
      </c>
      <c r="C1051">
        <v>38565</v>
      </c>
      <c r="D1051">
        <v>1123</v>
      </c>
      <c r="E1051" s="1" t="s">
        <v>2255</v>
      </c>
      <c r="F1051" s="1" t="s">
        <v>15</v>
      </c>
      <c r="G1051" s="1" t="s">
        <v>22</v>
      </c>
      <c r="H1051">
        <v>60</v>
      </c>
      <c r="I1051">
        <v>50</v>
      </c>
      <c r="J1051">
        <v>31</v>
      </c>
      <c r="K1051" s="1" t="s">
        <v>90</v>
      </c>
      <c r="L1051" s="1" t="s">
        <v>24</v>
      </c>
      <c r="M1051" s="1" t="s">
        <v>2233</v>
      </c>
      <c r="N1051" s="1" t="s">
        <v>2256</v>
      </c>
    </row>
    <row r="1052" spans="1:14" x14ac:dyDescent="0.35">
      <c r="A1052">
        <v>3329125</v>
      </c>
      <c r="B1052" s="1" t="s">
        <v>2117</v>
      </c>
      <c r="C1052">
        <v>38565</v>
      </c>
      <c r="D1052">
        <v>1123</v>
      </c>
      <c r="E1052" s="1" t="s">
        <v>2257</v>
      </c>
      <c r="F1052" s="1" t="s">
        <v>15</v>
      </c>
      <c r="G1052" s="1" t="s">
        <v>22</v>
      </c>
      <c r="H1052">
        <v>52</v>
      </c>
      <c r="I1052">
        <v>26</v>
      </c>
      <c r="K1052" s="1" t="s">
        <v>17</v>
      </c>
      <c r="L1052" s="1" t="s">
        <v>18</v>
      </c>
      <c r="M1052" s="1" t="s">
        <v>2233</v>
      </c>
      <c r="N1052" s="1" t="s">
        <v>2258</v>
      </c>
    </row>
    <row r="1053" spans="1:14" x14ac:dyDescent="0.35">
      <c r="A1053">
        <v>3329109</v>
      </c>
      <c r="B1053" s="1" t="s">
        <v>2117</v>
      </c>
      <c r="C1053">
        <v>38565</v>
      </c>
      <c r="D1053">
        <v>1123</v>
      </c>
      <c r="E1053" s="1" t="s">
        <v>2259</v>
      </c>
      <c r="F1053" s="1" t="s">
        <v>15</v>
      </c>
      <c r="G1053" s="1" t="s">
        <v>22</v>
      </c>
      <c r="H1053">
        <v>60</v>
      </c>
      <c r="I1053">
        <v>29</v>
      </c>
      <c r="J1053">
        <v>114</v>
      </c>
      <c r="K1053" s="1" t="s">
        <v>90</v>
      </c>
      <c r="L1053" s="1" t="s">
        <v>24</v>
      </c>
      <c r="M1053" s="1" t="s">
        <v>2233</v>
      </c>
      <c r="N1053" s="1" t="s">
        <v>2260</v>
      </c>
    </row>
    <row r="1054" spans="1:14" x14ac:dyDescent="0.35">
      <c r="A1054">
        <v>3329101</v>
      </c>
      <c r="B1054" s="1" t="s">
        <v>2117</v>
      </c>
      <c r="C1054">
        <v>38565</v>
      </c>
      <c r="D1054">
        <v>1123</v>
      </c>
      <c r="E1054" s="1" t="s">
        <v>2261</v>
      </c>
      <c r="F1054" s="1" t="s">
        <v>15</v>
      </c>
      <c r="G1054" s="1" t="s">
        <v>22</v>
      </c>
      <c r="H1054">
        <v>140</v>
      </c>
      <c r="I1054">
        <v>66</v>
      </c>
      <c r="J1054">
        <v>93</v>
      </c>
      <c r="K1054" s="1" t="s">
        <v>23</v>
      </c>
      <c r="L1054" s="1" t="s">
        <v>24</v>
      </c>
      <c r="M1054" s="1" t="s">
        <v>2233</v>
      </c>
      <c r="N1054" s="1" t="s">
        <v>2262</v>
      </c>
    </row>
    <row r="1055" spans="1:14" x14ac:dyDescent="0.35">
      <c r="A1055">
        <v>3329067</v>
      </c>
      <c r="B1055" s="1" t="s">
        <v>2117</v>
      </c>
      <c r="C1055">
        <v>38565</v>
      </c>
      <c r="D1055">
        <v>1123</v>
      </c>
      <c r="E1055" s="1" t="s">
        <v>2263</v>
      </c>
      <c r="F1055" s="1" t="s">
        <v>15</v>
      </c>
      <c r="G1055" s="1" t="s">
        <v>22</v>
      </c>
      <c r="H1055">
        <v>70</v>
      </c>
      <c r="I1055">
        <v>100</v>
      </c>
      <c r="J1055">
        <v>131</v>
      </c>
      <c r="K1055" s="1" t="s">
        <v>23</v>
      </c>
      <c r="L1055" s="1" t="s">
        <v>24</v>
      </c>
      <c r="M1055" s="1" t="s">
        <v>2233</v>
      </c>
      <c r="N1055" s="1" t="s">
        <v>2264</v>
      </c>
    </row>
    <row r="1056" spans="1:14" x14ac:dyDescent="0.35">
      <c r="A1056">
        <v>3301095</v>
      </c>
      <c r="B1056" s="1" t="s">
        <v>2117</v>
      </c>
      <c r="C1056">
        <v>38565</v>
      </c>
      <c r="D1056">
        <v>1123</v>
      </c>
      <c r="E1056" s="1" t="s">
        <v>1179</v>
      </c>
      <c r="F1056" s="1" t="s">
        <v>71</v>
      </c>
      <c r="G1056" s="1" t="s">
        <v>32</v>
      </c>
      <c r="H1056">
        <v>24</v>
      </c>
      <c r="I1056">
        <v>17</v>
      </c>
      <c r="J1056">
        <v>43</v>
      </c>
      <c r="K1056" s="1" t="s">
        <v>444</v>
      </c>
      <c r="L1056" s="1" t="s">
        <v>24</v>
      </c>
      <c r="M1056" s="1" t="s">
        <v>2265</v>
      </c>
      <c r="N1056" s="1" t="s">
        <v>2266</v>
      </c>
    </row>
    <row r="1057" spans="1:14" x14ac:dyDescent="0.35">
      <c r="A1057">
        <v>3301014</v>
      </c>
      <c r="B1057" s="1" t="s">
        <v>2117</v>
      </c>
      <c r="C1057">
        <v>38565</v>
      </c>
      <c r="D1057">
        <v>1123</v>
      </c>
      <c r="E1057" s="1" t="s">
        <v>2267</v>
      </c>
      <c r="F1057" s="1" t="s">
        <v>15</v>
      </c>
      <c r="G1057" s="1" t="s">
        <v>16</v>
      </c>
      <c r="H1057">
        <v>295</v>
      </c>
      <c r="I1057">
        <v>31</v>
      </c>
      <c r="J1057">
        <v>686</v>
      </c>
      <c r="K1057" s="1" t="s">
        <v>17</v>
      </c>
      <c r="L1057" s="1" t="s">
        <v>18</v>
      </c>
      <c r="M1057" s="1" t="s">
        <v>2265</v>
      </c>
      <c r="N1057" s="1" t="s">
        <v>2268</v>
      </c>
    </row>
    <row r="1058" spans="1:14" x14ac:dyDescent="0.35">
      <c r="A1058">
        <v>3301084</v>
      </c>
      <c r="B1058" s="1" t="s">
        <v>2117</v>
      </c>
      <c r="C1058">
        <v>38565</v>
      </c>
      <c r="D1058">
        <v>1123</v>
      </c>
      <c r="E1058" s="1" t="s">
        <v>2269</v>
      </c>
      <c r="F1058" s="1" t="s">
        <v>15</v>
      </c>
      <c r="G1058" s="1" t="s">
        <v>32</v>
      </c>
      <c r="H1058">
        <v>236</v>
      </c>
      <c r="I1058">
        <v>36</v>
      </c>
      <c r="J1058">
        <v>417</v>
      </c>
      <c r="K1058" s="1" t="s">
        <v>17</v>
      </c>
      <c r="L1058" s="1" t="s">
        <v>18</v>
      </c>
      <c r="M1058" s="1" t="s">
        <v>2265</v>
      </c>
      <c r="N1058" s="1" t="s">
        <v>2270</v>
      </c>
    </row>
    <row r="1059" spans="1:14" x14ac:dyDescent="0.35">
      <c r="A1059">
        <v>3301115</v>
      </c>
      <c r="B1059" s="1" t="s">
        <v>2117</v>
      </c>
      <c r="C1059">
        <v>38565</v>
      </c>
      <c r="D1059">
        <v>1123</v>
      </c>
      <c r="E1059" s="1" t="s">
        <v>2271</v>
      </c>
      <c r="F1059" s="1" t="s">
        <v>15</v>
      </c>
      <c r="G1059" s="1" t="s">
        <v>32</v>
      </c>
      <c r="H1059">
        <v>146</v>
      </c>
      <c r="I1059">
        <v>52</v>
      </c>
      <c r="K1059" s="1" t="s">
        <v>90</v>
      </c>
      <c r="L1059" s="1" t="s">
        <v>24</v>
      </c>
      <c r="M1059" s="1" t="s">
        <v>2265</v>
      </c>
      <c r="N1059" s="1" t="s">
        <v>2272</v>
      </c>
    </row>
    <row r="1060" spans="1:14" x14ac:dyDescent="0.35">
      <c r="A1060">
        <v>3301073</v>
      </c>
      <c r="B1060" s="1" t="s">
        <v>2117</v>
      </c>
      <c r="C1060">
        <v>38565</v>
      </c>
      <c r="D1060">
        <v>1123</v>
      </c>
      <c r="E1060" s="1" t="s">
        <v>2273</v>
      </c>
      <c r="F1060" s="1" t="s">
        <v>15</v>
      </c>
      <c r="G1060" s="1" t="s">
        <v>32</v>
      </c>
      <c r="H1060">
        <v>170</v>
      </c>
      <c r="I1060">
        <v>39</v>
      </c>
      <c r="J1060">
        <v>639</v>
      </c>
      <c r="K1060" s="1" t="s">
        <v>444</v>
      </c>
      <c r="L1060" s="1" t="s">
        <v>24</v>
      </c>
      <c r="M1060" s="1" t="s">
        <v>2265</v>
      </c>
      <c r="N1060" s="1" t="s">
        <v>2274</v>
      </c>
    </row>
    <row r="1061" spans="1:14" x14ac:dyDescent="0.35">
      <c r="A1061">
        <v>3301112</v>
      </c>
      <c r="B1061" s="1" t="s">
        <v>2117</v>
      </c>
      <c r="C1061">
        <v>38565</v>
      </c>
      <c r="D1061">
        <v>1123</v>
      </c>
      <c r="E1061" s="1" t="s">
        <v>2275</v>
      </c>
      <c r="F1061" s="1" t="s">
        <v>15</v>
      </c>
      <c r="G1061" s="1" t="s">
        <v>32</v>
      </c>
      <c r="H1061">
        <v>106</v>
      </c>
      <c r="I1061">
        <v>36</v>
      </c>
      <c r="J1061">
        <v>96</v>
      </c>
      <c r="K1061" s="1" t="s">
        <v>23</v>
      </c>
      <c r="L1061" s="1" t="s">
        <v>24</v>
      </c>
      <c r="M1061" s="1" t="s">
        <v>2265</v>
      </c>
      <c r="N1061" s="1" t="s">
        <v>2276</v>
      </c>
    </row>
    <row r="1062" spans="1:14" x14ac:dyDescent="0.35">
      <c r="A1062">
        <v>3301108</v>
      </c>
      <c r="B1062" s="1" t="s">
        <v>2117</v>
      </c>
      <c r="C1062">
        <v>38565</v>
      </c>
      <c r="D1062">
        <v>1123</v>
      </c>
      <c r="E1062" s="1" t="s">
        <v>2277</v>
      </c>
      <c r="F1062" s="1" t="s">
        <v>15</v>
      </c>
      <c r="G1062" s="1" t="s">
        <v>32</v>
      </c>
      <c r="H1062">
        <v>177</v>
      </c>
      <c r="I1062">
        <v>100</v>
      </c>
      <c r="J1062">
        <v>164</v>
      </c>
      <c r="K1062" s="1" t="s">
        <v>23</v>
      </c>
      <c r="L1062" s="1" t="s">
        <v>24</v>
      </c>
      <c r="M1062" s="1" t="s">
        <v>2265</v>
      </c>
      <c r="N1062" s="1" t="s">
        <v>2278</v>
      </c>
    </row>
    <row r="1063" spans="1:14" x14ac:dyDescent="0.35">
      <c r="A1063">
        <v>3301109</v>
      </c>
      <c r="B1063" s="1" t="s">
        <v>2117</v>
      </c>
      <c r="C1063">
        <v>38565</v>
      </c>
      <c r="D1063">
        <v>1123</v>
      </c>
      <c r="E1063" s="1" t="s">
        <v>2279</v>
      </c>
      <c r="F1063" s="1" t="s">
        <v>15</v>
      </c>
      <c r="G1063" s="1" t="s">
        <v>32</v>
      </c>
      <c r="H1063">
        <v>145</v>
      </c>
      <c r="I1063">
        <v>45</v>
      </c>
      <c r="J1063">
        <v>102</v>
      </c>
      <c r="K1063" s="1" t="s">
        <v>23</v>
      </c>
      <c r="L1063" s="1" t="s">
        <v>24</v>
      </c>
      <c r="M1063" s="1" t="s">
        <v>2265</v>
      </c>
      <c r="N1063" s="1" t="s">
        <v>2280</v>
      </c>
    </row>
    <row r="1064" spans="1:14" x14ac:dyDescent="0.35">
      <c r="A1064">
        <v>3301036</v>
      </c>
      <c r="B1064" s="1" t="s">
        <v>2117</v>
      </c>
      <c r="C1064">
        <v>38565</v>
      </c>
      <c r="D1064">
        <v>1123</v>
      </c>
      <c r="E1064" s="1" t="s">
        <v>2281</v>
      </c>
      <c r="F1064" s="1" t="s">
        <v>15</v>
      </c>
      <c r="G1064" s="1" t="s">
        <v>22</v>
      </c>
      <c r="H1064">
        <v>80</v>
      </c>
      <c r="I1064">
        <v>31</v>
      </c>
      <c r="J1064">
        <v>50</v>
      </c>
      <c r="K1064" s="1" t="s">
        <v>61</v>
      </c>
      <c r="L1064" s="1" t="s">
        <v>24</v>
      </c>
      <c r="M1064" s="1" t="s">
        <v>2265</v>
      </c>
      <c r="N1064" s="1" t="s">
        <v>2282</v>
      </c>
    </row>
    <row r="1065" spans="1:14" x14ac:dyDescent="0.35">
      <c r="A1065">
        <v>3301106</v>
      </c>
      <c r="B1065" s="1" t="s">
        <v>2117</v>
      </c>
      <c r="C1065">
        <v>38565</v>
      </c>
      <c r="D1065">
        <v>1123</v>
      </c>
      <c r="E1065" s="1" t="s">
        <v>2283</v>
      </c>
      <c r="F1065" s="1" t="s">
        <v>15</v>
      </c>
      <c r="G1065" s="1" t="s">
        <v>22</v>
      </c>
      <c r="H1065">
        <v>98</v>
      </c>
      <c r="I1065">
        <v>28</v>
      </c>
      <c r="J1065">
        <v>71</v>
      </c>
      <c r="K1065" s="1" t="s">
        <v>90</v>
      </c>
      <c r="L1065" s="1" t="s">
        <v>24</v>
      </c>
      <c r="M1065" s="1" t="s">
        <v>2265</v>
      </c>
      <c r="N1065" s="1" t="s">
        <v>2284</v>
      </c>
    </row>
    <row r="1066" spans="1:14" x14ac:dyDescent="0.35">
      <c r="A1066">
        <v>3301107</v>
      </c>
      <c r="B1066" s="1" t="s">
        <v>2117</v>
      </c>
      <c r="C1066">
        <v>38565</v>
      </c>
      <c r="D1066">
        <v>1123</v>
      </c>
      <c r="E1066" s="1" t="s">
        <v>2285</v>
      </c>
      <c r="F1066" s="1" t="s">
        <v>15</v>
      </c>
      <c r="G1066" s="1" t="s">
        <v>22</v>
      </c>
      <c r="H1066">
        <v>78</v>
      </c>
      <c r="I1066">
        <v>69</v>
      </c>
      <c r="J1066">
        <v>176</v>
      </c>
      <c r="K1066" s="1" t="s">
        <v>572</v>
      </c>
      <c r="L1066" s="1" t="s">
        <v>24</v>
      </c>
      <c r="M1066" s="1" t="s">
        <v>2265</v>
      </c>
      <c r="N1066" s="1" t="s">
        <v>2286</v>
      </c>
    </row>
    <row r="1067" spans="1:14" x14ac:dyDescent="0.35">
      <c r="A1067">
        <v>3301114</v>
      </c>
      <c r="B1067" s="1" t="s">
        <v>2117</v>
      </c>
      <c r="C1067">
        <v>38565</v>
      </c>
      <c r="D1067">
        <v>1123</v>
      </c>
      <c r="E1067" s="1" t="s">
        <v>2287</v>
      </c>
      <c r="F1067" s="1" t="s">
        <v>15</v>
      </c>
      <c r="G1067" s="1" t="s">
        <v>22</v>
      </c>
      <c r="H1067">
        <v>74</v>
      </c>
      <c r="I1067">
        <v>24</v>
      </c>
      <c r="J1067">
        <v>64</v>
      </c>
      <c r="K1067" s="1" t="s">
        <v>23</v>
      </c>
      <c r="L1067" s="1" t="s">
        <v>24</v>
      </c>
      <c r="M1067" s="1" t="s">
        <v>2265</v>
      </c>
      <c r="N1067" s="1" t="s">
        <v>2288</v>
      </c>
    </row>
    <row r="1068" spans="1:14" x14ac:dyDescent="0.35">
      <c r="A1068">
        <v>3301105</v>
      </c>
      <c r="B1068" s="1" t="s">
        <v>2117</v>
      </c>
      <c r="C1068">
        <v>38565</v>
      </c>
      <c r="D1068">
        <v>1123</v>
      </c>
      <c r="E1068" s="1" t="s">
        <v>2289</v>
      </c>
      <c r="F1068" s="1" t="s">
        <v>15</v>
      </c>
      <c r="G1068" s="1" t="s">
        <v>22</v>
      </c>
      <c r="H1068">
        <v>50</v>
      </c>
      <c r="I1068">
        <v>22</v>
      </c>
      <c r="J1068">
        <v>118</v>
      </c>
      <c r="K1068" s="1" t="s">
        <v>84</v>
      </c>
      <c r="L1068" s="1" t="s">
        <v>24</v>
      </c>
      <c r="M1068" s="1" t="s">
        <v>2265</v>
      </c>
      <c r="N1068" s="1" t="s">
        <v>2290</v>
      </c>
    </row>
    <row r="1069" spans="1:14" x14ac:dyDescent="0.35">
      <c r="A1069">
        <v>3321033</v>
      </c>
      <c r="B1069" s="1" t="s">
        <v>2117</v>
      </c>
      <c r="C1069">
        <v>38565</v>
      </c>
      <c r="D1069">
        <v>1123</v>
      </c>
      <c r="E1069" s="1" t="s">
        <v>2291</v>
      </c>
      <c r="F1069" s="1" t="s">
        <v>15</v>
      </c>
      <c r="G1069" s="1" t="s">
        <v>32</v>
      </c>
      <c r="H1069">
        <v>116</v>
      </c>
      <c r="I1069">
        <v>29</v>
      </c>
      <c r="J1069">
        <v>207</v>
      </c>
      <c r="K1069" s="1" t="s">
        <v>444</v>
      </c>
      <c r="L1069" s="1" t="s">
        <v>24</v>
      </c>
      <c r="M1069" s="1" t="s">
        <v>2292</v>
      </c>
      <c r="N1069" s="1" t="s">
        <v>2293</v>
      </c>
    </row>
    <row r="1070" spans="1:14" x14ac:dyDescent="0.35">
      <c r="A1070">
        <v>3321035</v>
      </c>
      <c r="B1070" s="1" t="s">
        <v>2117</v>
      </c>
      <c r="C1070">
        <v>38565</v>
      </c>
      <c r="D1070">
        <v>1123</v>
      </c>
      <c r="E1070" s="1" t="s">
        <v>2294</v>
      </c>
      <c r="F1070" s="1" t="s">
        <v>15</v>
      </c>
      <c r="G1070" s="1" t="s">
        <v>32</v>
      </c>
      <c r="H1070">
        <v>180</v>
      </c>
      <c r="I1070">
        <v>27</v>
      </c>
      <c r="J1070">
        <v>250</v>
      </c>
      <c r="K1070" s="1" t="s">
        <v>17</v>
      </c>
      <c r="L1070" s="1" t="s">
        <v>18</v>
      </c>
      <c r="M1070" s="1" t="s">
        <v>2292</v>
      </c>
      <c r="N1070" s="1" t="s">
        <v>2295</v>
      </c>
    </row>
    <row r="1071" spans="1:14" x14ac:dyDescent="0.35">
      <c r="A1071">
        <v>3321034</v>
      </c>
      <c r="B1071" s="1" t="s">
        <v>2117</v>
      </c>
      <c r="C1071">
        <v>38565</v>
      </c>
      <c r="D1071">
        <v>1123</v>
      </c>
      <c r="E1071" s="1" t="s">
        <v>2296</v>
      </c>
      <c r="F1071" s="1" t="s">
        <v>15</v>
      </c>
      <c r="G1071" s="1" t="s">
        <v>32</v>
      </c>
      <c r="H1071">
        <v>160</v>
      </c>
      <c r="I1071">
        <v>49</v>
      </c>
      <c r="J1071">
        <v>210</v>
      </c>
      <c r="K1071" s="1" t="s">
        <v>23</v>
      </c>
      <c r="L1071" s="1" t="s">
        <v>24</v>
      </c>
      <c r="M1071" s="1" t="s">
        <v>2292</v>
      </c>
      <c r="N1071" s="1" t="s">
        <v>2297</v>
      </c>
    </row>
    <row r="1072" spans="1:14" x14ac:dyDescent="0.35">
      <c r="A1072">
        <v>3321047</v>
      </c>
      <c r="B1072" s="1" t="s">
        <v>2117</v>
      </c>
      <c r="C1072">
        <v>38565</v>
      </c>
      <c r="D1072">
        <v>1123</v>
      </c>
      <c r="E1072" s="1" t="s">
        <v>2298</v>
      </c>
      <c r="F1072" s="1" t="s">
        <v>15</v>
      </c>
      <c r="G1072" s="1" t="s">
        <v>32</v>
      </c>
      <c r="H1072">
        <v>105</v>
      </c>
      <c r="I1072">
        <v>44</v>
      </c>
      <c r="K1072" s="1" t="s">
        <v>23</v>
      </c>
      <c r="L1072" s="1" t="s">
        <v>24</v>
      </c>
      <c r="M1072" s="1" t="s">
        <v>2292</v>
      </c>
      <c r="N1072" s="1" t="s">
        <v>2299</v>
      </c>
    </row>
    <row r="1073" spans="1:14" x14ac:dyDescent="0.35">
      <c r="A1073">
        <v>3321011</v>
      </c>
      <c r="B1073" s="1" t="s">
        <v>2117</v>
      </c>
      <c r="C1073">
        <v>38565</v>
      </c>
      <c r="D1073">
        <v>1123</v>
      </c>
      <c r="E1073" s="1" t="s">
        <v>2300</v>
      </c>
      <c r="F1073" s="1" t="s">
        <v>15</v>
      </c>
      <c r="G1073" s="1" t="s">
        <v>32</v>
      </c>
      <c r="H1073">
        <v>293</v>
      </c>
      <c r="I1073">
        <v>60</v>
      </c>
      <c r="J1073">
        <v>475</v>
      </c>
      <c r="K1073" s="1" t="s">
        <v>17</v>
      </c>
      <c r="L1073" s="1" t="s">
        <v>18</v>
      </c>
      <c r="M1073" s="1" t="s">
        <v>2292</v>
      </c>
      <c r="N1073" s="1" t="s">
        <v>2301</v>
      </c>
    </row>
    <row r="1074" spans="1:14" x14ac:dyDescent="0.35">
      <c r="A1074">
        <v>3321036</v>
      </c>
      <c r="B1074" s="1" t="s">
        <v>2117</v>
      </c>
      <c r="C1074">
        <v>38565</v>
      </c>
      <c r="D1074">
        <v>1123</v>
      </c>
      <c r="E1074" s="1" t="s">
        <v>2302</v>
      </c>
      <c r="F1074" s="1" t="s">
        <v>15</v>
      </c>
      <c r="G1074" s="1" t="s">
        <v>22</v>
      </c>
      <c r="H1074">
        <v>51</v>
      </c>
      <c r="I1074">
        <v>21</v>
      </c>
      <c r="J1074">
        <v>30</v>
      </c>
      <c r="K1074" s="1" t="s">
        <v>444</v>
      </c>
      <c r="L1074" s="1" t="s">
        <v>24</v>
      </c>
      <c r="M1074" s="1" t="s">
        <v>2292</v>
      </c>
      <c r="N1074" s="1" t="s">
        <v>2303</v>
      </c>
    </row>
    <row r="1075" spans="1:14" x14ac:dyDescent="0.35">
      <c r="A1075">
        <v>3315072</v>
      </c>
      <c r="B1075" s="1" t="s">
        <v>2117</v>
      </c>
      <c r="C1075">
        <v>38565</v>
      </c>
      <c r="D1075">
        <v>1123</v>
      </c>
      <c r="E1075" s="1" t="s">
        <v>2304</v>
      </c>
      <c r="F1075" s="1" t="s">
        <v>889</v>
      </c>
      <c r="G1075" s="1" t="s">
        <v>32</v>
      </c>
      <c r="H1075">
        <v>30</v>
      </c>
      <c r="I1075">
        <v>17</v>
      </c>
      <c r="K1075" s="1" t="s">
        <v>23</v>
      </c>
      <c r="L1075" s="1" t="s">
        <v>24</v>
      </c>
      <c r="M1075" s="1" t="s">
        <v>2305</v>
      </c>
      <c r="N1075" s="1" t="s">
        <v>2306</v>
      </c>
    </row>
    <row r="1076" spans="1:14" x14ac:dyDescent="0.35">
      <c r="A1076">
        <v>3315013</v>
      </c>
      <c r="B1076" s="1" t="s">
        <v>2117</v>
      </c>
      <c r="C1076">
        <v>38565</v>
      </c>
      <c r="D1076">
        <v>1123</v>
      </c>
      <c r="E1076" s="1" t="s">
        <v>2307</v>
      </c>
      <c r="F1076" s="1" t="s">
        <v>15</v>
      </c>
      <c r="G1076" s="1" t="s">
        <v>16</v>
      </c>
      <c r="H1076">
        <v>318</v>
      </c>
      <c r="I1076">
        <v>112</v>
      </c>
      <c r="J1076">
        <v>938</v>
      </c>
      <c r="K1076" s="1" t="s">
        <v>17</v>
      </c>
      <c r="L1076" s="1" t="s">
        <v>18</v>
      </c>
      <c r="M1076" s="1" t="s">
        <v>2305</v>
      </c>
      <c r="N1076" s="1" t="s">
        <v>2308</v>
      </c>
    </row>
    <row r="1077" spans="1:14" x14ac:dyDescent="0.35">
      <c r="A1077">
        <v>3315024</v>
      </c>
      <c r="B1077" s="1" t="s">
        <v>2117</v>
      </c>
      <c r="C1077">
        <v>38565</v>
      </c>
      <c r="D1077">
        <v>1123</v>
      </c>
      <c r="E1077" s="1" t="s">
        <v>2309</v>
      </c>
      <c r="F1077" s="1" t="s">
        <v>15</v>
      </c>
      <c r="G1077" s="1" t="s">
        <v>32</v>
      </c>
      <c r="H1077">
        <v>233</v>
      </c>
      <c r="I1077">
        <v>60</v>
      </c>
      <c r="J1077">
        <v>583</v>
      </c>
      <c r="K1077" s="1" t="s">
        <v>84</v>
      </c>
      <c r="L1077" s="1" t="s">
        <v>24</v>
      </c>
      <c r="M1077" s="1" t="s">
        <v>2305</v>
      </c>
      <c r="N1077" s="1" t="s">
        <v>2310</v>
      </c>
    </row>
    <row r="1078" spans="1:14" x14ac:dyDescent="0.35">
      <c r="A1078">
        <v>3315035</v>
      </c>
      <c r="B1078" s="1" t="s">
        <v>2117</v>
      </c>
      <c r="C1078">
        <v>38565</v>
      </c>
      <c r="D1078">
        <v>1123</v>
      </c>
      <c r="E1078" s="1" t="s">
        <v>1341</v>
      </c>
      <c r="F1078" s="1" t="s">
        <v>15</v>
      </c>
      <c r="G1078" s="1" t="s">
        <v>32</v>
      </c>
      <c r="H1078">
        <v>123</v>
      </c>
      <c r="I1078">
        <v>26</v>
      </c>
      <c r="J1078">
        <v>414</v>
      </c>
      <c r="K1078" s="1" t="s">
        <v>90</v>
      </c>
      <c r="L1078" s="1" t="s">
        <v>24</v>
      </c>
      <c r="M1078" s="1" t="s">
        <v>2305</v>
      </c>
      <c r="N1078" s="1" t="s">
        <v>2311</v>
      </c>
    </row>
    <row r="1079" spans="1:14" x14ac:dyDescent="0.35">
      <c r="A1079">
        <v>3315073</v>
      </c>
      <c r="B1079" s="1" t="s">
        <v>2117</v>
      </c>
      <c r="C1079">
        <v>38565</v>
      </c>
      <c r="D1079">
        <v>1123</v>
      </c>
      <c r="E1079" s="1" t="s">
        <v>2312</v>
      </c>
      <c r="F1079" s="1" t="s">
        <v>15</v>
      </c>
      <c r="G1079" s="1" t="s">
        <v>22</v>
      </c>
      <c r="H1079">
        <v>69</v>
      </c>
      <c r="I1079">
        <v>9</v>
      </c>
      <c r="K1079" s="1" t="s">
        <v>95</v>
      </c>
      <c r="L1079" s="1" t="s">
        <v>24</v>
      </c>
      <c r="M1079" s="1" t="s">
        <v>2305</v>
      </c>
      <c r="N1079" s="1" t="s">
        <v>2313</v>
      </c>
    </row>
    <row r="1080" spans="1:14" x14ac:dyDescent="0.35">
      <c r="A1080">
        <v>3315046</v>
      </c>
      <c r="B1080" s="1" t="s">
        <v>2117</v>
      </c>
      <c r="C1080">
        <v>38565</v>
      </c>
      <c r="D1080">
        <v>1123</v>
      </c>
      <c r="E1080" s="1" t="s">
        <v>2314</v>
      </c>
      <c r="F1080" s="1" t="s">
        <v>15</v>
      </c>
      <c r="G1080" s="1" t="s">
        <v>22</v>
      </c>
      <c r="H1080">
        <v>154</v>
      </c>
      <c r="I1080">
        <v>30</v>
      </c>
      <c r="J1080">
        <v>296</v>
      </c>
      <c r="K1080" s="1" t="s">
        <v>444</v>
      </c>
      <c r="L1080" s="1" t="s">
        <v>24</v>
      </c>
      <c r="M1080" s="1" t="s">
        <v>2305</v>
      </c>
      <c r="N1080" s="1" t="s">
        <v>2315</v>
      </c>
    </row>
    <row r="1081" spans="1:14" x14ac:dyDescent="0.35">
      <c r="A1081">
        <v>3315061</v>
      </c>
      <c r="B1081" s="1" t="s">
        <v>2117</v>
      </c>
      <c r="C1081">
        <v>38565</v>
      </c>
      <c r="D1081">
        <v>1123</v>
      </c>
      <c r="E1081" s="1" t="s">
        <v>2316</v>
      </c>
      <c r="F1081" s="1" t="s">
        <v>15</v>
      </c>
      <c r="G1081" s="1" t="s">
        <v>22</v>
      </c>
      <c r="H1081">
        <v>60</v>
      </c>
      <c r="I1081">
        <v>26</v>
      </c>
      <c r="J1081">
        <v>184</v>
      </c>
      <c r="K1081" s="1" t="s">
        <v>17</v>
      </c>
      <c r="L1081" s="1" t="s">
        <v>24</v>
      </c>
      <c r="M1081" s="1" t="s">
        <v>2305</v>
      </c>
      <c r="N1081" s="1" t="s">
        <v>2317</v>
      </c>
    </row>
    <row r="1082" spans="1:14" x14ac:dyDescent="0.35">
      <c r="A1082">
        <v>3315059</v>
      </c>
      <c r="B1082" s="1" t="s">
        <v>2117</v>
      </c>
      <c r="C1082">
        <v>38565</v>
      </c>
      <c r="D1082">
        <v>1123</v>
      </c>
      <c r="E1082" s="1" t="s">
        <v>2318</v>
      </c>
      <c r="F1082" s="1" t="s">
        <v>15</v>
      </c>
      <c r="G1082" s="1" t="s">
        <v>22</v>
      </c>
      <c r="H1082">
        <v>95</v>
      </c>
      <c r="I1082">
        <v>16</v>
      </c>
      <c r="J1082">
        <v>304</v>
      </c>
      <c r="K1082" s="1" t="s">
        <v>444</v>
      </c>
      <c r="L1082" s="1" t="s">
        <v>24</v>
      </c>
      <c r="M1082" s="1" t="s">
        <v>2305</v>
      </c>
      <c r="N1082" s="1" t="s">
        <v>2319</v>
      </c>
    </row>
    <row r="1083" spans="1:14" x14ac:dyDescent="0.35">
      <c r="A1083">
        <v>3315075</v>
      </c>
      <c r="B1083" s="1" t="s">
        <v>2117</v>
      </c>
      <c r="C1083">
        <v>38565</v>
      </c>
      <c r="D1083">
        <v>1123</v>
      </c>
      <c r="E1083" s="1" t="s">
        <v>2320</v>
      </c>
      <c r="F1083" s="1" t="s">
        <v>15</v>
      </c>
      <c r="G1083" s="1" t="s">
        <v>22</v>
      </c>
      <c r="H1083">
        <v>49</v>
      </c>
      <c r="I1083">
        <v>25</v>
      </c>
      <c r="K1083" s="1" t="s">
        <v>90</v>
      </c>
      <c r="L1083" s="1" t="s">
        <v>24</v>
      </c>
      <c r="M1083" s="1" t="s">
        <v>2305</v>
      </c>
      <c r="N1083" s="1" t="s">
        <v>2321</v>
      </c>
    </row>
    <row r="1084" spans="1:14" x14ac:dyDescent="0.35">
      <c r="A1084">
        <v>3315057</v>
      </c>
      <c r="B1084" s="1" t="s">
        <v>2117</v>
      </c>
      <c r="C1084">
        <v>38565</v>
      </c>
      <c r="D1084">
        <v>1123</v>
      </c>
      <c r="E1084" s="1" t="s">
        <v>2322</v>
      </c>
      <c r="F1084" s="1" t="s">
        <v>15</v>
      </c>
      <c r="G1084" s="1" t="s">
        <v>22</v>
      </c>
      <c r="H1084">
        <v>59</v>
      </c>
      <c r="I1084">
        <v>31</v>
      </c>
      <c r="J1084">
        <v>101</v>
      </c>
      <c r="K1084" s="1" t="s">
        <v>84</v>
      </c>
      <c r="L1084" s="1" t="s">
        <v>24</v>
      </c>
      <c r="M1084" s="1" t="s">
        <v>2305</v>
      </c>
      <c r="N1084" s="1" t="s">
        <v>2323</v>
      </c>
    </row>
    <row r="1085" spans="1:14" x14ac:dyDescent="0.35">
      <c r="A1085">
        <v>3315074</v>
      </c>
      <c r="B1085" s="1" t="s">
        <v>2117</v>
      </c>
      <c r="C1085">
        <v>38565</v>
      </c>
      <c r="D1085">
        <v>1123</v>
      </c>
      <c r="E1085" s="1" t="s">
        <v>2324</v>
      </c>
      <c r="F1085" s="1" t="s">
        <v>15</v>
      </c>
      <c r="G1085" s="1" t="s">
        <v>22</v>
      </c>
      <c r="H1085">
        <v>50</v>
      </c>
      <c r="I1085">
        <v>19</v>
      </c>
      <c r="K1085" s="1" t="s">
        <v>90</v>
      </c>
      <c r="L1085" s="1" t="s">
        <v>24</v>
      </c>
      <c r="M1085" s="1" t="s">
        <v>2305</v>
      </c>
      <c r="N1085" s="1" t="s">
        <v>2325</v>
      </c>
    </row>
    <row r="1086" spans="1:14" x14ac:dyDescent="0.35">
      <c r="A1086">
        <v>3320010</v>
      </c>
      <c r="B1086" s="1" t="s">
        <v>2117</v>
      </c>
      <c r="C1086">
        <v>38565</v>
      </c>
      <c r="D1086">
        <v>1123</v>
      </c>
      <c r="E1086" s="1" t="s">
        <v>2326</v>
      </c>
      <c r="F1086" s="1" t="s">
        <v>15</v>
      </c>
      <c r="G1086" s="1" t="s">
        <v>16</v>
      </c>
      <c r="H1086">
        <v>381</v>
      </c>
      <c r="I1086">
        <v>98</v>
      </c>
      <c r="J1086">
        <v>1071</v>
      </c>
      <c r="K1086" s="1" t="s">
        <v>17</v>
      </c>
      <c r="L1086" s="1" t="s">
        <v>18</v>
      </c>
      <c r="M1086" s="1" t="s">
        <v>2327</v>
      </c>
      <c r="N1086" s="1" t="s">
        <v>2328</v>
      </c>
    </row>
    <row r="1087" spans="1:14" x14ac:dyDescent="0.35">
      <c r="A1087">
        <v>3320032</v>
      </c>
      <c r="B1087" s="1" t="s">
        <v>2117</v>
      </c>
      <c r="C1087">
        <v>38565</v>
      </c>
      <c r="D1087">
        <v>1123</v>
      </c>
      <c r="E1087" s="1" t="s">
        <v>2329</v>
      </c>
      <c r="F1087" s="1" t="s">
        <v>15</v>
      </c>
      <c r="G1087" s="1" t="s">
        <v>32</v>
      </c>
      <c r="H1087">
        <v>162</v>
      </c>
      <c r="I1087">
        <v>56</v>
      </c>
      <c r="J1087">
        <v>342</v>
      </c>
      <c r="K1087" s="1" t="s">
        <v>444</v>
      </c>
      <c r="L1087" s="1" t="s">
        <v>24</v>
      </c>
      <c r="M1087" s="1" t="s">
        <v>2327</v>
      </c>
      <c r="N1087" s="1" t="s">
        <v>2330</v>
      </c>
    </row>
    <row r="1088" spans="1:14" x14ac:dyDescent="0.35">
      <c r="A1088">
        <v>3320089</v>
      </c>
      <c r="B1088" s="1" t="s">
        <v>2117</v>
      </c>
      <c r="C1088">
        <v>38565</v>
      </c>
      <c r="D1088">
        <v>1123</v>
      </c>
      <c r="E1088" s="1" t="s">
        <v>2331</v>
      </c>
      <c r="F1088" s="1" t="s">
        <v>15</v>
      </c>
      <c r="G1088" s="1" t="s">
        <v>32</v>
      </c>
      <c r="H1088">
        <v>136</v>
      </c>
      <c r="I1088">
        <v>31</v>
      </c>
      <c r="J1088">
        <v>282</v>
      </c>
      <c r="K1088" s="1" t="s">
        <v>444</v>
      </c>
      <c r="L1088" s="1" t="s">
        <v>24</v>
      </c>
      <c r="M1088" s="1" t="s">
        <v>2327</v>
      </c>
      <c r="N1088" s="1" t="s">
        <v>2332</v>
      </c>
    </row>
    <row r="1089" spans="1:14" x14ac:dyDescent="0.35">
      <c r="A1089">
        <v>3320021</v>
      </c>
      <c r="B1089" s="1" t="s">
        <v>2117</v>
      </c>
      <c r="C1089">
        <v>38565</v>
      </c>
      <c r="D1089">
        <v>1123</v>
      </c>
      <c r="E1089" s="1" t="s">
        <v>2333</v>
      </c>
      <c r="F1089" s="1" t="s">
        <v>15</v>
      </c>
      <c r="G1089" s="1" t="s">
        <v>32</v>
      </c>
      <c r="H1089">
        <v>181</v>
      </c>
      <c r="I1089">
        <v>24</v>
      </c>
      <c r="J1089">
        <v>238</v>
      </c>
      <c r="K1089" s="1" t="s">
        <v>124</v>
      </c>
      <c r="L1089" s="1" t="s">
        <v>18</v>
      </c>
      <c r="M1089" s="1" t="s">
        <v>2327</v>
      </c>
      <c r="N1089" s="1" t="s">
        <v>2334</v>
      </c>
    </row>
    <row r="1090" spans="1:14" x14ac:dyDescent="0.35">
      <c r="A1090">
        <v>3320043</v>
      </c>
      <c r="B1090" s="1" t="s">
        <v>2117</v>
      </c>
      <c r="C1090">
        <v>38565</v>
      </c>
      <c r="D1090">
        <v>1123</v>
      </c>
      <c r="E1090" s="1" t="s">
        <v>2335</v>
      </c>
      <c r="F1090" s="1" t="s">
        <v>15</v>
      </c>
      <c r="G1090" s="1" t="s">
        <v>22</v>
      </c>
      <c r="H1090">
        <v>104</v>
      </c>
      <c r="I1090">
        <v>30</v>
      </c>
      <c r="J1090">
        <v>155</v>
      </c>
      <c r="K1090" s="1" t="s">
        <v>84</v>
      </c>
      <c r="L1090" s="1" t="s">
        <v>24</v>
      </c>
      <c r="M1090" s="1" t="s">
        <v>2327</v>
      </c>
      <c r="N1090" s="1" t="s">
        <v>2336</v>
      </c>
    </row>
    <row r="1091" spans="1:14" x14ac:dyDescent="0.35">
      <c r="A1091">
        <v>3320046</v>
      </c>
      <c r="B1091" s="1" t="s">
        <v>2117</v>
      </c>
      <c r="C1091">
        <v>38565</v>
      </c>
      <c r="D1091">
        <v>1123</v>
      </c>
      <c r="E1091" s="1" t="s">
        <v>2337</v>
      </c>
      <c r="F1091" s="1" t="s">
        <v>15</v>
      </c>
      <c r="G1091" s="1" t="s">
        <v>22</v>
      </c>
      <c r="H1091">
        <v>75</v>
      </c>
      <c r="I1091">
        <v>21</v>
      </c>
      <c r="J1091">
        <v>40</v>
      </c>
      <c r="K1091" s="1" t="s">
        <v>444</v>
      </c>
      <c r="L1091" s="1" t="s">
        <v>24</v>
      </c>
      <c r="M1091" s="1" t="s">
        <v>2327</v>
      </c>
      <c r="N1091" s="1" t="s">
        <v>2338</v>
      </c>
    </row>
    <row r="1092" spans="1:14" x14ac:dyDescent="0.35">
      <c r="A1092">
        <v>3313042</v>
      </c>
      <c r="B1092" s="1" t="s">
        <v>2117</v>
      </c>
      <c r="C1092">
        <v>38565</v>
      </c>
      <c r="D1092">
        <v>1123</v>
      </c>
      <c r="E1092" s="1" t="s">
        <v>2339</v>
      </c>
      <c r="F1092" s="1" t="s">
        <v>71</v>
      </c>
      <c r="G1092" s="1" t="s">
        <v>32</v>
      </c>
      <c r="H1092">
        <v>39</v>
      </c>
      <c r="I1092">
        <v>14</v>
      </c>
      <c r="J1092">
        <v>80</v>
      </c>
      <c r="K1092" s="1" t="s">
        <v>23</v>
      </c>
      <c r="L1092" s="1" t="s">
        <v>24</v>
      </c>
      <c r="M1092" s="1" t="s">
        <v>2340</v>
      </c>
      <c r="N1092" s="1" t="s">
        <v>2341</v>
      </c>
    </row>
    <row r="1093" spans="1:14" x14ac:dyDescent="0.35">
      <c r="A1093">
        <v>3313067</v>
      </c>
      <c r="B1093" s="1" t="s">
        <v>2117</v>
      </c>
      <c r="C1093">
        <v>38565</v>
      </c>
      <c r="D1093">
        <v>1123</v>
      </c>
      <c r="E1093" s="1" t="s">
        <v>2342</v>
      </c>
      <c r="F1093" s="1" t="s">
        <v>15</v>
      </c>
      <c r="G1093" s="1" t="s">
        <v>32</v>
      </c>
      <c r="H1093">
        <v>113</v>
      </c>
      <c r="I1093">
        <v>41</v>
      </c>
      <c r="K1093" s="1" t="s">
        <v>23</v>
      </c>
      <c r="L1093" s="1" t="s">
        <v>24</v>
      </c>
      <c r="M1093" s="1" t="s">
        <v>2340</v>
      </c>
      <c r="N1093" s="1" t="s">
        <v>2343</v>
      </c>
    </row>
    <row r="1094" spans="1:14" x14ac:dyDescent="0.35">
      <c r="A1094">
        <v>3313011</v>
      </c>
      <c r="B1094" s="1" t="s">
        <v>2117</v>
      </c>
      <c r="C1094">
        <v>38565</v>
      </c>
      <c r="D1094">
        <v>1123</v>
      </c>
      <c r="E1094" s="1" t="s">
        <v>2344</v>
      </c>
      <c r="F1094" s="1" t="s">
        <v>15</v>
      </c>
      <c r="G1094" s="1" t="s">
        <v>32</v>
      </c>
      <c r="H1094">
        <v>389</v>
      </c>
      <c r="I1094">
        <v>31</v>
      </c>
      <c r="J1094">
        <v>707</v>
      </c>
      <c r="K1094" s="1" t="s">
        <v>17</v>
      </c>
      <c r="L1094" s="1" t="s">
        <v>18</v>
      </c>
      <c r="M1094" s="1" t="s">
        <v>2340</v>
      </c>
      <c r="N1094" s="1" t="s">
        <v>2345</v>
      </c>
    </row>
    <row r="1095" spans="1:14" x14ac:dyDescent="0.35">
      <c r="A1095">
        <v>3313033</v>
      </c>
      <c r="B1095" s="1" t="s">
        <v>2117</v>
      </c>
      <c r="C1095">
        <v>38565</v>
      </c>
      <c r="D1095">
        <v>1123</v>
      </c>
      <c r="E1095" s="1" t="s">
        <v>2346</v>
      </c>
      <c r="F1095" s="1" t="s">
        <v>15</v>
      </c>
      <c r="G1095" s="1" t="s">
        <v>32</v>
      </c>
      <c r="H1095">
        <v>220</v>
      </c>
      <c r="I1095">
        <v>60</v>
      </c>
      <c r="J1095">
        <v>380</v>
      </c>
      <c r="K1095" s="1" t="s">
        <v>444</v>
      </c>
      <c r="L1095" s="1" t="s">
        <v>24</v>
      </c>
      <c r="M1095" s="1" t="s">
        <v>2340</v>
      </c>
      <c r="N1095" s="1" t="s">
        <v>2347</v>
      </c>
    </row>
    <row r="1096" spans="1:14" x14ac:dyDescent="0.35">
      <c r="A1096">
        <v>3313055</v>
      </c>
      <c r="B1096" s="1" t="s">
        <v>2117</v>
      </c>
      <c r="C1096">
        <v>38565</v>
      </c>
      <c r="D1096">
        <v>1123</v>
      </c>
      <c r="E1096" s="1" t="s">
        <v>2348</v>
      </c>
      <c r="F1096" s="1" t="s">
        <v>15</v>
      </c>
      <c r="G1096" s="1" t="s">
        <v>22</v>
      </c>
      <c r="H1096">
        <v>58</v>
      </c>
      <c r="I1096">
        <v>20</v>
      </c>
      <c r="J1096">
        <v>91</v>
      </c>
      <c r="K1096" s="1" t="s">
        <v>84</v>
      </c>
      <c r="L1096" s="1" t="s">
        <v>24</v>
      </c>
      <c r="M1096" s="1" t="s">
        <v>2340</v>
      </c>
      <c r="N1096" s="1" t="s">
        <v>2349</v>
      </c>
    </row>
    <row r="1097" spans="1:14" x14ac:dyDescent="0.35">
      <c r="A1097">
        <v>3313054</v>
      </c>
      <c r="B1097" s="1" t="s">
        <v>2117</v>
      </c>
      <c r="C1097">
        <v>38565</v>
      </c>
      <c r="D1097">
        <v>1123</v>
      </c>
      <c r="E1097" s="1" t="s">
        <v>2350</v>
      </c>
      <c r="F1097" s="1" t="s">
        <v>15</v>
      </c>
      <c r="G1097" s="1" t="s">
        <v>22</v>
      </c>
      <c r="H1097">
        <v>75</v>
      </c>
      <c r="I1097">
        <v>21</v>
      </c>
      <c r="J1097">
        <v>93</v>
      </c>
      <c r="K1097" s="1" t="s">
        <v>23</v>
      </c>
      <c r="L1097" s="1" t="s">
        <v>24</v>
      </c>
      <c r="M1097" s="1" t="s">
        <v>2340</v>
      </c>
      <c r="N1097" s="1" t="s">
        <v>2351</v>
      </c>
    </row>
    <row r="1098" spans="1:14" x14ac:dyDescent="0.35">
      <c r="A1098">
        <v>3313022</v>
      </c>
      <c r="B1098" s="1" t="s">
        <v>2117</v>
      </c>
      <c r="C1098">
        <v>38565</v>
      </c>
      <c r="D1098">
        <v>1123</v>
      </c>
      <c r="E1098" s="1" t="s">
        <v>2352</v>
      </c>
      <c r="F1098" s="1" t="s">
        <v>15</v>
      </c>
      <c r="G1098" s="1" t="s">
        <v>22</v>
      </c>
      <c r="H1098">
        <v>83</v>
      </c>
      <c r="I1098">
        <v>26</v>
      </c>
      <c r="J1098">
        <v>161</v>
      </c>
      <c r="K1098" s="1" t="s">
        <v>974</v>
      </c>
      <c r="L1098" s="1" t="s">
        <v>24</v>
      </c>
      <c r="M1098" s="1" t="s">
        <v>2340</v>
      </c>
      <c r="N1098" s="1" t="s">
        <v>2353</v>
      </c>
    </row>
    <row r="1099" spans="1:14" x14ac:dyDescent="0.35">
      <c r="A1099">
        <v>3313053</v>
      </c>
      <c r="B1099" s="1" t="s">
        <v>2117</v>
      </c>
      <c r="C1099">
        <v>38565</v>
      </c>
      <c r="D1099">
        <v>1123</v>
      </c>
      <c r="E1099" s="1" t="s">
        <v>2354</v>
      </c>
      <c r="F1099" s="1" t="s">
        <v>15</v>
      </c>
      <c r="G1099" s="1" t="s">
        <v>22</v>
      </c>
      <c r="H1099">
        <v>70</v>
      </c>
      <c r="I1099">
        <v>26</v>
      </c>
      <c r="J1099">
        <v>190</v>
      </c>
      <c r="K1099" s="1" t="s">
        <v>95</v>
      </c>
      <c r="L1099" s="1" t="s">
        <v>24</v>
      </c>
      <c r="M1099" s="1" t="s">
        <v>2340</v>
      </c>
      <c r="N1099" s="1" t="s">
        <v>2355</v>
      </c>
    </row>
    <row r="1100" spans="1:14" x14ac:dyDescent="0.35">
      <c r="A1100">
        <v>3305066</v>
      </c>
      <c r="B1100" s="1" t="s">
        <v>2117</v>
      </c>
      <c r="C1100">
        <v>38565</v>
      </c>
      <c r="D1100">
        <v>1123</v>
      </c>
      <c r="E1100" s="1" t="s">
        <v>2356</v>
      </c>
      <c r="F1100" s="1" t="s">
        <v>15</v>
      </c>
      <c r="G1100" s="1" t="s">
        <v>16</v>
      </c>
      <c r="H1100">
        <v>345</v>
      </c>
      <c r="I1100">
        <v>96</v>
      </c>
      <c r="J1100">
        <v>625</v>
      </c>
      <c r="K1100" s="1" t="s">
        <v>444</v>
      </c>
      <c r="L1100" s="1" t="s">
        <v>24</v>
      </c>
      <c r="M1100" s="1" t="s">
        <v>2357</v>
      </c>
      <c r="N1100" s="1" t="s">
        <v>2358</v>
      </c>
    </row>
    <row r="1101" spans="1:14" x14ac:dyDescent="0.35">
      <c r="A1101">
        <v>3305011</v>
      </c>
      <c r="B1101" s="1" t="s">
        <v>2117</v>
      </c>
      <c r="C1101">
        <v>38565</v>
      </c>
      <c r="D1101">
        <v>1123</v>
      </c>
      <c r="E1101" s="1" t="s">
        <v>2359</v>
      </c>
      <c r="F1101" s="1" t="s">
        <v>15</v>
      </c>
      <c r="G1101" s="1" t="s">
        <v>32</v>
      </c>
      <c r="H1101">
        <v>295</v>
      </c>
      <c r="I1101">
        <v>42</v>
      </c>
      <c r="J1101">
        <v>891</v>
      </c>
      <c r="K1101" s="1" t="s">
        <v>17</v>
      </c>
      <c r="L1101" s="1" t="s">
        <v>18</v>
      </c>
      <c r="M1101" s="1" t="s">
        <v>2357</v>
      </c>
      <c r="N1101" s="1" t="s">
        <v>2360</v>
      </c>
    </row>
    <row r="1102" spans="1:14" x14ac:dyDescent="0.35">
      <c r="A1102">
        <v>3305103</v>
      </c>
      <c r="B1102" s="1" t="s">
        <v>2117</v>
      </c>
      <c r="C1102">
        <v>38565</v>
      </c>
      <c r="D1102">
        <v>1123</v>
      </c>
      <c r="E1102" s="1" t="s">
        <v>2361</v>
      </c>
      <c r="F1102" s="1" t="s">
        <v>15</v>
      </c>
      <c r="G1102" s="1" t="s">
        <v>32</v>
      </c>
      <c r="H1102">
        <v>106</v>
      </c>
      <c r="I1102">
        <v>35</v>
      </c>
      <c r="J1102">
        <v>377</v>
      </c>
      <c r="K1102" s="1" t="s">
        <v>444</v>
      </c>
      <c r="L1102" s="1" t="s">
        <v>24</v>
      </c>
      <c r="M1102" s="1" t="s">
        <v>2357</v>
      </c>
      <c r="N1102" s="1" t="s">
        <v>2362</v>
      </c>
    </row>
    <row r="1103" spans="1:14" x14ac:dyDescent="0.35">
      <c r="A1103">
        <v>3305023</v>
      </c>
      <c r="B1103" s="1" t="s">
        <v>2117</v>
      </c>
      <c r="C1103">
        <v>38565</v>
      </c>
      <c r="D1103">
        <v>1123</v>
      </c>
      <c r="E1103" s="1" t="s">
        <v>2363</v>
      </c>
      <c r="F1103" s="1" t="s">
        <v>15</v>
      </c>
      <c r="G1103" s="1" t="s">
        <v>32</v>
      </c>
      <c r="H1103">
        <v>158</v>
      </c>
      <c r="I1103">
        <v>34</v>
      </c>
      <c r="J1103">
        <v>309</v>
      </c>
      <c r="K1103" s="1" t="s">
        <v>23</v>
      </c>
      <c r="L1103" s="1" t="s">
        <v>24</v>
      </c>
      <c r="M1103" s="1" t="s">
        <v>2357</v>
      </c>
      <c r="N1103" s="1" t="s">
        <v>2364</v>
      </c>
    </row>
    <row r="1104" spans="1:14" x14ac:dyDescent="0.35">
      <c r="A1104">
        <v>3305092</v>
      </c>
      <c r="B1104" s="1" t="s">
        <v>2117</v>
      </c>
      <c r="C1104">
        <v>38565</v>
      </c>
      <c r="D1104">
        <v>1123</v>
      </c>
      <c r="E1104" s="1" t="s">
        <v>2365</v>
      </c>
      <c r="F1104" s="1" t="s">
        <v>15</v>
      </c>
      <c r="G1104" s="1" t="s">
        <v>32</v>
      </c>
      <c r="H1104">
        <v>117</v>
      </c>
      <c r="I1104">
        <v>33</v>
      </c>
      <c r="J1104">
        <v>255</v>
      </c>
      <c r="K1104" s="1" t="s">
        <v>84</v>
      </c>
      <c r="L1104" s="1" t="s">
        <v>24</v>
      </c>
      <c r="M1104" s="1" t="s">
        <v>2357</v>
      </c>
      <c r="N1104" s="1" t="s">
        <v>2366</v>
      </c>
    </row>
    <row r="1105" spans="1:14" x14ac:dyDescent="0.35">
      <c r="A1105">
        <v>3305120</v>
      </c>
      <c r="B1105" s="1" t="s">
        <v>2117</v>
      </c>
      <c r="C1105">
        <v>38565</v>
      </c>
      <c r="D1105">
        <v>1123</v>
      </c>
      <c r="E1105" s="1" t="s">
        <v>2367</v>
      </c>
      <c r="F1105" s="1" t="s">
        <v>15</v>
      </c>
      <c r="G1105" s="1" t="s">
        <v>32</v>
      </c>
      <c r="H1105">
        <v>114</v>
      </c>
      <c r="I1105">
        <v>36</v>
      </c>
      <c r="J1105">
        <v>413</v>
      </c>
      <c r="K1105" s="1" t="s">
        <v>17</v>
      </c>
      <c r="L1105" s="1" t="s">
        <v>18</v>
      </c>
      <c r="M1105" s="1" t="s">
        <v>2357</v>
      </c>
      <c r="N1105" s="1" t="s">
        <v>2368</v>
      </c>
    </row>
    <row r="1106" spans="1:14" x14ac:dyDescent="0.35">
      <c r="A1106">
        <v>3305033</v>
      </c>
      <c r="B1106" s="1" t="s">
        <v>2117</v>
      </c>
      <c r="C1106">
        <v>38565</v>
      </c>
      <c r="D1106">
        <v>1123</v>
      </c>
      <c r="E1106" s="1" t="s">
        <v>2369</v>
      </c>
      <c r="F1106" s="1" t="s">
        <v>15</v>
      </c>
      <c r="G1106" s="1" t="s">
        <v>32</v>
      </c>
      <c r="H1106">
        <v>119</v>
      </c>
      <c r="I1106">
        <v>36</v>
      </c>
      <c r="J1106">
        <v>264</v>
      </c>
      <c r="K1106" s="1" t="s">
        <v>84</v>
      </c>
      <c r="L1106" s="1" t="s">
        <v>24</v>
      </c>
      <c r="M1106" s="1" t="s">
        <v>2357</v>
      </c>
      <c r="N1106" s="1" t="s">
        <v>2370</v>
      </c>
    </row>
    <row r="1107" spans="1:14" x14ac:dyDescent="0.35">
      <c r="A1107">
        <v>3305118</v>
      </c>
      <c r="B1107" s="1" t="s">
        <v>2117</v>
      </c>
      <c r="C1107">
        <v>38565</v>
      </c>
      <c r="D1107">
        <v>1123</v>
      </c>
      <c r="E1107" s="1" t="s">
        <v>2371</v>
      </c>
      <c r="F1107" s="1" t="s">
        <v>15</v>
      </c>
      <c r="G1107" s="1" t="s">
        <v>22</v>
      </c>
      <c r="H1107">
        <v>58</v>
      </c>
      <c r="I1107">
        <v>29</v>
      </c>
      <c r="J1107">
        <v>164</v>
      </c>
      <c r="K1107" s="1" t="s">
        <v>444</v>
      </c>
      <c r="L1107" s="1" t="s">
        <v>24</v>
      </c>
      <c r="M1107" s="1" t="s">
        <v>2357</v>
      </c>
      <c r="N1107" s="1" t="s">
        <v>2372</v>
      </c>
    </row>
    <row r="1108" spans="1:14" x14ac:dyDescent="0.35">
      <c r="A1108">
        <v>3305114</v>
      </c>
      <c r="B1108" s="1" t="s">
        <v>2117</v>
      </c>
      <c r="C1108">
        <v>38565</v>
      </c>
      <c r="D1108">
        <v>1123</v>
      </c>
      <c r="E1108" s="1" t="s">
        <v>2373</v>
      </c>
      <c r="F1108" s="1" t="s">
        <v>15</v>
      </c>
      <c r="G1108" s="1" t="s">
        <v>22</v>
      </c>
      <c r="H1108">
        <v>106</v>
      </c>
      <c r="I1108">
        <v>33</v>
      </c>
      <c r="J1108">
        <v>220</v>
      </c>
      <c r="K1108" s="1" t="s">
        <v>84</v>
      </c>
      <c r="L1108" s="1" t="s">
        <v>24</v>
      </c>
      <c r="M1108" s="1" t="s">
        <v>2357</v>
      </c>
      <c r="N1108" s="1" t="s">
        <v>2374</v>
      </c>
    </row>
    <row r="1109" spans="1:14" x14ac:dyDescent="0.35">
      <c r="A1109">
        <v>3305117</v>
      </c>
      <c r="B1109" s="1" t="s">
        <v>2117</v>
      </c>
      <c r="C1109">
        <v>38565</v>
      </c>
      <c r="D1109">
        <v>1123</v>
      </c>
      <c r="E1109" s="1" t="s">
        <v>2375</v>
      </c>
      <c r="F1109" s="1" t="s">
        <v>15</v>
      </c>
      <c r="G1109" s="1" t="s">
        <v>22</v>
      </c>
      <c r="H1109">
        <v>62</v>
      </c>
      <c r="I1109">
        <v>24</v>
      </c>
      <c r="J1109">
        <v>171</v>
      </c>
      <c r="K1109" s="1" t="s">
        <v>444</v>
      </c>
      <c r="L1109" s="1" t="s">
        <v>24</v>
      </c>
      <c r="M1109" s="1" t="s">
        <v>2357</v>
      </c>
      <c r="N1109" s="1" t="s">
        <v>2376</v>
      </c>
    </row>
    <row r="1110" spans="1:14" x14ac:dyDescent="0.35">
      <c r="A1110">
        <v>3305081</v>
      </c>
      <c r="B1110" s="1" t="s">
        <v>2117</v>
      </c>
      <c r="C1110">
        <v>38565</v>
      </c>
      <c r="D1110">
        <v>1123</v>
      </c>
      <c r="E1110" s="1" t="s">
        <v>2377</v>
      </c>
      <c r="F1110" s="1" t="s">
        <v>15</v>
      </c>
      <c r="G1110" s="1" t="s">
        <v>22</v>
      </c>
      <c r="H1110">
        <v>70</v>
      </c>
      <c r="I1110">
        <v>20</v>
      </c>
      <c r="J1110">
        <v>122</v>
      </c>
      <c r="K1110" s="1" t="s">
        <v>84</v>
      </c>
      <c r="L1110" s="1" t="s">
        <v>24</v>
      </c>
      <c r="M1110" s="1" t="s">
        <v>2357</v>
      </c>
      <c r="N1110" s="1" t="s">
        <v>2378</v>
      </c>
    </row>
    <row r="1111" spans="1:14" x14ac:dyDescent="0.35">
      <c r="A1111">
        <v>3324014</v>
      </c>
      <c r="B1111" s="1" t="s">
        <v>2117</v>
      </c>
      <c r="C1111">
        <v>38565</v>
      </c>
      <c r="D1111">
        <v>1123</v>
      </c>
      <c r="E1111" s="1" t="s">
        <v>2379</v>
      </c>
      <c r="F1111" s="1" t="s">
        <v>15</v>
      </c>
      <c r="G1111" s="1" t="s">
        <v>16</v>
      </c>
      <c r="H1111">
        <v>270</v>
      </c>
      <c r="I1111">
        <v>77</v>
      </c>
      <c r="J1111">
        <v>465</v>
      </c>
      <c r="K1111" s="1" t="s">
        <v>17</v>
      </c>
      <c r="L1111" s="1" t="s">
        <v>18</v>
      </c>
      <c r="M1111" s="1" t="s">
        <v>2380</v>
      </c>
      <c r="N1111" s="1" t="s">
        <v>2381</v>
      </c>
    </row>
    <row r="1112" spans="1:14" x14ac:dyDescent="0.35">
      <c r="A1112">
        <v>3324040</v>
      </c>
      <c r="B1112" s="1" t="s">
        <v>2117</v>
      </c>
      <c r="C1112">
        <v>38565</v>
      </c>
      <c r="D1112">
        <v>1123</v>
      </c>
      <c r="E1112" s="1" t="s">
        <v>2382</v>
      </c>
      <c r="F1112" s="1" t="s">
        <v>15</v>
      </c>
      <c r="G1112" s="1" t="s">
        <v>32</v>
      </c>
      <c r="H1112">
        <v>100</v>
      </c>
      <c r="I1112">
        <v>25</v>
      </c>
      <c r="J1112">
        <v>103</v>
      </c>
      <c r="K1112" s="1" t="s">
        <v>90</v>
      </c>
      <c r="L1112" s="1" t="s">
        <v>24</v>
      </c>
      <c r="M1112" s="1" t="s">
        <v>2380</v>
      </c>
      <c r="N1112" s="1" t="s">
        <v>2383</v>
      </c>
    </row>
    <row r="1113" spans="1:14" x14ac:dyDescent="0.35">
      <c r="A1113">
        <v>3324036</v>
      </c>
      <c r="B1113" s="1" t="s">
        <v>2117</v>
      </c>
      <c r="C1113">
        <v>38565</v>
      </c>
      <c r="D1113">
        <v>1123</v>
      </c>
      <c r="E1113" s="1" t="s">
        <v>2384</v>
      </c>
      <c r="F1113" s="1" t="s">
        <v>15</v>
      </c>
      <c r="G1113" s="1" t="s">
        <v>32</v>
      </c>
      <c r="H1113">
        <v>287</v>
      </c>
      <c r="I1113">
        <v>52</v>
      </c>
      <c r="J1113">
        <v>293</v>
      </c>
      <c r="K1113" s="1" t="s">
        <v>444</v>
      </c>
      <c r="L1113" s="1" t="s">
        <v>24</v>
      </c>
      <c r="M1113" s="1" t="s">
        <v>2380</v>
      </c>
      <c r="N1113" s="1" t="s">
        <v>2385</v>
      </c>
    </row>
    <row r="1114" spans="1:14" x14ac:dyDescent="0.35">
      <c r="A1114">
        <v>3324053</v>
      </c>
      <c r="B1114" s="1" t="s">
        <v>2117</v>
      </c>
      <c r="C1114">
        <v>38565</v>
      </c>
      <c r="D1114">
        <v>1123</v>
      </c>
      <c r="E1114" s="1" t="s">
        <v>2386</v>
      </c>
      <c r="F1114" s="1" t="s">
        <v>15</v>
      </c>
      <c r="G1114" s="1" t="s">
        <v>22</v>
      </c>
      <c r="H1114">
        <v>64</v>
      </c>
      <c r="I1114">
        <v>49</v>
      </c>
      <c r="K1114" s="1" t="s">
        <v>23</v>
      </c>
      <c r="L1114" s="1" t="s">
        <v>24</v>
      </c>
      <c r="M1114" s="1" t="s">
        <v>2380</v>
      </c>
      <c r="N1114" s="1" t="s">
        <v>2387</v>
      </c>
    </row>
    <row r="1115" spans="1:14" x14ac:dyDescent="0.35">
      <c r="A1115">
        <v>3324037</v>
      </c>
      <c r="B1115" s="1" t="s">
        <v>2117</v>
      </c>
      <c r="C1115">
        <v>38565</v>
      </c>
      <c r="D1115">
        <v>1123</v>
      </c>
      <c r="E1115" s="1" t="s">
        <v>2388</v>
      </c>
      <c r="F1115" s="1" t="s">
        <v>15</v>
      </c>
      <c r="G1115" s="1" t="s">
        <v>22</v>
      </c>
      <c r="H1115">
        <v>88</v>
      </c>
      <c r="I1115">
        <v>31</v>
      </c>
      <c r="J1115">
        <v>166</v>
      </c>
      <c r="K1115" s="1" t="s">
        <v>444</v>
      </c>
      <c r="L1115" s="1" t="s">
        <v>24</v>
      </c>
      <c r="M1115" s="1" t="s">
        <v>2380</v>
      </c>
      <c r="N1115" s="1" t="s">
        <v>2389</v>
      </c>
    </row>
    <row r="1116" spans="1:14" x14ac:dyDescent="0.35">
      <c r="A1116">
        <v>3324038</v>
      </c>
      <c r="B1116" s="1" t="s">
        <v>2117</v>
      </c>
      <c r="C1116">
        <v>38565</v>
      </c>
      <c r="D1116">
        <v>1123</v>
      </c>
      <c r="E1116" s="1" t="s">
        <v>2390</v>
      </c>
      <c r="F1116" s="1" t="s">
        <v>15</v>
      </c>
      <c r="G1116" s="1" t="s">
        <v>22</v>
      </c>
      <c r="H1116">
        <v>64</v>
      </c>
      <c r="I1116">
        <v>23</v>
      </c>
      <c r="J1116">
        <v>236</v>
      </c>
      <c r="K1116" s="1" t="s">
        <v>90</v>
      </c>
      <c r="L1116" s="1" t="s">
        <v>24</v>
      </c>
      <c r="M1116" s="1" t="s">
        <v>2380</v>
      </c>
      <c r="N1116" s="1" t="s">
        <v>2391</v>
      </c>
    </row>
    <row r="1117" spans="1:14" x14ac:dyDescent="0.35">
      <c r="A1117">
        <v>3324052</v>
      </c>
      <c r="B1117" s="1" t="s">
        <v>2117</v>
      </c>
      <c r="C1117">
        <v>38565</v>
      </c>
      <c r="D1117">
        <v>1123</v>
      </c>
      <c r="E1117" s="1" t="s">
        <v>2392</v>
      </c>
      <c r="F1117" s="1" t="s">
        <v>15</v>
      </c>
      <c r="G1117" s="1" t="s">
        <v>22</v>
      </c>
      <c r="H1117">
        <v>53</v>
      </c>
      <c r="I1117">
        <v>25</v>
      </c>
      <c r="K1117" s="1" t="s">
        <v>444</v>
      </c>
      <c r="L1117" s="1" t="s">
        <v>24</v>
      </c>
      <c r="M1117" s="1" t="s">
        <v>2380</v>
      </c>
      <c r="N1117" s="1" t="s">
        <v>2393</v>
      </c>
    </row>
    <row r="1118" spans="1:14" x14ac:dyDescent="0.35">
      <c r="A1118">
        <v>3310015</v>
      </c>
      <c r="B1118" s="1" t="s">
        <v>2117</v>
      </c>
      <c r="C1118">
        <v>38565</v>
      </c>
      <c r="D1118">
        <v>1123</v>
      </c>
      <c r="E1118" s="1" t="s">
        <v>2394</v>
      </c>
      <c r="F1118" s="1" t="s">
        <v>2395</v>
      </c>
      <c r="G1118" s="1" t="s">
        <v>15</v>
      </c>
      <c r="I1118">
        <v>419</v>
      </c>
      <c r="J1118">
        <v>141</v>
      </c>
      <c r="K1118" s="1" t="s">
        <v>120</v>
      </c>
      <c r="L1118" s="1" t="s">
        <v>130</v>
      </c>
      <c r="M1118" s="1" t="s">
        <v>2396</v>
      </c>
      <c r="N1118" s="1" t="s">
        <v>2397</v>
      </c>
    </row>
    <row r="1119" spans="1:14" x14ac:dyDescent="0.35">
      <c r="A1119">
        <v>3310026</v>
      </c>
      <c r="B1119" s="1" t="s">
        <v>2117</v>
      </c>
      <c r="C1119">
        <v>38565</v>
      </c>
      <c r="D1119">
        <v>1123</v>
      </c>
      <c r="E1119" s="1" t="s">
        <v>2398</v>
      </c>
      <c r="F1119" s="1" t="s">
        <v>129</v>
      </c>
      <c r="G1119" s="1" t="s">
        <v>130</v>
      </c>
      <c r="H1119">
        <v>172</v>
      </c>
      <c r="I1119">
        <v>34</v>
      </c>
      <c r="J1119">
        <v>504</v>
      </c>
      <c r="K1119" s="1" t="s">
        <v>124</v>
      </c>
      <c r="L1119" s="1" t="s">
        <v>18</v>
      </c>
      <c r="M1119" s="1" t="s">
        <v>2396</v>
      </c>
      <c r="N1119" s="1" t="s">
        <v>2399</v>
      </c>
    </row>
    <row r="1120" spans="1:14" x14ac:dyDescent="0.35">
      <c r="A1120">
        <v>3310384</v>
      </c>
      <c r="B1120" s="1" t="s">
        <v>2117</v>
      </c>
      <c r="C1120">
        <v>38565</v>
      </c>
      <c r="D1120">
        <v>1123</v>
      </c>
      <c r="E1120" s="1" t="s">
        <v>2400</v>
      </c>
      <c r="F1120" s="1" t="s">
        <v>15</v>
      </c>
      <c r="G1120" s="1" t="s">
        <v>16</v>
      </c>
      <c r="H1120">
        <v>272</v>
      </c>
      <c r="I1120">
        <v>123</v>
      </c>
      <c r="J1120">
        <v>742</v>
      </c>
      <c r="K1120" s="1" t="s">
        <v>444</v>
      </c>
      <c r="L1120" s="1" t="s">
        <v>24</v>
      </c>
      <c r="M1120" s="1" t="s">
        <v>2396</v>
      </c>
      <c r="N1120" s="1" t="s">
        <v>2401</v>
      </c>
    </row>
    <row r="1121" spans="1:14" x14ac:dyDescent="0.35">
      <c r="A1121">
        <v>3310052</v>
      </c>
      <c r="B1121" s="1" t="s">
        <v>2117</v>
      </c>
      <c r="C1121">
        <v>38565</v>
      </c>
      <c r="D1121">
        <v>1123</v>
      </c>
      <c r="E1121" s="1" t="s">
        <v>2402</v>
      </c>
      <c r="F1121" s="1" t="s">
        <v>15</v>
      </c>
      <c r="G1121" s="1" t="s">
        <v>32</v>
      </c>
      <c r="H1121">
        <v>151</v>
      </c>
      <c r="I1121">
        <v>29</v>
      </c>
      <c r="J1121">
        <v>157</v>
      </c>
      <c r="K1121" s="1" t="s">
        <v>444</v>
      </c>
      <c r="L1121" s="1" t="s">
        <v>24</v>
      </c>
      <c r="M1121" s="1" t="s">
        <v>2396</v>
      </c>
      <c r="N1121" s="1" t="s">
        <v>2403</v>
      </c>
    </row>
    <row r="1122" spans="1:14" x14ac:dyDescent="0.35">
      <c r="A1122">
        <v>3310405</v>
      </c>
      <c r="B1122" s="1" t="s">
        <v>2117</v>
      </c>
      <c r="C1122">
        <v>38565</v>
      </c>
      <c r="D1122">
        <v>1123</v>
      </c>
      <c r="E1122" s="1" t="s">
        <v>2404</v>
      </c>
      <c r="F1122" s="1" t="s">
        <v>15</v>
      </c>
      <c r="G1122" s="1" t="s">
        <v>32</v>
      </c>
      <c r="H1122">
        <v>133</v>
      </c>
      <c r="I1122">
        <v>29</v>
      </c>
      <c r="J1122">
        <v>222</v>
      </c>
      <c r="K1122" s="1" t="s">
        <v>84</v>
      </c>
      <c r="L1122" s="1" t="s">
        <v>24</v>
      </c>
      <c r="M1122" s="1" t="s">
        <v>2396</v>
      </c>
      <c r="N1122" s="1" t="s">
        <v>2405</v>
      </c>
    </row>
    <row r="1123" spans="1:14" x14ac:dyDescent="0.35">
      <c r="A1123">
        <v>3310417</v>
      </c>
      <c r="B1123" s="1" t="s">
        <v>2117</v>
      </c>
      <c r="C1123">
        <v>38565</v>
      </c>
      <c r="D1123">
        <v>1123</v>
      </c>
      <c r="E1123" s="1" t="s">
        <v>2406</v>
      </c>
      <c r="F1123" s="1" t="s">
        <v>15</v>
      </c>
      <c r="G1123" s="1" t="s">
        <v>32</v>
      </c>
      <c r="H1123">
        <v>107</v>
      </c>
      <c r="I1123">
        <v>55</v>
      </c>
      <c r="J1123">
        <v>182</v>
      </c>
      <c r="K1123" s="1" t="s">
        <v>23</v>
      </c>
      <c r="L1123" s="1" t="s">
        <v>24</v>
      </c>
      <c r="M1123" s="1" t="s">
        <v>2396</v>
      </c>
      <c r="N1123" s="1" t="s">
        <v>2407</v>
      </c>
    </row>
    <row r="1124" spans="1:14" x14ac:dyDescent="0.35">
      <c r="A1124">
        <v>3310395</v>
      </c>
      <c r="B1124" s="1" t="s">
        <v>2117</v>
      </c>
      <c r="C1124">
        <v>38565</v>
      </c>
      <c r="D1124">
        <v>1123</v>
      </c>
      <c r="E1124" s="1" t="s">
        <v>2408</v>
      </c>
      <c r="F1124" s="1" t="s">
        <v>15</v>
      </c>
      <c r="G1124" s="1" t="s">
        <v>32</v>
      </c>
      <c r="H1124">
        <v>103</v>
      </c>
      <c r="I1124">
        <v>80</v>
      </c>
      <c r="J1124">
        <v>190</v>
      </c>
      <c r="K1124" s="1" t="s">
        <v>84</v>
      </c>
      <c r="L1124" s="1" t="s">
        <v>24</v>
      </c>
      <c r="M1124" s="1" t="s">
        <v>2396</v>
      </c>
      <c r="N1124" s="1" t="s">
        <v>2409</v>
      </c>
    </row>
    <row r="1125" spans="1:14" x14ac:dyDescent="0.35">
      <c r="A1125">
        <v>3310421</v>
      </c>
      <c r="B1125" s="1" t="s">
        <v>2117</v>
      </c>
      <c r="C1125">
        <v>38565</v>
      </c>
      <c r="D1125">
        <v>1123</v>
      </c>
      <c r="E1125" s="1" t="s">
        <v>2410</v>
      </c>
      <c r="F1125" s="1" t="s">
        <v>15</v>
      </c>
      <c r="G1125" s="1" t="s">
        <v>32</v>
      </c>
      <c r="H1125">
        <v>166</v>
      </c>
      <c r="I1125">
        <v>75</v>
      </c>
      <c r="J1125">
        <v>340</v>
      </c>
      <c r="K1125" s="1" t="s">
        <v>17</v>
      </c>
      <c r="L1125" s="1" t="s">
        <v>18</v>
      </c>
      <c r="M1125" s="1" t="s">
        <v>2396</v>
      </c>
      <c r="N1125" s="1" t="s">
        <v>2411</v>
      </c>
    </row>
    <row r="1126" spans="1:14" x14ac:dyDescent="0.35">
      <c r="A1126">
        <v>3310416</v>
      </c>
      <c r="B1126" s="1" t="s">
        <v>2117</v>
      </c>
      <c r="C1126">
        <v>38565</v>
      </c>
      <c r="D1126">
        <v>1123</v>
      </c>
      <c r="E1126" s="1" t="s">
        <v>2412</v>
      </c>
      <c r="F1126" s="1" t="s">
        <v>15</v>
      </c>
      <c r="G1126" s="1" t="s">
        <v>32</v>
      </c>
      <c r="H1126">
        <v>182</v>
      </c>
      <c r="I1126">
        <v>50</v>
      </c>
      <c r="J1126">
        <v>279</v>
      </c>
      <c r="K1126" s="1" t="s">
        <v>444</v>
      </c>
      <c r="L1126" s="1" t="s">
        <v>24</v>
      </c>
      <c r="M1126" s="1" t="s">
        <v>2396</v>
      </c>
      <c r="N1126" s="1" t="s">
        <v>2413</v>
      </c>
    </row>
    <row r="1127" spans="1:14" x14ac:dyDescent="0.35">
      <c r="A1127">
        <v>3310418</v>
      </c>
      <c r="B1127" s="1" t="s">
        <v>2117</v>
      </c>
      <c r="C1127">
        <v>38565</v>
      </c>
      <c r="D1127">
        <v>1123</v>
      </c>
      <c r="E1127" s="1" t="s">
        <v>2414</v>
      </c>
      <c r="F1127" s="1" t="s">
        <v>15</v>
      </c>
      <c r="G1127" s="1" t="s">
        <v>22</v>
      </c>
      <c r="H1127">
        <v>110</v>
      </c>
      <c r="I1127">
        <v>32</v>
      </c>
      <c r="J1127">
        <v>201</v>
      </c>
      <c r="K1127" s="1" t="s">
        <v>444</v>
      </c>
      <c r="L1127" s="1" t="s">
        <v>24</v>
      </c>
      <c r="M1127" s="1" t="s">
        <v>2396</v>
      </c>
      <c r="N1127" s="1" t="s">
        <v>2415</v>
      </c>
    </row>
    <row r="1128" spans="1:14" x14ac:dyDescent="0.35">
      <c r="A1128">
        <v>3310419</v>
      </c>
      <c r="B1128" s="1" t="s">
        <v>2117</v>
      </c>
      <c r="C1128">
        <v>38565</v>
      </c>
      <c r="D1128">
        <v>1123</v>
      </c>
      <c r="E1128" s="1" t="s">
        <v>2416</v>
      </c>
      <c r="F1128" s="1" t="s">
        <v>15</v>
      </c>
      <c r="G1128" s="1" t="s">
        <v>22</v>
      </c>
      <c r="H1128">
        <v>75</v>
      </c>
      <c r="I1128">
        <v>58</v>
      </c>
      <c r="J1128">
        <v>117</v>
      </c>
      <c r="K1128" s="1" t="s">
        <v>90</v>
      </c>
      <c r="L1128" s="1" t="s">
        <v>24</v>
      </c>
      <c r="M1128" s="1" t="s">
        <v>2396</v>
      </c>
      <c r="N1128" s="1" t="s">
        <v>2417</v>
      </c>
    </row>
    <row r="1129" spans="1:14" x14ac:dyDescent="0.35">
      <c r="A1129">
        <v>3310426</v>
      </c>
      <c r="B1129" s="1" t="s">
        <v>2117</v>
      </c>
      <c r="C1129">
        <v>38565</v>
      </c>
      <c r="D1129">
        <v>1123</v>
      </c>
      <c r="E1129" s="1" t="s">
        <v>2418</v>
      </c>
      <c r="F1129" s="1" t="s">
        <v>15</v>
      </c>
      <c r="G1129" s="1" t="s">
        <v>22</v>
      </c>
      <c r="H1129">
        <v>66</v>
      </c>
      <c r="I1129">
        <v>39</v>
      </c>
      <c r="K1129" s="1" t="s">
        <v>444</v>
      </c>
      <c r="L1129" s="1" t="s">
        <v>24</v>
      </c>
      <c r="M1129" s="1" t="s">
        <v>2396</v>
      </c>
      <c r="N1129" s="1" t="s">
        <v>2419</v>
      </c>
    </row>
    <row r="1130" spans="1:14" x14ac:dyDescent="0.35">
      <c r="A1130">
        <v>3310425</v>
      </c>
      <c r="B1130" s="1" t="s">
        <v>2117</v>
      </c>
      <c r="C1130">
        <v>38565</v>
      </c>
      <c r="D1130">
        <v>1123</v>
      </c>
      <c r="E1130" s="1" t="s">
        <v>2420</v>
      </c>
      <c r="F1130" s="1" t="s">
        <v>15</v>
      </c>
      <c r="G1130" s="1" t="s">
        <v>22</v>
      </c>
      <c r="H1130">
        <v>61</v>
      </c>
      <c r="I1130">
        <v>39</v>
      </c>
      <c r="J1130">
        <v>59</v>
      </c>
      <c r="K1130" s="1" t="s">
        <v>444</v>
      </c>
      <c r="L1130" s="1" t="s">
        <v>24</v>
      </c>
      <c r="M1130" s="1" t="s">
        <v>2396</v>
      </c>
      <c r="N1130" s="1" t="s">
        <v>2421</v>
      </c>
    </row>
    <row r="1131" spans="1:14" x14ac:dyDescent="0.35">
      <c r="A1131">
        <v>3371105</v>
      </c>
      <c r="B1131" s="1" t="s">
        <v>2117</v>
      </c>
      <c r="C1131">
        <v>38565</v>
      </c>
      <c r="D1131">
        <v>1123</v>
      </c>
      <c r="E1131" s="1" t="s">
        <v>2422</v>
      </c>
      <c r="F1131" s="1" t="s">
        <v>71</v>
      </c>
      <c r="G1131" s="1" t="s">
        <v>32</v>
      </c>
      <c r="H1131">
        <v>36</v>
      </c>
      <c r="I1131">
        <v>24</v>
      </c>
      <c r="J1131">
        <v>75</v>
      </c>
      <c r="K1131" s="1" t="s">
        <v>84</v>
      </c>
      <c r="L1131" s="1" t="s">
        <v>24</v>
      </c>
      <c r="M1131" s="1" t="s">
        <v>2423</v>
      </c>
      <c r="N1131" s="1" t="s">
        <v>2424</v>
      </c>
    </row>
    <row r="1132" spans="1:14" x14ac:dyDescent="0.35">
      <c r="A1132">
        <v>3371040</v>
      </c>
      <c r="B1132" s="1" t="s">
        <v>2117</v>
      </c>
      <c r="C1132">
        <v>38565</v>
      </c>
      <c r="D1132">
        <v>1123</v>
      </c>
      <c r="E1132" s="1" t="s">
        <v>2425</v>
      </c>
      <c r="F1132" s="1" t="s">
        <v>129</v>
      </c>
      <c r="G1132" s="1" t="s">
        <v>130</v>
      </c>
      <c r="H1132">
        <v>456</v>
      </c>
      <c r="I1132">
        <v>44</v>
      </c>
      <c r="J1132">
        <v>948</v>
      </c>
      <c r="K1132" s="1" t="s">
        <v>339</v>
      </c>
      <c r="L1132" s="1" t="s">
        <v>120</v>
      </c>
      <c r="M1132" s="1" t="s">
        <v>2423</v>
      </c>
      <c r="N1132" s="1" t="s">
        <v>2426</v>
      </c>
    </row>
    <row r="1133" spans="1:14" x14ac:dyDescent="0.35">
      <c r="A1133">
        <v>3371025</v>
      </c>
      <c r="B1133" s="1" t="s">
        <v>2117</v>
      </c>
      <c r="C1133">
        <v>38565</v>
      </c>
      <c r="D1133">
        <v>1123</v>
      </c>
      <c r="E1133" s="1" t="s">
        <v>2427</v>
      </c>
      <c r="F1133" s="1" t="s">
        <v>15</v>
      </c>
      <c r="G1133" s="1" t="s">
        <v>16</v>
      </c>
      <c r="H1133">
        <v>229</v>
      </c>
      <c r="I1133">
        <v>65</v>
      </c>
      <c r="J1133">
        <v>698</v>
      </c>
      <c r="K1133" s="1" t="s">
        <v>27</v>
      </c>
      <c r="L1133" s="1" t="s">
        <v>120</v>
      </c>
      <c r="M1133" s="1" t="s">
        <v>2423</v>
      </c>
      <c r="N1133" s="1" t="s">
        <v>2428</v>
      </c>
    </row>
    <row r="1134" spans="1:14" x14ac:dyDescent="0.35">
      <c r="A1134">
        <v>3371014</v>
      </c>
      <c r="B1134" s="1" t="s">
        <v>2117</v>
      </c>
      <c r="C1134">
        <v>38565</v>
      </c>
      <c r="D1134">
        <v>1123</v>
      </c>
      <c r="E1134" s="1" t="s">
        <v>2429</v>
      </c>
      <c r="F1134" s="1" t="s">
        <v>15</v>
      </c>
      <c r="G1134" s="1" t="s">
        <v>16</v>
      </c>
      <c r="H1134">
        <v>345</v>
      </c>
      <c r="I1134">
        <v>102</v>
      </c>
      <c r="J1134">
        <v>1431</v>
      </c>
      <c r="K1134" s="1" t="s">
        <v>137</v>
      </c>
      <c r="L1134" s="1" t="s">
        <v>18</v>
      </c>
      <c r="M1134" s="1" t="s">
        <v>2423</v>
      </c>
      <c r="N1134" s="1" t="s">
        <v>2430</v>
      </c>
    </row>
    <row r="1135" spans="1:14" x14ac:dyDescent="0.35">
      <c r="A1135">
        <v>3371131</v>
      </c>
      <c r="B1135" s="1" t="s">
        <v>2117</v>
      </c>
      <c r="C1135">
        <v>38565</v>
      </c>
      <c r="D1135">
        <v>1123</v>
      </c>
      <c r="E1135" s="1" t="s">
        <v>2431</v>
      </c>
      <c r="F1135" s="1" t="s">
        <v>15</v>
      </c>
      <c r="G1135" s="1" t="s">
        <v>32</v>
      </c>
      <c r="H1135">
        <v>98</v>
      </c>
      <c r="I1135">
        <v>48</v>
      </c>
      <c r="J1135">
        <v>241</v>
      </c>
      <c r="K1135" s="1" t="s">
        <v>23</v>
      </c>
      <c r="L1135" s="1" t="s">
        <v>24</v>
      </c>
      <c r="M1135" s="1" t="s">
        <v>2423</v>
      </c>
      <c r="N1135" s="1" t="s">
        <v>2432</v>
      </c>
    </row>
    <row r="1136" spans="1:14" x14ac:dyDescent="0.35">
      <c r="A1136">
        <v>3371084</v>
      </c>
      <c r="B1136" s="1" t="s">
        <v>2117</v>
      </c>
      <c r="C1136">
        <v>38565</v>
      </c>
      <c r="D1136">
        <v>1123</v>
      </c>
      <c r="E1136" s="1" t="s">
        <v>2433</v>
      </c>
      <c r="F1136" s="1" t="s">
        <v>15</v>
      </c>
      <c r="G1136" s="1" t="s">
        <v>22</v>
      </c>
      <c r="H1136">
        <v>55</v>
      </c>
      <c r="I1136">
        <v>23</v>
      </c>
      <c r="J1136">
        <v>148</v>
      </c>
      <c r="K1136" s="1" t="s">
        <v>84</v>
      </c>
      <c r="L1136" s="1" t="s">
        <v>24</v>
      </c>
      <c r="M1136" s="1" t="s">
        <v>2423</v>
      </c>
      <c r="N1136" s="1" t="s">
        <v>2434</v>
      </c>
    </row>
    <row r="1137" spans="1:14" x14ac:dyDescent="0.35">
      <c r="A1137">
        <v>3371142</v>
      </c>
      <c r="B1137" s="1" t="s">
        <v>2117</v>
      </c>
      <c r="C1137">
        <v>38565</v>
      </c>
      <c r="D1137">
        <v>1123</v>
      </c>
      <c r="E1137" s="1" t="s">
        <v>2435</v>
      </c>
      <c r="F1137" s="1" t="s">
        <v>15</v>
      </c>
      <c r="G1137" s="1" t="s">
        <v>22</v>
      </c>
      <c r="H1137">
        <v>60</v>
      </c>
      <c r="I1137">
        <v>28</v>
      </c>
      <c r="J1137">
        <v>124</v>
      </c>
      <c r="K1137" s="1" t="s">
        <v>84</v>
      </c>
      <c r="L1137" s="1" t="s">
        <v>24</v>
      </c>
      <c r="M1137" s="1" t="s">
        <v>2423</v>
      </c>
      <c r="N1137" s="1" t="s">
        <v>2436</v>
      </c>
    </row>
    <row r="1138" spans="1:14" x14ac:dyDescent="0.35">
      <c r="A1138">
        <v>3371144</v>
      </c>
      <c r="B1138" s="1" t="s">
        <v>2117</v>
      </c>
      <c r="C1138">
        <v>38565</v>
      </c>
      <c r="D1138">
        <v>1123</v>
      </c>
      <c r="E1138" s="1" t="s">
        <v>2437</v>
      </c>
      <c r="F1138" s="1" t="s">
        <v>15</v>
      </c>
      <c r="G1138" s="1" t="s">
        <v>22</v>
      </c>
      <c r="H1138">
        <v>80</v>
      </c>
      <c r="I1138">
        <v>23</v>
      </c>
      <c r="J1138">
        <v>53</v>
      </c>
      <c r="K1138" s="1" t="s">
        <v>137</v>
      </c>
      <c r="L1138" s="1" t="s">
        <v>18</v>
      </c>
      <c r="M1138" s="1" t="s">
        <v>2423</v>
      </c>
      <c r="N1138" s="1" t="s">
        <v>2438</v>
      </c>
    </row>
    <row r="1139" spans="1:14" x14ac:dyDescent="0.35">
      <c r="A1139">
        <v>3326049</v>
      </c>
      <c r="B1139" s="1" t="s">
        <v>2117</v>
      </c>
      <c r="C1139">
        <v>38565</v>
      </c>
      <c r="D1139">
        <v>1123</v>
      </c>
      <c r="E1139" s="1" t="s">
        <v>2439</v>
      </c>
      <c r="F1139" s="1" t="s">
        <v>15</v>
      </c>
      <c r="G1139" s="1" t="s">
        <v>32</v>
      </c>
      <c r="H1139">
        <v>180</v>
      </c>
      <c r="I1139">
        <v>89</v>
      </c>
      <c r="J1139">
        <v>550</v>
      </c>
      <c r="K1139" s="1" t="s">
        <v>137</v>
      </c>
      <c r="L1139" s="1" t="s">
        <v>18</v>
      </c>
      <c r="M1139" s="1" t="s">
        <v>2440</v>
      </c>
      <c r="N1139" s="1" t="s">
        <v>2441</v>
      </c>
    </row>
    <row r="1140" spans="1:14" x14ac:dyDescent="0.35">
      <c r="A1140">
        <v>3375022</v>
      </c>
      <c r="B1140" s="1" t="s">
        <v>2117</v>
      </c>
      <c r="C1140">
        <v>38565</v>
      </c>
      <c r="D1140">
        <v>1123</v>
      </c>
      <c r="E1140" s="1" t="s">
        <v>2442</v>
      </c>
      <c r="F1140" s="1" t="s">
        <v>15</v>
      </c>
      <c r="G1140" s="1" t="s">
        <v>32</v>
      </c>
      <c r="H1140">
        <v>154</v>
      </c>
      <c r="I1140">
        <v>31</v>
      </c>
      <c r="J1140">
        <v>493</v>
      </c>
      <c r="K1140" s="1" t="s">
        <v>572</v>
      </c>
      <c r="L1140" s="1" t="s">
        <v>24</v>
      </c>
      <c r="M1140" s="1" t="s">
        <v>2440</v>
      </c>
      <c r="N1140" s="1" t="s">
        <v>2443</v>
      </c>
    </row>
    <row r="1141" spans="1:14" x14ac:dyDescent="0.35">
      <c r="A1141">
        <v>3375033</v>
      </c>
      <c r="B1141" s="1" t="s">
        <v>2117</v>
      </c>
      <c r="C1141">
        <v>38565</v>
      </c>
      <c r="D1141">
        <v>1123</v>
      </c>
      <c r="E1141" s="1" t="s">
        <v>2444</v>
      </c>
      <c r="F1141" s="1" t="s">
        <v>15</v>
      </c>
      <c r="G1141" s="1" t="s">
        <v>32</v>
      </c>
      <c r="H1141">
        <v>113</v>
      </c>
      <c r="I1141">
        <v>35</v>
      </c>
      <c r="J1141">
        <v>353</v>
      </c>
      <c r="K1141" s="1" t="s">
        <v>444</v>
      </c>
      <c r="L1141" s="1" t="s">
        <v>24</v>
      </c>
      <c r="M1141" s="1" t="s">
        <v>2440</v>
      </c>
      <c r="N1141" s="1" t="s">
        <v>2445</v>
      </c>
    </row>
    <row r="1142" spans="1:14" x14ac:dyDescent="0.35">
      <c r="A1142">
        <v>3375074</v>
      </c>
      <c r="B1142" s="1" t="s">
        <v>2117</v>
      </c>
      <c r="C1142">
        <v>38565</v>
      </c>
      <c r="D1142">
        <v>1123</v>
      </c>
      <c r="E1142" s="1" t="s">
        <v>2446</v>
      </c>
      <c r="F1142" s="1" t="s">
        <v>15</v>
      </c>
      <c r="G1142" s="1" t="s">
        <v>22</v>
      </c>
      <c r="H1142">
        <v>50</v>
      </c>
      <c r="I1142">
        <v>33</v>
      </c>
      <c r="J1142">
        <v>122</v>
      </c>
      <c r="K1142" s="1" t="s">
        <v>23</v>
      </c>
      <c r="L1142" s="1" t="s">
        <v>24</v>
      </c>
      <c r="M1142" s="1" t="s">
        <v>2440</v>
      </c>
      <c r="N1142" s="1" t="s">
        <v>2447</v>
      </c>
    </row>
    <row r="1143" spans="1:14" x14ac:dyDescent="0.35">
      <c r="A1143">
        <v>3375072</v>
      </c>
      <c r="B1143" s="1" t="s">
        <v>2117</v>
      </c>
      <c r="C1143">
        <v>38565</v>
      </c>
      <c r="D1143">
        <v>1123</v>
      </c>
      <c r="E1143" s="1" t="s">
        <v>2448</v>
      </c>
      <c r="F1143" s="1" t="s">
        <v>15</v>
      </c>
      <c r="G1143" s="1" t="s">
        <v>22</v>
      </c>
      <c r="H1143">
        <v>59</v>
      </c>
      <c r="I1143">
        <v>30</v>
      </c>
      <c r="J1143">
        <v>165</v>
      </c>
      <c r="K1143" s="1" t="s">
        <v>23</v>
      </c>
      <c r="L1143" s="1" t="s">
        <v>24</v>
      </c>
      <c r="M1143" s="1" t="s">
        <v>2440</v>
      </c>
      <c r="N1143" s="1" t="s">
        <v>2449</v>
      </c>
    </row>
    <row r="1144" spans="1:14" x14ac:dyDescent="0.35">
      <c r="A1144">
        <v>3375073</v>
      </c>
      <c r="B1144" s="1" t="s">
        <v>2117</v>
      </c>
      <c r="C1144">
        <v>38565</v>
      </c>
      <c r="D1144">
        <v>1123</v>
      </c>
      <c r="E1144" s="1" t="s">
        <v>2450</v>
      </c>
      <c r="F1144" s="1" t="s">
        <v>15</v>
      </c>
      <c r="G1144" s="1" t="s">
        <v>22</v>
      </c>
      <c r="H1144">
        <v>98</v>
      </c>
      <c r="I1144">
        <v>50</v>
      </c>
      <c r="J1144">
        <v>203</v>
      </c>
      <c r="K1144" s="1" t="s">
        <v>23</v>
      </c>
      <c r="L1144" s="1" t="s">
        <v>24</v>
      </c>
      <c r="M1144" s="1" t="s">
        <v>2440</v>
      </c>
      <c r="N1144" s="1" t="s">
        <v>2451</v>
      </c>
    </row>
    <row r="1145" spans="1:14" x14ac:dyDescent="0.35">
      <c r="A1145">
        <v>3375075</v>
      </c>
      <c r="B1145" s="1" t="s">
        <v>2117</v>
      </c>
      <c r="C1145">
        <v>38565</v>
      </c>
      <c r="D1145">
        <v>1123</v>
      </c>
      <c r="E1145" s="1" t="s">
        <v>2452</v>
      </c>
      <c r="F1145" s="1" t="s">
        <v>15</v>
      </c>
      <c r="G1145" s="1" t="s">
        <v>22</v>
      </c>
      <c r="H1145">
        <v>66</v>
      </c>
      <c r="I1145">
        <v>59</v>
      </c>
      <c r="J1145">
        <v>142</v>
      </c>
      <c r="K1145" s="1" t="s">
        <v>90</v>
      </c>
      <c r="L1145" s="1" t="s">
        <v>24</v>
      </c>
      <c r="M1145" s="1" t="s">
        <v>2440</v>
      </c>
      <c r="N1145" s="1" t="s">
        <v>2453</v>
      </c>
    </row>
    <row r="1146" spans="1:14" x14ac:dyDescent="0.35">
      <c r="A1146">
        <v>3375071</v>
      </c>
      <c r="B1146" s="1" t="s">
        <v>2117</v>
      </c>
      <c r="C1146">
        <v>38565</v>
      </c>
      <c r="D1146">
        <v>1123</v>
      </c>
      <c r="E1146" s="1" t="s">
        <v>2454</v>
      </c>
      <c r="F1146" s="1" t="s">
        <v>15</v>
      </c>
      <c r="G1146" s="1" t="s">
        <v>22</v>
      </c>
      <c r="H1146">
        <v>56</v>
      </c>
      <c r="I1146">
        <v>16</v>
      </c>
      <c r="J1146">
        <v>61</v>
      </c>
      <c r="K1146" s="1" t="s">
        <v>23</v>
      </c>
      <c r="L1146" s="1" t="s">
        <v>24</v>
      </c>
      <c r="M1146" s="1" t="s">
        <v>2440</v>
      </c>
      <c r="N1146" s="1" t="s">
        <v>2455</v>
      </c>
    </row>
    <row r="1147" spans="1:14" x14ac:dyDescent="0.35">
      <c r="A1147">
        <v>3373092</v>
      </c>
      <c r="B1147" s="1" t="s">
        <v>2117</v>
      </c>
      <c r="C1147">
        <v>38565</v>
      </c>
      <c r="D1147">
        <v>1123</v>
      </c>
      <c r="E1147" s="1" t="s">
        <v>2456</v>
      </c>
      <c r="F1147" s="1" t="s">
        <v>71</v>
      </c>
      <c r="G1147" s="1" t="s">
        <v>32</v>
      </c>
      <c r="H1147">
        <v>30</v>
      </c>
      <c r="I1147">
        <v>36</v>
      </c>
      <c r="J1147">
        <v>53</v>
      </c>
      <c r="K1147" s="1" t="s">
        <v>95</v>
      </c>
      <c r="L1147" s="1" t="s">
        <v>24</v>
      </c>
      <c r="M1147" s="1" t="s">
        <v>2457</v>
      </c>
      <c r="N1147" s="1" t="s">
        <v>2458</v>
      </c>
    </row>
    <row r="1148" spans="1:14" x14ac:dyDescent="0.35">
      <c r="A1148">
        <v>3373042</v>
      </c>
      <c r="B1148" s="1" t="s">
        <v>2117</v>
      </c>
      <c r="C1148">
        <v>38565</v>
      </c>
      <c r="D1148">
        <v>1123</v>
      </c>
      <c r="E1148" s="1" t="s">
        <v>2459</v>
      </c>
      <c r="F1148" s="1" t="s">
        <v>1431</v>
      </c>
      <c r="G1148" s="1" t="s">
        <v>130</v>
      </c>
      <c r="H1148">
        <v>221</v>
      </c>
      <c r="I1148">
        <v>52</v>
      </c>
      <c r="J1148">
        <v>495</v>
      </c>
      <c r="K1148" s="1" t="s">
        <v>339</v>
      </c>
      <c r="L1148" s="1" t="s">
        <v>120</v>
      </c>
      <c r="M1148" s="1" t="s">
        <v>2457</v>
      </c>
      <c r="N1148" s="1" t="s">
        <v>2460</v>
      </c>
    </row>
    <row r="1149" spans="1:14" x14ac:dyDescent="0.35">
      <c r="A1149">
        <v>3373016</v>
      </c>
      <c r="B1149" s="1" t="s">
        <v>2117</v>
      </c>
      <c r="C1149">
        <v>38565</v>
      </c>
      <c r="D1149">
        <v>1123</v>
      </c>
      <c r="E1149" s="1" t="s">
        <v>2461</v>
      </c>
      <c r="F1149" s="1" t="s">
        <v>15</v>
      </c>
      <c r="G1149" s="1" t="s">
        <v>16</v>
      </c>
      <c r="H1149">
        <v>262</v>
      </c>
      <c r="I1149">
        <v>128</v>
      </c>
      <c r="J1149">
        <v>720</v>
      </c>
      <c r="K1149" s="1" t="s">
        <v>137</v>
      </c>
      <c r="L1149" s="1" t="s">
        <v>18</v>
      </c>
      <c r="M1149" s="1" t="s">
        <v>2457</v>
      </c>
      <c r="N1149" s="1" t="s">
        <v>2462</v>
      </c>
    </row>
    <row r="1150" spans="1:14" x14ac:dyDescent="0.35">
      <c r="A1150">
        <v>3373020</v>
      </c>
      <c r="B1150" s="1" t="s">
        <v>2117</v>
      </c>
      <c r="C1150">
        <v>38565</v>
      </c>
      <c r="D1150">
        <v>1123</v>
      </c>
      <c r="E1150" s="1" t="s">
        <v>2463</v>
      </c>
      <c r="F1150" s="1" t="s">
        <v>15</v>
      </c>
      <c r="G1150" s="1" t="s">
        <v>32</v>
      </c>
      <c r="H1150">
        <v>148</v>
      </c>
      <c r="I1150">
        <v>36</v>
      </c>
      <c r="J1150">
        <v>363</v>
      </c>
      <c r="K1150" s="1" t="s">
        <v>27</v>
      </c>
      <c r="L1150" s="1" t="s">
        <v>24</v>
      </c>
      <c r="M1150" s="1" t="s">
        <v>2457</v>
      </c>
      <c r="N1150" s="1" t="s">
        <v>2464</v>
      </c>
    </row>
    <row r="1151" spans="1:14" x14ac:dyDescent="0.35">
      <c r="A1151">
        <v>3373090</v>
      </c>
      <c r="B1151" s="1" t="s">
        <v>2117</v>
      </c>
      <c r="C1151">
        <v>38565</v>
      </c>
      <c r="D1151">
        <v>1123</v>
      </c>
      <c r="E1151" s="1" t="s">
        <v>1617</v>
      </c>
      <c r="F1151" s="1" t="s">
        <v>15</v>
      </c>
      <c r="G1151" s="1" t="s">
        <v>32</v>
      </c>
      <c r="H1151">
        <v>117</v>
      </c>
      <c r="I1151">
        <v>56</v>
      </c>
      <c r="J1151">
        <v>186</v>
      </c>
      <c r="K1151" s="1" t="s">
        <v>23</v>
      </c>
      <c r="L1151" s="1" t="s">
        <v>24</v>
      </c>
      <c r="M1151" s="1" t="s">
        <v>2457</v>
      </c>
      <c r="N1151" s="1" t="s">
        <v>2465</v>
      </c>
    </row>
    <row r="1152" spans="1:14" x14ac:dyDescent="0.35">
      <c r="A1152">
        <v>3373103</v>
      </c>
      <c r="B1152" s="1" t="s">
        <v>2117</v>
      </c>
      <c r="C1152">
        <v>38565</v>
      </c>
      <c r="D1152">
        <v>1123</v>
      </c>
      <c r="E1152" s="1" t="s">
        <v>2466</v>
      </c>
      <c r="F1152" s="1" t="s">
        <v>15</v>
      </c>
      <c r="G1152" s="1" t="s">
        <v>22</v>
      </c>
      <c r="H1152">
        <v>58</v>
      </c>
      <c r="I1152">
        <v>35</v>
      </c>
      <c r="K1152" s="1" t="s">
        <v>90</v>
      </c>
      <c r="L1152" s="1" t="s">
        <v>24</v>
      </c>
      <c r="M1152" s="1" t="s">
        <v>2457</v>
      </c>
      <c r="N1152" s="1" t="s">
        <v>2467</v>
      </c>
    </row>
    <row r="1153" spans="1:14" x14ac:dyDescent="0.35">
      <c r="A1153">
        <v>3374366</v>
      </c>
      <c r="B1153" s="1" t="s">
        <v>2117</v>
      </c>
      <c r="C1153">
        <v>38565</v>
      </c>
      <c r="D1153">
        <v>1123</v>
      </c>
      <c r="E1153" s="1" t="s">
        <v>2468</v>
      </c>
      <c r="F1153" s="1" t="s">
        <v>220</v>
      </c>
      <c r="G1153" s="1" t="s">
        <v>130</v>
      </c>
      <c r="H1153">
        <v>107</v>
      </c>
      <c r="I1153">
        <v>99</v>
      </c>
      <c r="J1153">
        <v>295</v>
      </c>
      <c r="K1153" s="1" t="s">
        <v>90</v>
      </c>
      <c r="L1153" s="1" t="s">
        <v>24</v>
      </c>
      <c r="M1153" s="1" t="s">
        <v>2469</v>
      </c>
      <c r="N1153" s="1" t="s">
        <v>2470</v>
      </c>
    </row>
    <row r="1154" spans="1:14" x14ac:dyDescent="0.35">
      <c r="A1154">
        <v>3374372</v>
      </c>
      <c r="B1154" s="1" t="s">
        <v>2117</v>
      </c>
      <c r="C1154">
        <v>38565</v>
      </c>
      <c r="D1154">
        <v>1123</v>
      </c>
      <c r="E1154" s="1" t="s">
        <v>2471</v>
      </c>
      <c r="F1154" s="1" t="s">
        <v>119</v>
      </c>
      <c r="G1154" s="1" t="s">
        <v>16</v>
      </c>
      <c r="H1154">
        <v>14</v>
      </c>
      <c r="I1154">
        <v>17</v>
      </c>
      <c r="J1154">
        <v>75</v>
      </c>
      <c r="K1154" s="1" t="s">
        <v>23</v>
      </c>
      <c r="L1154" s="1" t="s">
        <v>24</v>
      </c>
      <c r="M1154" s="1" t="s">
        <v>2469</v>
      </c>
      <c r="N1154" s="1" t="s">
        <v>2472</v>
      </c>
    </row>
    <row r="1155" spans="1:14" x14ac:dyDescent="0.35">
      <c r="A1155">
        <v>3374373</v>
      </c>
      <c r="B1155" s="1" t="s">
        <v>2117</v>
      </c>
      <c r="C1155">
        <v>38565</v>
      </c>
      <c r="D1155">
        <v>1123</v>
      </c>
      <c r="E1155" s="1" t="s">
        <v>2473</v>
      </c>
      <c r="F1155" s="1" t="s">
        <v>119</v>
      </c>
      <c r="G1155" s="1" t="s">
        <v>32</v>
      </c>
      <c r="H1155">
        <v>11</v>
      </c>
      <c r="I1155">
        <v>16</v>
      </c>
      <c r="J1155">
        <v>23</v>
      </c>
      <c r="K1155" s="1" t="s">
        <v>23</v>
      </c>
      <c r="L1155" s="1" t="s">
        <v>24</v>
      </c>
      <c r="M1155" s="1" t="s">
        <v>2469</v>
      </c>
      <c r="N1155" s="1" t="s">
        <v>2474</v>
      </c>
    </row>
    <row r="1156" spans="1:14" x14ac:dyDescent="0.35">
      <c r="A1156">
        <v>3374316</v>
      </c>
      <c r="B1156" s="1" t="s">
        <v>2117</v>
      </c>
      <c r="C1156">
        <v>38565</v>
      </c>
      <c r="D1156">
        <v>1123</v>
      </c>
      <c r="E1156" s="1" t="s">
        <v>2475</v>
      </c>
      <c r="F1156" s="1" t="s">
        <v>71</v>
      </c>
      <c r="G1156" s="1" t="s">
        <v>32</v>
      </c>
      <c r="H1156">
        <v>30</v>
      </c>
      <c r="I1156">
        <v>16</v>
      </c>
      <c r="J1156">
        <v>61</v>
      </c>
      <c r="K1156" s="1" t="s">
        <v>84</v>
      </c>
      <c r="L1156" s="1" t="s">
        <v>24</v>
      </c>
      <c r="M1156" s="1" t="s">
        <v>2469</v>
      </c>
      <c r="N1156" s="1" t="s">
        <v>2476</v>
      </c>
    </row>
    <row r="1157" spans="1:14" x14ac:dyDescent="0.35">
      <c r="A1157">
        <v>3374284</v>
      </c>
      <c r="B1157" s="1" t="s">
        <v>2117</v>
      </c>
      <c r="C1157">
        <v>38565</v>
      </c>
      <c r="D1157">
        <v>1123</v>
      </c>
      <c r="E1157" s="1" t="s">
        <v>2477</v>
      </c>
      <c r="F1157" s="1" t="s">
        <v>71</v>
      </c>
      <c r="G1157" s="1" t="s">
        <v>32</v>
      </c>
      <c r="H1157">
        <v>29</v>
      </c>
      <c r="I1157">
        <v>19</v>
      </c>
      <c r="J1157">
        <v>127</v>
      </c>
      <c r="K1157" s="1" t="s">
        <v>84</v>
      </c>
      <c r="L1157" s="1" t="s">
        <v>24</v>
      </c>
      <c r="M1157" s="1" t="s">
        <v>2469</v>
      </c>
      <c r="N1157" s="1" t="s">
        <v>2478</v>
      </c>
    </row>
    <row r="1158" spans="1:14" x14ac:dyDescent="0.35">
      <c r="A1158">
        <v>3374273</v>
      </c>
      <c r="B1158" s="1" t="s">
        <v>2117</v>
      </c>
      <c r="C1158">
        <v>38565</v>
      </c>
      <c r="D1158">
        <v>1123</v>
      </c>
      <c r="E1158" s="1" t="s">
        <v>2479</v>
      </c>
      <c r="F1158" s="1" t="s">
        <v>71</v>
      </c>
      <c r="G1158" s="1" t="s">
        <v>32</v>
      </c>
      <c r="H1158">
        <v>28</v>
      </c>
      <c r="I1158">
        <v>19</v>
      </c>
      <c r="J1158">
        <v>33</v>
      </c>
      <c r="K1158" s="1" t="s">
        <v>23</v>
      </c>
      <c r="L1158" s="1" t="s">
        <v>24</v>
      </c>
      <c r="M1158" s="1" t="s">
        <v>2469</v>
      </c>
      <c r="N1158" s="1" t="s">
        <v>2480</v>
      </c>
    </row>
    <row r="1159" spans="1:14" x14ac:dyDescent="0.35">
      <c r="A1159">
        <v>3374353</v>
      </c>
      <c r="B1159" s="1" t="s">
        <v>2117</v>
      </c>
      <c r="C1159">
        <v>38565</v>
      </c>
      <c r="D1159">
        <v>1123</v>
      </c>
      <c r="E1159" s="1" t="s">
        <v>2481</v>
      </c>
      <c r="F1159" s="1" t="s">
        <v>71</v>
      </c>
      <c r="G1159" s="1" t="s">
        <v>32</v>
      </c>
      <c r="H1159">
        <v>25</v>
      </c>
      <c r="I1159">
        <v>13</v>
      </c>
      <c r="J1159">
        <v>22</v>
      </c>
      <c r="K1159" s="1" t="s">
        <v>23</v>
      </c>
      <c r="L1159" s="1" t="s">
        <v>24</v>
      </c>
      <c r="M1159" s="1" t="s">
        <v>2469</v>
      </c>
      <c r="N1159" s="1" t="s">
        <v>2482</v>
      </c>
    </row>
    <row r="1160" spans="1:14" x14ac:dyDescent="0.35">
      <c r="A1160">
        <v>3374371</v>
      </c>
      <c r="B1160" s="1" t="s">
        <v>2117</v>
      </c>
      <c r="C1160">
        <v>38565</v>
      </c>
      <c r="D1160">
        <v>1123</v>
      </c>
      <c r="E1160" s="1" t="s">
        <v>2483</v>
      </c>
      <c r="F1160" s="1" t="s">
        <v>71</v>
      </c>
      <c r="G1160" s="1" t="s">
        <v>32</v>
      </c>
      <c r="H1160">
        <v>25</v>
      </c>
      <c r="I1160">
        <v>27</v>
      </c>
      <c r="J1160">
        <v>118</v>
      </c>
      <c r="K1160" s="1" t="s">
        <v>23</v>
      </c>
      <c r="L1160" s="1" t="s">
        <v>24</v>
      </c>
      <c r="M1160" s="1" t="s">
        <v>2469</v>
      </c>
      <c r="N1160" s="1" t="s">
        <v>2484</v>
      </c>
    </row>
    <row r="1161" spans="1:14" x14ac:dyDescent="0.35">
      <c r="A1161">
        <v>3374369</v>
      </c>
      <c r="B1161" s="1" t="s">
        <v>2117</v>
      </c>
      <c r="C1161">
        <v>38565</v>
      </c>
      <c r="D1161">
        <v>1123</v>
      </c>
      <c r="E1161" s="1" t="s">
        <v>2485</v>
      </c>
      <c r="F1161" s="1" t="s">
        <v>71</v>
      </c>
      <c r="G1161" s="1" t="s">
        <v>32</v>
      </c>
      <c r="H1161">
        <v>29</v>
      </c>
      <c r="I1161">
        <v>12</v>
      </c>
      <c r="J1161">
        <v>22</v>
      </c>
      <c r="K1161" s="1" t="s">
        <v>90</v>
      </c>
      <c r="L1161" s="1" t="s">
        <v>24</v>
      </c>
      <c r="M1161" s="1" t="s">
        <v>2469</v>
      </c>
      <c r="N1161" s="1" t="s">
        <v>2486</v>
      </c>
    </row>
    <row r="1162" spans="1:14" x14ac:dyDescent="0.35">
      <c r="A1162">
        <v>3322072</v>
      </c>
      <c r="B1162" s="1" t="s">
        <v>2117</v>
      </c>
      <c r="C1162">
        <v>38565</v>
      </c>
      <c r="D1162">
        <v>1123</v>
      </c>
      <c r="E1162" s="1" t="s">
        <v>2487</v>
      </c>
      <c r="F1162" s="1" t="s">
        <v>71</v>
      </c>
      <c r="G1162" s="1" t="s">
        <v>32</v>
      </c>
      <c r="H1162">
        <v>29</v>
      </c>
      <c r="I1162">
        <v>19</v>
      </c>
      <c r="J1162">
        <v>57</v>
      </c>
      <c r="K1162" s="1" t="s">
        <v>90</v>
      </c>
      <c r="L1162" s="1" t="s">
        <v>24</v>
      </c>
      <c r="M1162" s="1" t="s">
        <v>2469</v>
      </c>
      <c r="N1162" s="1" t="s">
        <v>2488</v>
      </c>
    </row>
    <row r="1163" spans="1:14" x14ac:dyDescent="0.35">
      <c r="A1163">
        <v>3374123</v>
      </c>
      <c r="B1163" s="1" t="s">
        <v>2117</v>
      </c>
      <c r="C1163">
        <v>38565</v>
      </c>
      <c r="D1163">
        <v>1123</v>
      </c>
      <c r="E1163" s="1" t="s">
        <v>2489</v>
      </c>
      <c r="F1163" s="1" t="s">
        <v>129</v>
      </c>
      <c r="G1163" s="1" t="s">
        <v>130</v>
      </c>
      <c r="H1163">
        <v>343</v>
      </c>
      <c r="I1163">
        <v>53</v>
      </c>
      <c r="J1163">
        <v>315</v>
      </c>
      <c r="K1163" s="1" t="s">
        <v>124</v>
      </c>
      <c r="L1163" s="1" t="s">
        <v>18</v>
      </c>
      <c r="M1163" s="1" t="s">
        <v>2469</v>
      </c>
      <c r="N1163" s="1" t="s">
        <v>2490</v>
      </c>
    </row>
    <row r="1164" spans="1:14" x14ac:dyDescent="0.35">
      <c r="A1164">
        <v>3374375</v>
      </c>
      <c r="B1164" s="1" t="s">
        <v>2117</v>
      </c>
      <c r="C1164">
        <v>38565</v>
      </c>
      <c r="D1164">
        <v>1123</v>
      </c>
      <c r="E1164" s="1" t="s">
        <v>2491</v>
      </c>
      <c r="F1164" s="1" t="s">
        <v>334</v>
      </c>
      <c r="G1164" s="1" t="s">
        <v>32</v>
      </c>
      <c r="H1164">
        <v>19</v>
      </c>
      <c r="I1164">
        <v>29</v>
      </c>
      <c r="J1164">
        <v>30</v>
      </c>
      <c r="K1164" s="1" t="s">
        <v>90</v>
      </c>
      <c r="L1164" s="1" t="s">
        <v>24</v>
      </c>
      <c r="M1164" s="1" t="s">
        <v>2469</v>
      </c>
      <c r="N1164" s="1" t="s">
        <v>2492</v>
      </c>
    </row>
    <row r="1165" spans="1:14" x14ac:dyDescent="0.35">
      <c r="A1165">
        <v>3374010</v>
      </c>
      <c r="B1165" s="1" t="s">
        <v>2117</v>
      </c>
      <c r="C1165">
        <v>38565</v>
      </c>
      <c r="D1165">
        <v>1123</v>
      </c>
      <c r="E1165" s="1" t="s">
        <v>2493</v>
      </c>
      <c r="F1165" s="1" t="s">
        <v>15</v>
      </c>
      <c r="G1165" s="1" t="s">
        <v>130</v>
      </c>
      <c r="H1165">
        <v>1181</v>
      </c>
      <c r="I1165">
        <v>277</v>
      </c>
      <c r="J1165">
        <v>3871</v>
      </c>
      <c r="K1165" s="1" t="s">
        <v>339</v>
      </c>
      <c r="L1165" s="1" t="s">
        <v>120</v>
      </c>
      <c r="M1165" s="1" t="s">
        <v>2469</v>
      </c>
      <c r="N1165" s="1" t="s">
        <v>2494</v>
      </c>
    </row>
    <row r="1166" spans="1:14" x14ac:dyDescent="0.35">
      <c r="A1166">
        <v>3374076</v>
      </c>
      <c r="B1166" s="1" t="s">
        <v>2117</v>
      </c>
      <c r="C1166">
        <v>38565</v>
      </c>
      <c r="D1166">
        <v>1123</v>
      </c>
      <c r="E1166" s="1" t="s">
        <v>2495</v>
      </c>
      <c r="F1166" s="1" t="s">
        <v>15</v>
      </c>
      <c r="G1166" s="1" t="s">
        <v>16</v>
      </c>
      <c r="H1166">
        <v>350</v>
      </c>
      <c r="I1166">
        <v>114</v>
      </c>
      <c r="J1166">
        <v>1666</v>
      </c>
      <c r="K1166" s="1" t="s">
        <v>444</v>
      </c>
      <c r="L1166" s="1" t="s">
        <v>24</v>
      </c>
      <c r="M1166" s="1" t="s">
        <v>2469</v>
      </c>
      <c r="N1166" s="1" t="s">
        <v>2496</v>
      </c>
    </row>
    <row r="1167" spans="1:14" x14ac:dyDescent="0.35">
      <c r="A1167">
        <v>3374021</v>
      </c>
      <c r="B1167" s="1" t="s">
        <v>2117</v>
      </c>
      <c r="C1167">
        <v>38565</v>
      </c>
      <c r="D1167">
        <v>1123</v>
      </c>
      <c r="E1167" s="1" t="s">
        <v>2497</v>
      </c>
      <c r="F1167" s="1" t="s">
        <v>15</v>
      </c>
      <c r="G1167" s="1" t="s">
        <v>16</v>
      </c>
      <c r="H1167">
        <v>279</v>
      </c>
      <c r="I1167">
        <v>113</v>
      </c>
      <c r="J1167">
        <v>160</v>
      </c>
      <c r="K1167" s="1" t="s">
        <v>572</v>
      </c>
      <c r="L1167" s="1" t="s">
        <v>24</v>
      </c>
      <c r="M1167" s="1" t="s">
        <v>2469</v>
      </c>
      <c r="N1167" s="1" t="s">
        <v>2498</v>
      </c>
    </row>
    <row r="1168" spans="1:14" x14ac:dyDescent="0.35">
      <c r="A1168">
        <v>3374043</v>
      </c>
      <c r="B1168" s="1" t="s">
        <v>2117</v>
      </c>
      <c r="C1168">
        <v>38565</v>
      </c>
      <c r="D1168">
        <v>1123</v>
      </c>
      <c r="E1168" s="1" t="s">
        <v>2499</v>
      </c>
      <c r="F1168" s="1" t="s">
        <v>15</v>
      </c>
      <c r="G1168" s="1" t="s">
        <v>16</v>
      </c>
      <c r="H1168">
        <v>277</v>
      </c>
      <c r="I1168">
        <v>128</v>
      </c>
      <c r="J1168">
        <v>1343</v>
      </c>
      <c r="K1168" s="1" t="s">
        <v>84</v>
      </c>
      <c r="L1168" s="1" t="s">
        <v>24</v>
      </c>
      <c r="M1168" s="1" t="s">
        <v>2469</v>
      </c>
      <c r="N1168" s="1" t="s">
        <v>2500</v>
      </c>
    </row>
    <row r="1169" spans="1:14" x14ac:dyDescent="0.35">
      <c r="A1169">
        <v>3374342</v>
      </c>
      <c r="B1169" s="1" t="s">
        <v>2117</v>
      </c>
      <c r="C1169">
        <v>38565</v>
      </c>
      <c r="D1169">
        <v>1123</v>
      </c>
      <c r="E1169" s="1" t="s">
        <v>2501</v>
      </c>
      <c r="F1169" s="1" t="s">
        <v>15</v>
      </c>
      <c r="G1169" s="1" t="s">
        <v>16</v>
      </c>
      <c r="H1169">
        <v>530</v>
      </c>
      <c r="I1169">
        <v>89</v>
      </c>
      <c r="J1169">
        <v>1434</v>
      </c>
      <c r="K1169" s="1" t="s">
        <v>137</v>
      </c>
      <c r="L1169" s="1" t="s">
        <v>18</v>
      </c>
      <c r="M1169" s="1" t="s">
        <v>2469</v>
      </c>
      <c r="N1169" s="1" t="s">
        <v>2502</v>
      </c>
    </row>
    <row r="1170" spans="1:14" x14ac:dyDescent="0.35">
      <c r="A1170">
        <v>3374134</v>
      </c>
      <c r="B1170" s="1" t="s">
        <v>2117</v>
      </c>
      <c r="C1170">
        <v>38565</v>
      </c>
      <c r="D1170">
        <v>1123</v>
      </c>
      <c r="E1170" s="1" t="s">
        <v>2503</v>
      </c>
      <c r="F1170" s="1" t="s">
        <v>15</v>
      </c>
      <c r="G1170" s="1" t="s">
        <v>16</v>
      </c>
      <c r="H1170">
        <v>357</v>
      </c>
      <c r="I1170">
        <v>98</v>
      </c>
      <c r="J1170">
        <v>1193</v>
      </c>
      <c r="K1170" s="1" t="s">
        <v>124</v>
      </c>
      <c r="L1170" s="1" t="s">
        <v>18</v>
      </c>
      <c r="M1170" s="1" t="s">
        <v>2469</v>
      </c>
      <c r="N1170" s="1" t="s">
        <v>2504</v>
      </c>
    </row>
    <row r="1171" spans="1:14" x14ac:dyDescent="0.35">
      <c r="A1171">
        <v>3374367</v>
      </c>
      <c r="B1171" s="1" t="s">
        <v>2117</v>
      </c>
      <c r="C1171">
        <v>38565</v>
      </c>
      <c r="D1171">
        <v>1123</v>
      </c>
      <c r="E1171" s="1" t="s">
        <v>2505</v>
      </c>
      <c r="F1171" s="1" t="s">
        <v>15</v>
      </c>
      <c r="G1171" s="1" t="s">
        <v>32</v>
      </c>
      <c r="H1171">
        <v>127</v>
      </c>
      <c r="I1171">
        <v>122</v>
      </c>
      <c r="J1171">
        <v>385</v>
      </c>
      <c r="K1171" s="1" t="s">
        <v>49</v>
      </c>
      <c r="L1171" s="1" t="s">
        <v>24</v>
      </c>
      <c r="M1171" s="1" t="s">
        <v>2469</v>
      </c>
      <c r="N1171" s="1" t="s">
        <v>2506</v>
      </c>
    </row>
    <row r="1172" spans="1:14" x14ac:dyDescent="0.35">
      <c r="A1172">
        <v>3374365</v>
      </c>
      <c r="B1172" s="1" t="s">
        <v>2117</v>
      </c>
      <c r="C1172">
        <v>38565</v>
      </c>
      <c r="D1172">
        <v>1123</v>
      </c>
      <c r="E1172" s="1" t="s">
        <v>2507</v>
      </c>
      <c r="F1172" s="1" t="s">
        <v>15</v>
      </c>
      <c r="G1172" s="1" t="s">
        <v>32</v>
      </c>
      <c r="H1172">
        <v>127</v>
      </c>
      <c r="I1172">
        <v>82</v>
      </c>
      <c r="J1172">
        <v>252</v>
      </c>
      <c r="K1172" s="1" t="s">
        <v>90</v>
      </c>
      <c r="L1172" s="1" t="s">
        <v>24</v>
      </c>
      <c r="M1172" s="1" t="s">
        <v>2469</v>
      </c>
      <c r="N1172" s="1" t="s">
        <v>2508</v>
      </c>
    </row>
    <row r="1173" spans="1:14" x14ac:dyDescent="0.35">
      <c r="A1173">
        <v>3374240</v>
      </c>
      <c r="B1173" s="1" t="s">
        <v>2117</v>
      </c>
      <c r="C1173">
        <v>38565</v>
      </c>
      <c r="D1173">
        <v>1123</v>
      </c>
      <c r="E1173" s="1" t="s">
        <v>2509</v>
      </c>
      <c r="F1173" s="1" t="s">
        <v>15</v>
      </c>
      <c r="G1173" s="1" t="s">
        <v>32</v>
      </c>
      <c r="H1173">
        <v>185</v>
      </c>
      <c r="I1173">
        <v>84</v>
      </c>
      <c r="J1173">
        <v>381</v>
      </c>
      <c r="K1173" s="1" t="s">
        <v>819</v>
      </c>
      <c r="L1173" s="1" t="s">
        <v>24</v>
      </c>
      <c r="M1173" s="1" t="s">
        <v>2469</v>
      </c>
      <c r="N1173" s="1" t="s">
        <v>2510</v>
      </c>
    </row>
    <row r="1174" spans="1:14" x14ac:dyDescent="0.35">
      <c r="A1174">
        <v>3374203</v>
      </c>
      <c r="B1174" s="1" t="s">
        <v>2117</v>
      </c>
      <c r="C1174">
        <v>38565</v>
      </c>
      <c r="D1174">
        <v>1123</v>
      </c>
      <c r="E1174" s="1" t="s">
        <v>2511</v>
      </c>
      <c r="F1174" s="1" t="s">
        <v>15</v>
      </c>
      <c r="G1174" s="1" t="s">
        <v>32</v>
      </c>
      <c r="H1174">
        <v>100</v>
      </c>
      <c r="I1174">
        <v>26</v>
      </c>
      <c r="J1174">
        <v>31</v>
      </c>
      <c r="K1174" s="1" t="s">
        <v>146</v>
      </c>
      <c r="L1174" s="1" t="s">
        <v>24</v>
      </c>
      <c r="M1174" s="1" t="s">
        <v>2469</v>
      </c>
      <c r="N1174" s="1" t="s">
        <v>2512</v>
      </c>
    </row>
    <row r="1175" spans="1:14" x14ac:dyDescent="0.35">
      <c r="A1175">
        <v>3374054</v>
      </c>
      <c r="B1175" s="1" t="s">
        <v>2117</v>
      </c>
      <c r="C1175">
        <v>38565</v>
      </c>
      <c r="D1175">
        <v>1123</v>
      </c>
      <c r="E1175" s="1" t="s">
        <v>2513</v>
      </c>
      <c r="F1175" s="1" t="s">
        <v>15</v>
      </c>
      <c r="G1175" s="1" t="s">
        <v>32</v>
      </c>
      <c r="H1175">
        <v>129</v>
      </c>
      <c r="I1175">
        <v>43</v>
      </c>
      <c r="J1175">
        <v>444</v>
      </c>
      <c r="K1175" s="1" t="s">
        <v>23</v>
      </c>
      <c r="L1175" s="1" t="s">
        <v>24</v>
      </c>
      <c r="M1175" s="1" t="s">
        <v>2469</v>
      </c>
      <c r="N1175" s="1" t="s">
        <v>2514</v>
      </c>
    </row>
    <row r="1176" spans="1:14" x14ac:dyDescent="0.35">
      <c r="A1176">
        <v>3374389</v>
      </c>
      <c r="B1176" s="1" t="s">
        <v>2117</v>
      </c>
      <c r="C1176">
        <v>38565</v>
      </c>
      <c r="D1176">
        <v>1123</v>
      </c>
      <c r="E1176" s="1" t="s">
        <v>2515</v>
      </c>
      <c r="F1176" s="1" t="s">
        <v>15</v>
      </c>
      <c r="G1176" s="1" t="s">
        <v>32</v>
      </c>
      <c r="H1176">
        <v>115</v>
      </c>
      <c r="I1176">
        <v>43</v>
      </c>
      <c r="K1176" s="1" t="s">
        <v>23</v>
      </c>
      <c r="L1176" s="1" t="s">
        <v>24</v>
      </c>
      <c r="M1176" s="1" t="s">
        <v>2469</v>
      </c>
      <c r="N1176" s="1" t="s">
        <v>2516</v>
      </c>
    </row>
    <row r="1177" spans="1:14" x14ac:dyDescent="0.35">
      <c r="A1177">
        <v>3374391</v>
      </c>
      <c r="B1177" s="1" t="s">
        <v>2117</v>
      </c>
      <c r="C1177">
        <v>38565</v>
      </c>
      <c r="D1177">
        <v>1123</v>
      </c>
      <c r="E1177" s="1" t="s">
        <v>2517</v>
      </c>
      <c r="F1177" s="1" t="s">
        <v>15</v>
      </c>
      <c r="G1177" s="1" t="s">
        <v>32</v>
      </c>
      <c r="H1177">
        <v>100</v>
      </c>
      <c r="I1177">
        <v>56</v>
      </c>
      <c r="K1177" s="1" t="s">
        <v>23</v>
      </c>
      <c r="L1177" s="1" t="s">
        <v>24</v>
      </c>
      <c r="M1177" s="1" t="s">
        <v>2469</v>
      </c>
      <c r="N1177" s="1" t="s">
        <v>2518</v>
      </c>
    </row>
    <row r="1178" spans="1:14" x14ac:dyDescent="0.35">
      <c r="A1178">
        <v>3374080</v>
      </c>
      <c r="B1178" s="1" t="s">
        <v>2117</v>
      </c>
      <c r="C1178">
        <v>38565</v>
      </c>
      <c r="D1178">
        <v>1123</v>
      </c>
      <c r="E1178" s="1" t="s">
        <v>2519</v>
      </c>
      <c r="F1178" s="1" t="s">
        <v>15</v>
      </c>
      <c r="G1178" s="1" t="s">
        <v>32</v>
      </c>
      <c r="H1178">
        <v>219</v>
      </c>
      <c r="I1178">
        <v>120</v>
      </c>
      <c r="J1178">
        <v>769</v>
      </c>
      <c r="K1178" s="1" t="s">
        <v>444</v>
      </c>
      <c r="L1178" s="1" t="s">
        <v>24</v>
      </c>
      <c r="M1178" s="1" t="s">
        <v>2469</v>
      </c>
      <c r="N1178" s="1" t="s">
        <v>2520</v>
      </c>
    </row>
    <row r="1179" spans="1:14" x14ac:dyDescent="0.35">
      <c r="A1179">
        <v>3374388</v>
      </c>
      <c r="B1179" s="1" t="s">
        <v>2117</v>
      </c>
      <c r="C1179">
        <v>38565</v>
      </c>
      <c r="D1179">
        <v>1123</v>
      </c>
      <c r="E1179" s="1" t="s">
        <v>2521</v>
      </c>
      <c r="F1179" s="1" t="s">
        <v>15</v>
      </c>
      <c r="G1179" s="1" t="s">
        <v>32</v>
      </c>
      <c r="H1179">
        <v>110</v>
      </c>
      <c r="I1179">
        <v>52</v>
      </c>
      <c r="K1179" s="1" t="s">
        <v>23</v>
      </c>
      <c r="L1179" s="1" t="s">
        <v>24</v>
      </c>
      <c r="M1179" s="1" t="s">
        <v>2469</v>
      </c>
      <c r="N1179" s="1" t="s">
        <v>2522</v>
      </c>
    </row>
    <row r="1180" spans="1:14" x14ac:dyDescent="0.35">
      <c r="A1180">
        <v>3374091</v>
      </c>
      <c r="B1180" s="1" t="s">
        <v>2117</v>
      </c>
      <c r="C1180">
        <v>38565</v>
      </c>
      <c r="D1180">
        <v>1123</v>
      </c>
      <c r="E1180" s="1" t="s">
        <v>2523</v>
      </c>
      <c r="F1180" s="1" t="s">
        <v>15</v>
      </c>
      <c r="G1180" s="1" t="s">
        <v>32</v>
      </c>
      <c r="H1180">
        <v>142</v>
      </c>
      <c r="I1180">
        <v>41</v>
      </c>
      <c r="J1180">
        <v>75</v>
      </c>
      <c r="K1180" s="1" t="s">
        <v>146</v>
      </c>
      <c r="L1180" s="1" t="s">
        <v>120</v>
      </c>
      <c r="M1180" s="1" t="s">
        <v>2469</v>
      </c>
      <c r="N1180" s="1" t="s">
        <v>2524</v>
      </c>
    </row>
    <row r="1181" spans="1:14" x14ac:dyDescent="0.35">
      <c r="A1181">
        <v>3374145</v>
      </c>
      <c r="B1181" s="1" t="s">
        <v>2117</v>
      </c>
      <c r="C1181">
        <v>38565</v>
      </c>
      <c r="D1181">
        <v>1123</v>
      </c>
      <c r="E1181" s="1" t="s">
        <v>2525</v>
      </c>
      <c r="F1181" s="1" t="s">
        <v>15</v>
      </c>
      <c r="G1181" s="1" t="s">
        <v>32</v>
      </c>
      <c r="H1181">
        <v>150</v>
      </c>
      <c r="I1181">
        <v>112</v>
      </c>
      <c r="J1181">
        <v>590</v>
      </c>
      <c r="K1181" s="1" t="s">
        <v>23</v>
      </c>
      <c r="L1181" s="1" t="s">
        <v>24</v>
      </c>
      <c r="M1181" s="1" t="s">
        <v>2469</v>
      </c>
      <c r="N1181" s="1" t="s">
        <v>2526</v>
      </c>
    </row>
    <row r="1182" spans="1:14" x14ac:dyDescent="0.35">
      <c r="A1182">
        <v>3374112</v>
      </c>
      <c r="B1182" s="1" t="s">
        <v>2117</v>
      </c>
      <c r="C1182">
        <v>38565</v>
      </c>
      <c r="D1182">
        <v>1123</v>
      </c>
      <c r="E1182" s="1" t="s">
        <v>2527</v>
      </c>
      <c r="F1182" s="1" t="s">
        <v>15</v>
      </c>
      <c r="G1182" s="1" t="s">
        <v>32</v>
      </c>
      <c r="H1182">
        <v>168</v>
      </c>
      <c r="I1182">
        <v>54</v>
      </c>
      <c r="J1182">
        <v>583</v>
      </c>
      <c r="K1182" s="1" t="s">
        <v>819</v>
      </c>
      <c r="L1182" s="1" t="s">
        <v>24</v>
      </c>
      <c r="M1182" s="1" t="s">
        <v>2469</v>
      </c>
      <c r="N1182" s="1" t="s">
        <v>2528</v>
      </c>
    </row>
    <row r="1183" spans="1:14" x14ac:dyDescent="0.35">
      <c r="A1183">
        <v>3374374</v>
      </c>
      <c r="B1183" s="1" t="s">
        <v>2117</v>
      </c>
      <c r="C1183">
        <v>38565</v>
      </c>
      <c r="D1183">
        <v>1123</v>
      </c>
      <c r="E1183" s="1" t="s">
        <v>2529</v>
      </c>
      <c r="F1183" s="1" t="s">
        <v>15</v>
      </c>
      <c r="G1183" s="1" t="s">
        <v>32</v>
      </c>
      <c r="H1183">
        <v>134</v>
      </c>
      <c r="I1183">
        <v>32</v>
      </c>
      <c r="J1183">
        <v>87</v>
      </c>
      <c r="K1183" s="1" t="s">
        <v>23</v>
      </c>
      <c r="L1183" s="1" t="s">
        <v>24</v>
      </c>
      <c r="M1183" s="1" t="s">
        <v>2469</v>
      </c>
      <c r="N1183" s="1" t="s">
        <v>2530</v>
      </c>
    </row>
    <row r="1184" spans="1:14" x14ac:dyDescent="0.35">
      <c r="A1184">
        <v>3374065</v>
      </c>
      <c r="B1184" s="1" t="s">
        <v>2117</v>
      </c>
      <c r="C1184">
        <v>38565</v>
      </c>
      <c r="D1184">
        <v>1123</v>
      </c>
      <c r="E1184" s="1" t="s">
        <v>2531</v>
      </c>
      <c r="F1184" s="1" t="s">
        <v>15</v>
      </c>
      <c r="G1184" s="1" t="s">
        <v>32</v>
      </c>
      <c r="H1184">
        <v>154</v>
      </c>
      <c r="I1184">
        <v>54</v>
      </c>
      <c r="J1184">
        <v>58</v>
      </c>
      <c r="K1184" s="1" t="s">
        <v>27</v>
      </c>
      <c r="L1184" s="1" t="s">
        <v>24</v>
      </c>
      <c r="M1184" s="1" t="s">
        <v>2469</v>
      </c>
      <c r="N1184" s="1" t="s">
        <v>2532</v>
      </c>
    </row>
    <row r="1185" spans="1:14" x14ac:dyDescent="0.35">
      <c r="A1185">
        <v>3374032</v>
      </c>
      <c r="B1185" s="1" t="s">
        <v>2117</v>
      </c>
      <c r="C1185">
        <v>38565</v>
      </c>
      <c r="D1185">
        <v>1123</v>
      </c>
      <c r="E1185" s="1" t="s">
        <v>2533</v>
      </c>
      <c r="F1185" s="1" t="s">
        <v>15</v>
      </c>
      <c r="G1185" s="1" t="s">
        <v>32</v>
      </c>
      <c r="H1185">
        <v>101</v>
      </c>
      <c r="I1185">
        <v>53</v>
      </c>
      <c r="J1185">
        <v>162</v>
      </c>
      <c r="K1185" s="1" t="s">
        <v>84</v>
      </c>
      <c r="L1185" s="1" t="s">
        <v>24</v>
      </c>
      <c r="M1185" s="1" t="s">
        <v>2469</v>
      </c>
      <c r="N1185" s="1" t="s">
        <v>2534</v>
      </c>
    </row>
    <row r="1186" spans="1:14" x14ac:dyDescent="0.35">
      <c r="A1186">
        <v>3374390</v>
      </c>
      <c r="B1186" s="1" t="s">
        <v>2117</v>
      </c>
      <c r="C1186">
        <v>38565</v>
      </c>
      <c r="D1186">
        <v>1123</v>
      </c>
      <c r="E1186" s="1" t="s">
        <v>2535</v>
      </c>
      <c r="F1186" s="1" t="s">
        <v>15</v>
      </c>
      <c r="G1186" s="1" t="s">
        <v>22</v>
      </c>
      <c r="H1186">
        <v>50</v>
      </c>
      <c r="I1186">
        <v>20</v>
      </c>
      <c r="K1186" s="1" t="s">
        <v>23</v>
      </c>
      <c r="L1186" s="1" t="s">
        <v>24</v>
      </c>
      <c r="M1186" s="1" t="s">
        <v>2469</v>
      </c>
      <c r="N1186" s="1" t="s">
        <v>2536</v>
      </c>
    </row>
    <row r="1187" spans="1:14" x14ac:dyDescent="0.35">
      <c r="A1187">
        <v>3374331</v>
      </c>
      <c r="B1187" s="1" t="s">
        <v>2117</v>
      </c>
      <c r="C1187">
        <v>38565</v>
      </c>
      <c r="D1187">
        <v>1123</v>
      </c>
      <c r="E1187" s="1" t="s">
        <v>2537</v>
      </c>
      <c r="F1187" s="1" t="s">
        <v>15</v>
      </c>
      <c r="G1187" s="1" t="s">
        <v>22</v>
      </c>
      <c r="H1187">
        <v>61</v>
      </c>
      <c r="I1187">
        <v>42</v>
      </c>
      <c r="J1187">
        <v>102</v>
      </c>
      <c r="K1187" s="1" t="s">
        <v>23</v>
      </c>
      <c r="L1187" s="1" t="s">
        <v>24</v>
      </c>
      <c r="M1187" s="1" t="s">
        <v>2469</v>
      </c>
      <c r="N1187" s="1" t="s">
        <v>2538</v>
      </c>
    </row>
    <row r="1188" spans="1:14" x14ac:dyDescent="0.35">
      <c r="A1188">
        <v>3374392</v>
      </c>
      <c r="B1188" s="1" t="s">
        <v>2117</v>
      </c>
      <c r="C1188">
        <v>38565</v>
      </c>
      <c r="D1188">
        <v>1123</v>
      </c>
      <c r="E1188" s="1" t="s">
        <v>2539</v>
      </c>
      <c r="F1188" s="1" t="s">
        <v>15</v>
      </c>
      <c r="G1188" s="1" t="s">
        <v>22</v>
      </c>
      <c r="H1188">
        <v>48</v>
      </c>
      <c r="I1188">
        <v>35</v>
      </c>
      <c r="K1188" s="1" t="s">
        <v>137</v>
      </c>
      <c r="L1188" s="1" t="s">
        <v>24</v>
      </c>
      <c r="M1188" s="1" t="s">
        <v>2469</v>
      </c>
      <c r="N1188" s="1" t="s">
        <v>2540</v>
      </c>
    </row>
    <row r="1189" spans="1:14" x14ac:dyDescent="0.35">
      <c r="A1189">
        <v>3372239</v>
      </c>
      <c r="B1189" s="1" t="s">
        <v>2117</v>
      </c>
      <c r="C1189">
        <v>38565</v>
      </c>
      <c r="D1189">
        <v>1123</v>
      </c>
      <c r="E1189" s="1" t="s">
        <v>2541</v>
      </c>
      <c r="F1189" s="1" t="s">
        <v>119</v>
      </c>
      <c r="G1189" s="1" t="s">
        <v>32</v>
      </c>
      <c r="H1189">
        <v>13</v>
      </c>
      <c r="I1189">
        <v>23</v>
      </c>
      <c r="J1189">
        <v>32</v>
      </c>
      <c r="K1189" s="1" t="s">
        <v>95</v>
      </c>
      <c r="L1189" s="1" t="s">
        <v>24</v>
      </c>
      <c r="M1189" s="1" t="s">
        <v>2542</v>
      </c>
      <c r="N1189" s="1" t="s">
        <v>2543</v>
      </c>
    </row>
    <row r="1190" spans="1:14" x14ac:dyDescent="0.35">
      <c r="A1190">
        <v>3372052</v>
      </c>
      <c r="B1190" s="1" t="s">
        <v>2117</v>
      </c>
      <c r="C1190">
        <v>38565</v>
      </c>
      <c r="D1190">
        <v>1123</v>
      </c>
      <c r="E1190" s="1" t="s">
        <v>2544</v>
      </c>
      <c r="F1190" s="1" t="s">
        <v>129</v>
      </c>
      <c r="G1190" s="1" t="s">
        <v>130</v>
      </c>
      <c r="H1190">
        <v>213</v>
      </c>
      <c r="I1190">
        <v>38</v>
      </c>
      <c r="J1190">
        <v>427</v>
      </c>
      <c r="K1190" s="1" t="s">
        <v>124</v>
      </c>
      <c r="L1190" s="1" t="s">
        <v>18</v>
      </c>
      <c r="M1190" s="1" t="s">
        <v>2542</v>
      </c>
      <c r="N1190" s="1" t="s">
        <v>2545</v>
      </c>
    </row>
    <row r="1191" spans="1:14" x14ac:dyDescent="0.35">
      <c r="A1191">
        <v>3372242</v>
      </c>
      <c r="B1191" s="1" t="s">
        <v>2117</v>
      </c>
      <c r="C1191">
        <v>38565</v>
      </c>
      <c r="D1191">
        <v>1123</v>
      </c>
      <c r="E1191" s="1" t="s">
        <v>2546</v>
      </c>
      <c r="F1191" s="1" t="s">
        <v>743</v>
      </c>
      <c r="G1191" s="1" t="s">
        <v>32</v>
      </c>
      <c r="H1191">
        <v>25</v>
      </c>
      <c r="I1191">
        <v>37</v>
      </c>
      <c r="J1191">
        <v>49</v>
      </c>
      <c r="K1191" s="1" t="s">
        <v>23</v>
      </c>
      <c r="L1191" s="1" t="s">
        <v>24</v>
      </c>
      <c r="M1191" s="1" t="s">
        <v>2542</v>
      </c>
      <c r="N1191" s="1" t="s">
        <v>2547</v>
      </c>
    </row>
    <row r="1192" spans="1:14" x14ac:dyDescent="0.35">
      <c r="A1192">
        <v>3372235</v>
      </c>
      <c r="B1192" s="1" t="s">
        <v>2117</v>
      </c>
      <c r="C1192">
        <v>38565</v>
      </c>
      <c r="D1192">
        <v>1123</v>
      </c>
      <c r="E1192" s="1" t="s">
        <v>2548</v>
      </c>
      <c r="F1192" s="1" t="s">
        <v>334</v>
      </c>
      <c r="G1192" s="1" t="s">
        <v>32</v>
      </c>
      <c r="H1192">
        <v>18</v>
      </c>
      <c r="I1192">
        <v>18</v>
      </c>
      <c r="J1192">
        <v>113</v>
      </c>
      <c r="K1192" s="1" t="s">
        <v>90</v>
      </c>
      <c r="L1192" s="1" t="s">
        <v>24</v>
      </c>
      <c r="M1192" s="1" t="s">
        <v>2542</v>
      </c>
      <c r="N1192" s="1" t="s">
        <v>2549</v>
      </c>
    </row>
    <row r="1193" spans="1:14" x14ac:dyDescent="0.35">
      <c r="A1193">
        <v>3372015</v>
      </c>
      <c r="B1193" s="1" t="s">
        <v>2117</v>
      </c>
      <c r="C1193">
        <v>38565</v>
      </c>
      <c r="D1193">
        <v>1123</v>
      </c>
      <c r="E1193" s="1" t="s">
        <v>2550</v>
      </c>
      <c r="F1193" s="1" t="s">
        <v>15</v>
      </c>
      <c r="G1193" s="1" t="s">
        <v>130</v>
      </c>
      <c r="H1193">
        <v>953</v>
      </c>
      <c r="I1193">
        <v>153</v>
      </c>
      <c r="J1193">
        <v>3128</v>
      </c>
      <c r="K1193" s="1" t="s">
        <v>124</v>
      </c>
      <c r="L1193" s="1" t="s">
        <v>18</v>
      </c>
      <c r="M1193" s="1" t="s">
        <v>2542</v>
      </c>
      <c r="N1193" s="1" t="s">
        <v>2551</v>
      </c>
    </row>
    <row r="1194" spans="1:14" x14ac:dyDescent="0.35">
      <c r="A1194">
        <v>3372165</v>
      </c>
      <c r="B1194" s="1" t="s">
        <v>2117</v>
      </c>
      <c r="C1194">
        <v>38565</v>
      </c>
      <c r="D1194">
        <v>1123</v>
      </c>
      <c r="E1194" s="1" t="s">
        <v>349</v>
      </c>
      <c r="F1194" s="1" t="s">
        <v>15</v>
      </c>
      <c r="G1194" s="1" t="s">
        <v>16</v>
      </c>
      <c r="H1194">
        <v>204</v>
      </c>
      <c r="I1194">
        <v>92</v>
      </c>
      <c r="J1194">
        <v>1174</v>
      </c>
      <c r="K1194" s="1" t="s">
        <v>90</v>
      </c>
      <c r="L1194" s="1" t="s">
        <v>24</v>
      </c>
      <c r="M1194" s="1" t="s">
        <v>2542</v>
      </c>
      <c r="N1194" s="1" t="s">
        <v>2552</v>
      </c>
    </row>
    <row r="1195" spans="1:14" x14ac:dyDescent="0.35">
      <c r="A1195">
        <v>3372026</v>
      </c>
      <c r="B1195" s="1" t="s">
        <v>2117</v>
      </c>
      <c r="C1195">
        <v>38565</v>
      </c>
      <c r="D1195">
        <v>1123</v>
      </c>
      <c r="E1195" s="1" t="s">
        <v>2553</v>
      </c>
      <c r="F1195" s="1" t="s">
        <v>15</v>
      </c>
      <c r="G1195" s="1" t="s">
        <v>16</v>
      </c>
      <c r="H1195">
        <v>249</v>
      </c>
      <c r="I1195">
        <v>109</v>
      </c>
      <c r="J1195">
        <v>873</v>
      </c>
      <c r="K1195" s="1" t="s">
        <v>84</v>
      </c>
      <c r="L1195" s="1" t="s">
        <v>24</v>
      </c>
      <c r="M1195" s="1" t="s">
        <v>2542</v>
      </c>
      <c r="N1195" s="1" t="s">
        <v>2554</v>
      </c>
    </row>
    <row r="1196" spans="1:14" x14ac:dyDescent="0.35">
      <c r="A1196">
        <v>3372096</v>
      </c>
      <c r="B1196" s="1" t="s">
        <v>2117</v>
      </c>
      <c r="C1196">
        <v>38565</v>
      </c>
      <c r="D1196">
        <v>1123</v>
      </c>
      <c r="E1196" s="1" t="s">
        <v>2555</v>
      </c>
      <c r="F1196" s="1" t="s">
        <v>15</v>
      </c>
      <c r="G1196" s="1" t="s">
        <v>16</v>
      </c>
      <c r="H1196">
        <v>297</v>
      </c>
      <c r="I1196">
        <v>93</v>
      </c>
      <c r="J1196">
        <v>779</v>
      </c>
      <c r="K1196" s="1" t="s">
        <v>444</v>
      </c>
      <c r="L1196" s="1" t="s">
        <v>24</v>
      </c>
      <c r="M1196" s="1" t="s">
        <v>2542</v>
      </c>
      <c r="N1196" s="1" t="s">
        <v>2556</v>
      </c>
    </row>
    <row r="1197" spans="1:14" x14ac:dyDescent="0.35">
      <c r="A1197">
        <v>3372234</v>
      </c>
      <c r="B1197" s="1" t="s">
        <v>2117</v>
      </c>
      <c r="C1197">
        <v>38565</v>
      </c>
      <c r="D1197">
        <v>1123</v>
      </c>
      <c r="E1197" s="1" t="s">
        <v>2557</v>
      </c>
      <c r="F1197" s="1" t="s">
        <v>15</v>
      </c>
      <c r="G1197" s="1" t="s">
        <v>32</v>
      </c>
      <c r="H1197">
        <v>199</v>
      </c>
      <c r="I1197">
        <v>38</v>
      </c>
      <c r="J1197">
        <v>344</v>
      </c>
      <c r="K1197" s="1" t="s">
        <v>137</v>
      </c>
      <c r="L1197" s="1" t="s">
        <v>18</v>
      </c>
      <c r="M1197" s="1" t="s">
        <v>2542</v>
      </c>
      <c r="N1197" s="1" t="s">
        <v>2558</v>
      </c>
    </row>
    <row r="1198" spans="1:14" x14ac:dyDescent="0.35">
      <c r="A1198">
        <v>3372132</v>
      </c>
      <c r="B1198" s="1" t="s">
        <v>2117</v>
      </c>
      <c r="C1198">
        <v>38565</v>
      </c>
      <c r="D1198">
        <v>1123</v>
      </c>
      <c r="E1198" s="1" t="s">
        <v>2559</v>
      </c>
      <c r="F1198" s="1" t="s">
        <v>15</v>
      </c>
      <c r="G1198" s="1" t="s">
        <v>32</v>
      </c>
      <c r="H1198">
        <v>178</v>
      </c>
      <c r="I1198">
        <v>32</v>
      </c>
      <c r="J1198">
        <v>781</v>
      </c>
      <c r="K1198" s="1" t="s">
        <v>444</v>
      </c>
      <c r="L1198" s="1" t="s">
        <v>24</v>
      </c>
      <c r="M1198" s="1" t="s">
        <v>2542</v>
      </c>
      <c r="N1198" s="1" t="s">
        <v>2560</v>
      </c>
    </row>
    <row r="1199" spans="1:14" x14ac:dyDescent="0.35">
      <c r="A1199">
        <v>3372074</v>
      </c>
      <c r="B1199" s="1" t="s">
        <v>2117</v>
      </c>
      <c r="C1199">
        <v>38565</v>
      </c>
      <c r="D1199">
        <v>1123</v>
      </c>
      <c r="E1199" s="1" t="s">
        <v>2561</v>
      </c>
      <c r="F1199" s="1" t="s">
        <v>15</v>
      </c>
      <c r="G1199" s="1" t="s">
        <v>32</v>
      </c>
      <c r="H1199">
        <v>119</v>
      </c>
      <c r="I1199">
        <v>49</v>
      </c>
      <c r="J1199">
        <v>488</v>
      </c>
      <c r="K1199" s="1" t="s">
        <v>84</v>
      </c>
      <c r="L1199" s="1" t="s">
        <v>24</v>
      </c>
      <c r="M1199" s="1" t="s">
        <v>2542</v>
      </c>
      <c r="N1199" s="1" t="s">
        <v>2562</v>
      </c>
    </row>
    <row r="1200" spans="1:14" x14ac:dyDescent="0.35">
      <c r="A1200">
        <v>3372030</v>
      </c>
      <c r="B1200" s="1" t="s">
        <v>2117</v>
      </c>
      <c r="C1200">
        <v>38565</v>
      </c>
      <c r="D1200">
        <v>1123</v>
      </c>
      <c r="E1200" s="1" t="s">
        <v>2563</v>
      </c>
      <c r="F1200" s="1" t="s">
        <v>15</v>
      </c>
      <c r="G1200" s="1" t="s">
        <v>32</v>
      </c>
      <c r="H1200">
        <v>112</v>
      </c>
      <c r="I1200">
        <v>30</v>
      </c>
      <c r="J1200">
        <v>326</v>
      </c>
      <c r="K1200" s="1" t="s">
        <v>27</v>
      </c>
      <c r="L1200" s="1" t="s">
        <v>120</v>
      </c>
      <c r="M1200" s="1" t="s">
        <v>2542</v>
      </c>
      <c r="N1200" s="1" t="s">
        <v>2564</v>
      </c>
    </row>
    <row r="1201" spans="1:14" x14ac:dyDescent="0.35">
      <c r="A1201">
        <v>3372191</v>
      </c>
      <c r="B1201" s="1" t="s">
        <v>2117</v>
      </c>
      <c r="C1201">
        <v>38565</v>
      </c>
      <c r="D1201">
        <v>1123</v>
      </c>
      <c r="E1201" s="1" t="s">
        <v>2565</v>
      </c>
      <c r="F1201" s="1" t="s">
        <v>15</v>
      </c>
      <c r="G1201" s="1" t="s">
        <v>32</v>
      </c>
      <c r="H1201">
        <v>110</v>
      </c>
      <c r="I1201">
        <v>23</v>
      </c>
      <c r="J1201">
        <v>233</v>
      </c>
      <c r="K1201" s="1" t="s">
        <v>23</v>
      </c>
      <c r="L1201" s="1" t="s">
        <v>24</v>
      </c>
      <c r="M1201" s="1" t="s">
        <v>2542</v>
      </c>
      <c r="N1201" s="1" t="s">
        <v>2566</v>
      </c>
    </row>
    <row r="1202" spans="1:14" x14ac:dyDescent="0.35">
      <c r="A1202">
        <v>3372201</v>
      </c>
      <c r="B1202" s="1" t="s">
        <v>2117</v>
      </c>
      <c r="C1202">
        <v>38565</v>
      </c>
      <c r="D1202">
        <v>1123</v>
      </c>
      <c r="E1202" s="1" t="s">
        <v>2567</v>
      </c>
      <c r="F1202" s="1" t="s">
        <v>15</v>
      </c>
      <c r="G1202" s="1" t="s">
        <v>32</v>
      </c>
      <c r="H1202">
        <v>106</v>
      </c>
      <c r="I1202">
        <v>45</v>
      </c>
      <c r="J1202">
        <v>43</v>
      </c>
      <c r="K1202" s="1" t="s">
        <v>339</v>
      </c>
      <c r="L1202" s="1" t="s">
        <v>120</v>
      </c>
      <c r="M1202" s="1" t="s">
        <v>2542</v>
      </c>
      <c r="N1202" s="1" t="s">
        <v>2568</v>
      </c>
    </row>
    <row r="1203" spans="1:14" x14ac:dyDescent="0.35">
      <c r="A1203">
        <v>3372240</v>
      </c>
      <c r="B1203" s="1" t="s">
        <v>2117</v>
      </c>
      <c r="C1203">
        <v>38565</v>
      </c>
      <c r="D1203">
        <v>1123</v>
      </c>
      <c r="E1203" s="1" t="s">
        <v>2569</v>
      </c>
      <c r="F1203" s="1" t="s">
        <v>15</v>
      </c>
      <c r="G1203" s="1" t="s">
        <v>32</v>
      </c>
      <c r="H1203">
        <v>235</v>
      </c>
      <c r="I1203">
        <v>44</v>
      </c>
      <c r="J1203">
        <v>276</v>
      </c>
      <c r="K1203" s="1" t="s">
        <v>137</v>
      </c>
      <c r="L1203" s="1" t="s">
        <v>18</v>
      </c>
      <c r="M1203" s="1" t="s">
        <v>2542</v>
      </c>
      <c r="N1203" s="1" t="s">
        <v>2570</v>
      </c>
    </row>
    <row r="1204" spans="1:14" x14ac:dyDescent="0.35">
      <c r="A1204">
        <v>3372241</v>
      </c>
      <c r="B1204" s="1" t="s">
        <v>2117</v>
      </c>
      <c r="C1204">
        <v>38565</v>
      </c>
      <c r="D1204">
        <v>1123</v>
      </c>
      <c r="E1204" s="1" t="s">
        <v>2571</v>
      </c>
      <c r="F1204" s="1" t="s">
        <v>15</v>
      </c>
      <c r="G1204" s="1" t="s">
        <v>32</v>
      </c>
      <c r="H1204">
        <v>120</v>
      </c>
      <c r="I1204">
        <v>58</v>
      </c>
      <c r="J1204">
        <v>296</v>
      </c>
      <c r="K1204" s="1" t="s">
        <v>23</v>
      </c>
      <c r="L1204" s="1" t="s">
        <v>24</v>
      </c>
      <c r="M1204" s="1" t="s">
        <v>2542</v>
      </c>
      <c r="N1204" s="1" t="s">
        <v>2572</v>
      </c>
    </row>
    <row r="1205" spans="1:14" x14ac:dyDescent="0.35">
      <c r="A1205">
        <v>3372041</v>
      </c>
      <c r="B1205" s="1" t="s">
        <v>2117</v>
      </c>
      <c r="C1205">
        <v>38565</v>
      </c>
      <c r="D1205">
        <v>1123</v>
      </c>
      <c r="E1205" s="1" t="s">
        <v>2573</v>
      </c>
      <c r="F1205" s="1" t="s">
        <v>15</v>
      </c>
      <c r="G1205" s="1" t="s">
        <v>32</v>
      </c>
      <c r="H1205">
        <v>118</v>
      </c>
      <c r="I1205">
        <v>51</v>
      </c>
      <c r="J1205">
        <v>292</v>
      </c>
      <c r="K1205" s="1" t="s">
        <v>84</v>
      </c>
      <c r="L1205" s="1" t="s">
        <v>24</v>
      </c>
      <c r="M1205" s="1" t="s">
        <v>2542</v>
      </c>
      <c r="N1205" s="1" t="s">
        <v>2574</v>
      </c>
    </row>
    <row r="1206" spans="1:14" x14ac:dyDescent="0.35">
      <c r="A1206">
        <v>3372236</v>
      </c>
      <c r="B1206" s="1" t="s">
        <v>2117</v>
      </c>
      <c r="C1206">
        <v>38565</v>
      </c>
      <c r="D1206">
        <v>1123</v>
      </c>
      <c r="E1206" s="1" t="s">
        <v>2575</v>
      </c>
      <c r="F1206" s="1" t="s">
        <v>15</v>
      </c>
      <c r="G1206" s="1" t="s">
        <v>32</v>
      </c>
      <c r="H1206">
        <v>149</v>
      </c>
      <c r="I1206">
        <v>28</v>
      </c>
      <c r="J1206">
        <v>197</v>
      </c>
      <c r="K1206" s="1" t="s">
        <v>23</v>
      </c>
      <c r="L1206" s="1" t="s">
        <v>24</v>
      </c>
      <c r="M1206" s="1" t="s">
        <v>2542</v>
      </c>
      <c r="N1206" s="1" t="s">
        <v>2576</v>
      </c>
    </row>
    <row r="1207" spans="1:14" x14ac:dyDescent="0.35">
      <c r="A1207">
        <v>3372253</v>
      </c>
      <c r="B1207" s="1" t="s">
        <v>2117</v>
      </c>
      <c r="C1207">
        <v>38565</v>
      </c>
      <c r="D1207">
        <v>1123</v>
      </c>
      <c r="E1207" s="1" t="s">
        <v>2577</v>
      </c>
      <c r="F1207" s="1" t="s">
        <v>15</v>
      </c>
      <c r="G1207" s="1" t="s">
        <v>22</v>
      </c>
      <c r="H1207">
        <v>82</v>
      </c>
      <c r="I1207">
        <v>40</v>
      </c>
      <c r="K1207" s="1" t="s">
        <v>146</v>
      </c>
      <c r="L1207" s="1" t="s">
        <v>24</v>
      </c>
      <c r="M1207" s="1" t="s">
        <v>2542</v>
      </c>
      <c r="N1207" s="1" t="s">
        <v>2578</v>
      </c>
    </row>
    <row r="1208" spans="1:14" x14ac:dyDescent="0.35">
      <c r="A1208">
        <v>3372238</v>
      </c>
      <c r="B1208" s="1" t="s">
        <v>2117</v>
      </c>
      <c r="C1208">
        <v>38565</v>
      </c>
      <c r="D1208">
        <v>1123</v>
      </c>
      <c r="E1208" s="1" t="s">
        <v>2579</v>
      </c>
      <c r="F1208" s="1" t="s">
        <v>15</v>
      </c>
      <c r="G1208" s="1" t="s">
        <v>22</v>
      </c>
      <c r="H1208">
        <v>62</v>
      </c>
      <c r="I1208">
        <v>35</v>
      </c>
      <c r="J1208">
        <v>64</v>
      </c>
      <c r="K1208" s="1" t="s">
        <v>444</v>
      </c>
      <c r="L1208" s="1" t="s">
        <v>24</v>
      </c>
      <c r="M1208" s="1" t="s">
        <v>2542</v>
      </c>
      <c r="N1208" s="1" t="s">
        <v>2580</v>
      </c>
    </row>
    <row r="1209" spans="1:14" x14ac:dyDescent="0.35">
      <c r="A1209">
        <v>3376093</v>
      </c>
      <c r="B1209" s="1" t="s">
        <v>2117</v>
      </c>
      <c r="C1209">
        <v>38565</v>
      </c>
      <c r="D1209">
        <v>1123</v>
      </c>
      <c r="E1209" s="1" t="s">
        <v>2581</v>
      </c>
      <c r="F1209" s="1" t="s">
        <v>71</v>
      </c>
      <c r="G1209" s="1" t="s">
        <v>32</v>
      </c>
      <c r="H1209">
        <v>34</v>
      </c>
      <c r="I1209">
        <v>18</v>
      </c>
      <c r="J1209">
        <v>53</v>
      </c>
      <c r="K1209" s="1" t="s">
        <v>84</v>
      </c>
      <c r="L1209" s="1" t="s">
        <v>24</v>
      </c>
      <c r="M1209" s="1" t="s">
        <v>2582</v>
      </c>
      <c r="N1209" s="1" t="s">
        <v>2583</v>
      </c>
    </row>
    <row r="1210" spans="1:14" x14ac:dyDescent="0.35">
      <c r="A1210">
        <v>3376012</v>
      </c>
      <c r="B1210" s="1" t="s">
        <v>2117</v>
      </c>
      <c r="C1210">
        <v>38565</v>
      </c>
      <c r="D1210">
        <v>1123</v>
      </c>
      <c r="E1210" s="1" t="s">
        <v>2584</v>
      </c>
      <c r="F1210" s="1" t="s">
        <v>15</v>
      </c>
      <c r="G1210" s="1" t="s">
        <v>16</v>
      </c>
      <c r="H1210">
        <v>393</v>
      </c>
      <c r="I1210">
        <v>113</v>
      </c>
      <c r="J1210">
        <v>560</v>
      </c>
      <c r="K1210" s="1" t="s">
        <v>137</v>
      </c>
      <c r="L1210" s="1" t="s">
        <v>18</v>
      </c>
      <c r="M1210" s="1" t="s">
        <v>2582</v>
      </c>
      <c r="N1210" s="1" t="s">
        <v>2585</v>
      </c>
    </row>
    <row r="1211" spans="1:14" x14ac:dyDescent="0.35">
      <c r="A1211">
        <v>3376082</v>
      </c>
      <c r="B1211" s="1" t="s">
        <v>2117</v>
      </c>
      <c r="C1211">
        <v>38565</v>
      </c>
      <c r="D1211">
        <v>1123</v>
      </c>
      <c r="E1211" s="1" t="s">
        <v>2586</v>
      </c>
      <c r="F1211" s="1" t="s">
        <v>15</v>
      </c>
      <c r="G1211" s="1" t="s">
        <v>16</v>
      </c>
      <c r="H1211">
        <v>406</v>
      </c>
      <c r="I1211">
        <v>103</v>
      </c>
      <c r="J1211">
        <v>956</v>
      </c>
      <c r="K1211" s="1" t="s">
        <v>444</v>
      </c>
      <c r="L1211" s="1" t="s">
        <v>24</v>
      </c>
      <c r="M1211" s="1" t="s">
        <v>2582</v>
      </c>
      <c r="N1211" s="1" t="s">
        <v>2587</v>
      </c>
    </row>
    <row r="1212" spans="1:14" x14ac:dyDescent="0.35">
      <c r="A1212">
        <v>3328042</v>
      </c>
      <c r="B1212" s="1" t="s">
        <v>2117</v>
      </c>
      <c r="C1212">
        <v>38565</v>
      </c>
      <c r="D1212">
        <v>1123</v>
      </c>
      <c r="E1212" s="1" t="s">
        <v>2588</v>
      </c>
      <c r="F1212" s="1" t="s">
        <v>15</v>
      </c>
      <c r="G1212" s="1" t="s">
        <v>32</v>
      </c>
      <c r="H1212">
        <v>108</v>
      </c>
      <c r="I1212">
        <v>50</v>
      </c>
      <c r="J1212">
        <v>304</v>
      </c>
      <c r="K1212" s="1" t="s">
        <v>23</v>
      </c>
      <c r="L1212" s="1" t="s">
        <v>24</v>
      </c>
      <c r="M1212" s="1" t="s">
        <v>2582</v>
      </c>
      <c r="N1212" s="1" t="s">
        <v>2589</v>
      </c>
    </row>
    <row r="1213" spans="1:14" x14ac:dyDescent="0.35">
      <c r="A1213">
        <v>3319023</v>
      </c>
      <c r="B1213" s="1" t="s">
        <v>2117</v>
      </c>
      <c r="C1213">
        <v>38565</v>
      </c>
      <c r="D1213">
        <v>1123</v>
      </c>
      <c r="E1213" s="1" t="s">
        <v>331</v>
      </c>
      <c r="F1213" s="1" t="s">
        <v>71</v>
      </c>
      <c r="G1213" s="1" t="s">
        <v>32</v>
      </c>
      <c r="H1213">
        <v>39</v>
      </c>
      <c r="I1213">
        <v>15</v>
      </c>
      <c r="J1213">
        <v>83</v>
      </c>
      <c r="K1213" s="1" t="s">
        <v>23</v>
      </c>
      <c r="L1213" s="1" t="s">
        <v>24</v>
      </c>
      <c r="M1213" s="1" t="s">
        <v>2590</v>
      </c>
      <c r="N1213" s="1" t="s">
        <v>2591</v>
      </c>
    </row>
    <row r="1214" spans="1:14" x14ac:dyDescent="0.35">
      <c r="A1214">
        <v>3319025</v>
      </c>
      <c r="B1214" s="1" t="s">
        <v>2117</v>
      </c>
      <c r="C1214">
        <v>38565</v>
      </c>
      <c r="D1214">
        <v>1123</v>
      </c>
      <c r="E1214" s="1" t="s">
        <v>2592</v>
      </c>
      <c r="F1214" s="1" t="s">
        <v>71</v>
      </c>
      <c r="G1214" s="1" t="s">
        <v>32</v>
      </c>
      <c r="H1214">
        <v>28</v>
      </c>
      <c r="I1214">
        <v>17</v>
      </c>
      <c r="J1214">
        <v>43</v>
      </c>
      <c r="K1214" s="1" t="s">
        <v>572</v>
      </c>
      <c r="L1214" s="1" t="s">
        <v>24</v>
      </c>
      <c r="M1214" s="1" t="s">
        <v>2590</v>
      </c>
      <c r="N1214" s="1" t="s">
        <v>2593</v>
      </c>
    </row>
    <row r="1215" spans="1:14" x14ac:dyDescent="0.35">
      <c r="A1215">
        <v>3319091</v>
      </c>
      <c r="B1215" s="1" t="s">
        <v>2117</v>
      </c>
      <c r="C1215">
        <v>38565</v>
      </c>
      <c r="D1215">
        <v>1123</v>
      </c>
      <c r="E1215" s="1" t="s">
        <v>2594</v>
      </c>
      <c r="F1215" s="1" t="s">
        <v>71</v>
      </c>
      <c r="G1215" s="1" t="s">
        <v>32</v>
      </c>
      <c r="H1215">
        <v>25</v>
      </c>
      <c r="I1215">
        <v>16</v>
      </c>
      <c r="J1215">
        <v>66</v>
      </c>
      <c r="K1215" s="1" t="s">
        <v>84</v>
      </c>
      <c r="L1215" s="1" t="s">
        <v>24</v>
      </c>
      <c r="M1215" s="1" t="s">
        <v>2590</v>
      </c>
      <c r="N1215" s="1" t="s">
        <v>2595</v>
      </c>
    </row>
    <row r="1216" spans="1:14" x14ac:dyDescent="0.35">
      <c r="A1216">
        <v>3319010</v>
      </c>
      <c r="B1216" s="1" t="s">
        <v>2117</v>
      </c>
      <c r="C1216">
        <v>38565</v>
      </c>
      <c r="D1216">
        <v>1123</v>
      </c>
      <c r="E1216" s="1" t="s">
        <v>2596</v>
      </c>
      <c r="F1216" s="1" t="s">
        <v>15</v>
      </c>
      <c r="G1216" s="1" t="s">
        <v>16</v>
      </c>
      <c r="H1216">
        <v>385</v>
      </c>
      <c r="I1216">
        <v>56</v>
      </c>
      <c r="J1216">
        <v>965</v>
      </c>
      <c r="K1216" s="1" t="s">
        <v>17</v>
      </c>
      <c r="L1216" s="1" t="s">
        <v>18</v>
      </c>
      <c r="M1216" s="1" t="s">
        <v>2590</v>
      </c>
      <c r="N1216" s="1" t="s">
        <v>2597</v>
      </c>
    </row>
    <row r="1217" spans="1:14" x14ac:dyDescent="0.35">
      <c r="A1217">
        <v>3319032</v>
      </c>
      <c r="B1217" s="1" t="s">
        <v>2117</v>
      </c>
      <c r="C1217">
        <v>38565</v>
      </c>
      <c r="D1217">
        <v>1123</v>
      </c>
      <c r="E1217" s="1" t="s">
        <v>2598</v>
      </c>
      <c r="F1217" s="1" t="s">
        <v>15</v>
      </c>
      <c r="G1217" s="1" t="s">
        <v>16</v>
      </c>
      <c r="H1217">
        <v>259</v>
      </c>
      <c r="I1217">
        <v>81</v>
      </c>
      <c r="J1217">
        <v>1384</v>
      </c>
      <c r="K1217" s="1" t="s">
        <v>84</v>
      </c>
      <c r="L1217" s="1" t="s">
        <v>24</v>
      </c>
      <c r="M1217" s="1" t="s">
        <v>2590</v>
      </c>
      <c r="N1217" s="1" t="s">
        <v>2599</v>
      </c>
    </row>
    <row r="1218" spans="1:14" x14ac:dyDescent="0.35">
      <c r="A1218">
        <v>3319113</v>
      </c>
      <c r="B1218" s="1" t="s">
        <v>2117</v>
      </c>
      <c r="C1218">
        <v>38565</v>
      </c>
      <c r="D1218">
        <v>1123</v>
      </c>
      <c r="E1218" s="1" t="s">
        <v>2600</v>
      </c>
      <c r="F1218" s="1" t="s">
        <v>15</v>
      </c>
      <c r="G1218" s="1" t="s">
        <v>32</v>
      </c>
      <c r="H1218">
        <v>115</v>
      </c>
      <c r="I1218">
        <v>31</v>
      </c>
      <c r="K1218" s="1" t="s">
        <v>23</v>
      </c>
      <c r="L1218" s="1" t="s">
        <v>24</v>
      </c>
      <c r="M1218" s="1" t="s">
        <v>2590</v>
      </c>
      <c r="N1218" s="1" t="s">
        <v>2601</v>
      </c>
    </row>
    <row r="1219" spans="1:14" x14ac:dyDescent="0.35">
      <c r="A1219">
        <v>3319022</v>
      </c>
      <c r="B1219" s="1" t="s">
        <v>2117</v>
      </c>
      <c r="C1219">
        <v>38565</v>
      </c>
      <c r="D1219">
        <v>1123</v>
      </c>
      <c r="E1219" s="1" t="s">
        <v>2602</v>
      </c>
      <c r="F1219" s="1" t="s">
        <v>15</v>
      </c>
      <c r="G1219" s="1" t="s">
        <v>32</v>
      </c>
      <c r="H1219">
        <v>100</v>
      </c>
      <c r="I1219">
        <v>42</v>
      </c>
      <c r="J1219">
        <v>278</v>
      </c>
      <c r="K1219" s="1" t="s">
        <v>84</v>
      </c>
      <c r="L1219" s="1" t="s">
        <v>24</v>
      </c>
      <c r="M1219" s="1" t="s">
        <v>2590</v>
      </c>
      <c r="N1219" s="1" t="s">
        <v>2603</v>
      </c>
    </row>
    <row r="1220" spans="1:14" x14ac:dyDescent="0.35">
      <c r="A1220">
        <v>3319080</v>
      </c>
      <c r="B1220" s="1" t="s">
        <v>2117</v>
      </c>
      <c r="C1220">
        <v>38565</v>
      </c>
      <c r="D1220">
        <v>1123</v>
      </c>
      <c r="E1220" s="1" t="s">
        <v>2604</v>
      </c>
      <c r="F1220" s="1" t="s">
        <v>15</v>
      </c>
      <c r="G1220" s="1" t="s">
        <v>32</v>
      </c>
      <c r="H1220">
        <v>200</v>
      </c>
      <c r="I1220">
        <v>47</v>
      </c>
      <c r="J1220">
        <v>796</v>
      </c>
      <c r="K1220" s="1" t="s">
        <v>444</v>
      </c>
      <c r="L1220" s="1" t="s">
        <v>24</v>
      </c>
      <c r="M1220" s="1" t="s">
        <v>2590</v>
      </c>
      <c r="N1220" s="1" t="s">
        <v>2605</v>
      </c>
    </row>
    <row r="1221" spans="1:14" x14ac:dyDescent="0.35">
      <c r="A1221">
        <v>3319043</v>
      </c>
      <c r="B1221" s="1" t="s">
        <v>2117</v>
      </c>
      <c r="C1221">
        <v>38565</v>
      </c>
      <c r="D1221">
        <v>1123</v>
      </c>
      <c r="E1221" s="1" t="s">
        <v>2606</v>
      </c>
      <c r="F1221" s="1" t="s">
        <v>15</v>
      </c>
      <c r="G1221" s="1" t="s">
        <v>22</v>
      </c>
      <c r="H1221">
        <v>102</v>
      </c>
      <c r="I1221">
        <v>37</v>
      </c>
      <c r="J1221">
        <v>180</v>
      </c>
      <c r="K1221" s="1" t="s">
        <v>444</v>
      </c>
      <c r="L1221" s="1" t="s">
        <v>24</v>
      </c>
      <c r="M1221" s="1" t="s">
        <v>2590</v>
      </c>
      <c r="N1221" s="1" t="s">
        <v>2607</v>
      </c>
    </row>
    <row r="1222" spans="1:14" x14ac:dyDescent="0.35">
      <c r="A1222">
        <v>3319102</v>
      </c>
      <c r="B1222" s="1" t="s">
        <v>2117</v>
      </c>
      <c r="C1222">
        <v>38565</v>
      </c>
      <c r="D1222">
        <v>1123</v>
      </c>
      <c r="E1222" s="1" t="s">
        <v>2608</v>
      </c>
      <c r="F1222" s="1" t="s">
        <v>15</v>
      </c>
      <c r="G1222" s="1" t="s">
        <v>22</v>
      </c>
      <c r="H1222">
        <v>58</v>
      </c>
      <c r="I1222">
        <v>41</v>
      </c>
      <c r="J1222">
        <v>98</v>
      </c>
      <c r="K1222" s="1" t="s">
        <v>27</v>
      </c>
      <c r="L1222" s="1" t="s">
        <v>24</v>
      </c>
      <c r="M1222" s="1" t="s">
        <v>2590</v>
      </c>
      <c r="N1222" s="1" t="s">
        <v>2609</v>
      </c>
    </row>
    <row r="1223" spans="1:14" x14ac:dyDescent="0.35">
      <c r="A1223">
        <v>3319021</v>
      </c>
      <c r="B1223" s="1" t="s">
        <v>2117</v>
      </c>
      <c r="C1223">
        <v>38565</v>
      </c>
      <c r="D1223">
        <v>1123</v>
      </c>
      <c r="E1223" s="1" t="s">
        <v>2610</v>
      </c>
      <c r="F1223" s="1" t="s">
        <v>15</v>
      </c>
      <c r="G1223" s="1" t="s">
        <v>22</v>
      </c>
      <c r="H1223">
        <v>160</v>
      </c>
      <c r="I1223">
        <v>22</v>
      </c>
      <c r="J1223">
        <v>182</v>
      </c>
      <c r="K1223" s="1" t="s">
        <v>23</v>
      </c>
      <c r="L1223" s="1" t="s">
        <v>24</v>
      </c>
      <c r="M1223" s="1" t="s">
        <v>2590</v>
      </c>
      <c r="N1223" s="1" t="s">
        <v>2611</v>
      </c>
    </row>
    <row r="1224" spans="1:14" x14ac:dyDescent="0.35">
      <c r="A1224">
        <v>3308022</v>
      </c>
      <c r="B1224" s="1" t="s">
        <v>2117</v>
      </c>
      <c r="C1224">
        <v>38565</v>
      </c>
      <c r="D1224">
        <v>1123</v>
      </c>
      <c r="E1224" s="1" t="s">
        <v>2612</v>
      </c>
      <c r="F1224" s="1" t="s">
        <v>15</v>
      </c>
      <c r="G1224" s="1" t="s">
        <v>32</v>
      </c>
      <c r="H1224">
        <v>200</v>
      </c>
      <c r="I1224">
        <v>36</v>
      </c>
      <c r="J1224">
        <v>391</v>
      </c>
      <c r="K1224" s="1" t="s">
        <v>17</v>
      </c>
      <c r="L1224" s="1" t="s">
        <v>18</v>
      </c>
      <c r="M1224" s="1" t="s">
        <v>2613</v>
      </c>
      <c r="N1224" s="1" t="s">
        <v>2614</v>
      </c>
    </row>
    <row r="1225" spans="1:14" x14ac:dyDescent="0.35">
      <c r="A1225">
        <v>3308014</v>
      </c>
      <c r="B1225" s="1" t="s">
        <v>2117</v>
      </c>
      <c r="C1225">
        <v>38565</v>
      </c>
      <c r="D1225">
        <v>1123</v>
      </c>
      <c r="E1225" s="1" t="s">
        <v>2615</v>
      </c>
      <c r="F1225" s="1" t="s">
        <v>15</v>
      </c>
      <c r="G1225" s="1" t="s">
        <v>32</v>
      </c>
      <c r="H1225">
        <v>159</v>
      </c>
      <c r="I1225">
        <v>39</v>
      </c>
      <c r="J1225">
        <v>591</v>
      </c>
      <c r="K1225" s="1" t="s">
        <v>17</v>
      </c>
      <c r="L1225" s="1" t="s">
        <v>18</v>
      </c>
      <c r="M1225" s="1" t="s">
        <v>2613</v>
      </c>
      <c r="N1225" s="1" t="s">
        <v>2616</v>
      </c>
    </row>
    <row r="1226" spans="1:14" x14ac:dyDescent="0.35">
      <c r="A1226">
        <v>3308021</v>
      </c>
      <c r="B1226" s="1" t="s">
        <v>2117</v>
      </c>
      <c r="C1226">
        <v>38565</v>
      </c>
      <c r="D1226">
        <v>1123</v>
      </c>
      <c r="E1226" s="1" t="s">
        <v>2617</v>
      </c>
      <c r="F1226" s="1" t="s">
        <v>15</v>
      </c>
      <c r="G1226" s="1" t="s">
        <v>32</v>
      </c>
      <c r="H1226">
        <v>116</v>
      </c>
      <c r="I1226">
        <v>23</v>
      </c>
      <c r="J1226">
        <v>55</v>
      </c>
      <c r="K1226" s="1" t="s">
        <v>90</v>
      </c>
      <c r="L1226" s="1" t="s">
        <v>24</v>
      </c>
      <c r="M1226" s="1" t="s">
        <v>2613</v>
      </c>
      <c r="N1226" s="1" t="s">
        <v>2618</v>
      </c>
    </row>
    <row r="1227" spans="1:14" x14ac:dyDescent="0.35">
      <c r="A1227">
        <v>3308017</v>
      </c>
      <c r="B1227" s="1" t="s">
        <v>2117</v>
      </c>
      <c r="C1227">
        <v>38565</v>
      </c>
      <c r="D1227">
        <v>1123</v>
      </c>
      <c r="E1227" s="1" t="s">
        <v>2619</v>
      </c>
      <c r="F1227" s="1" t="s">
        <v>15</v>
      </c>
      <c r="G1227" s="1" t="s">
        <v>32</v>
      </c>
      <c r="H1227">
        <v>113</v>
      </c>
      <c r="I1227">
        <v>26</v>
      </c>
      <c r="J1227">
        <v>192</v>
      </c>
      <c r="K1227" s="1" t="s">
        <v>23</v>
      </c>
      <c r="L1227" s="1" t="s">
        <v>24</v>
      </c>
      <c r="M1227" s="1" t="s">
        <v>2613</v>
      </c>
      <c r="N1227" s="1" t="s">
        <v>2620</v>
      </c>
    </row>
    <row r="1228" spans="1:14" x14ac:dyDescent="0.35">
      <c r="A1228">
        <v>3308034</v>
      </c>
      <c r="B1228" s="1" t="s">
        <v>2117</v>
      </c>
      <c r="C1228">
        <v>38565</v>
      </c>
      <c r="D1228">
        <v>1123</v>
      </c>
      <c r="E1228" s="1" t="s">
        <v>2621</v>
      </c>
      <c r="F1228" s="1" t="s">
        <v>15</v>
      </c>
      <c r="G1228" s="1" t="s">
        <v>22</v>
      </c>
      <c r="H1228">
        <v>50</v>
      </c>
      <c r="I1228">
        <v>16</v>
      </c>
      <c r="K1228" s="1" t="s">
        <v>17</v>
      </c>
      <c r="L1228" s="1" t="s">
        <v>24</v>
      </c>
      <c r="M1228" s="1" t="s">
        <v>2613</v>
      </c>
      <c r="N1228" s="1" t="s">
        <v>2622</v>
      </c>
    </row>
    <row r="1229" spans="1:14" x14ac:dyDescent="0.35">
      <c r="A1229">
        <v>3308018</v>
      </c>
      <c r="B1229" s="1" t="s">
        <v>2117</v>
      </c>
      <c r="C1229">
        <v>38565</v>
      </c>
      <c r="D1229">
        <v>1123</v>
      </c>
      <c r="E1229" s="1" t="s">
        <v>2623</v>
      </c>
      <c r="F1229" s="1" t="s">
        <v>15</v>
      </c>
      <c r="G1229" s="1" t="s">
        <v>22</v>
      </c>
      <c r="H1229">
        <v>50</v>
      </c>
      <c r="I1229">
        <v>9</v>
      </c>
      <c r="J1229">
        <v>25</v>
      </c>
      <c r="K1229" s="1" t="s">
        <v>90</v>
      </c>
      <c r="L1229" s="1" t="s">
        <v>24</v>
      </c>
      <c r="M1229" s="1" t="s">
        <v>2613</v>
      </c>
      <c r="N1229" s="1" t="s">
        <v>2624</v>
      </c>
    </row>
    <row r="1230" spans="1:14" x14ac:dyDescent="0.35">
      <c r="A1230">
        <v>3308033</v>
      </c>
      <c r="B1230" s="1" t="s">
        <v>2117</v>
      </c>
      <c r="C1230">
        <v>38565</v>
      </c>
      <c r="D1230">
        <v>1123</v>
      </c>
      <c r="E1230" s="1" t="s">
        <v>2625</v>
      </c>
      <c r="F1230" s="1" t="s">
        <v>15</v>
      </c>
      <c r="G1230" s="1" t="s">
        <v>22</v>
      </c>
      <c r="H1230">
        <v>51</v>
      </c>
      <c r="I1230">
        <v>15</v>
      </c>
      <c r="K1230" s="1" t="s">
        <v>17</v>
      </c>
      <c r="L1230" s="1" t="s">
        <v>24</v>
      </c>
      <c r="M1230" s="1" t="s">
        <v>2613</v>
      </c>
      <c r="N1230" s="1" t="s">
        <v>2626</v>
      </c>
    </row>
    <row r="1231" spans="1:14" x14ac:dyDescent="0.35">
      <c r="A1231">
        <v>3318125</v>
      </c>
      <c r="B1231" s="1" t="s">
        <v>2117</v>
      </c>
      <c r="C1231">
        <v>38565</v>
      </c>
      <c r="D1231">
        <v>1123</v>
      </c>
      <c r="E1231" s="1" t="s">
        <v>2627</v>
      </c>
      <c r="F1231" s="1" t="s">
        <v>71</v>
      </c>
      <c r="G1231" s="1" t="s">
        <v>32</v>
      </c>
      <c r="H1231">
        <v>27</v>
      </c>
      <c r="I1231">
        <v>14</v>
      </c>
      <c r="K1231" s="1" t="s">
        <v>23</v>
      </c>
      <c r="L1231" s="1" t="s">
        <v>24</v>
      </c>
      <c r="M1231" s="1" t="s">
        <v>2628</v>
      </c>
      <c r="N1231" s="1" t="s">
        <v>2629</v>
      </c>
    </row>
    <row r="1232" spans="1:14" x14ac:dyDescent="0.35">
      <c r="A1232">
        <v>3318016</v>
      </c>
      <c r="B1232" s="1" t="s">
        <v>2117</v>
      </c>
      <c r="C1232">
        <v>38565</v>
      </c>
      <c r="D1232">
        <v>1123</v>
      </c>
      <c r="E1232" s="1" t="s">
        <v>2630</v>
      </c>
      <c r="F1232" s="1" t="s">
        <v>15</v>
      </c>
      <c r="G1232" s="1" t="s">
        <v>16</v>
      </c>
      <c r="H1232">
        <v>289</v>
      </c>
      <c r="I1232">
        <v>79</v>
      </c>
      <c r="J1232">
        <v>1213</v>
      </c>
      <c r="K1232" s="1" t="s">
        <v>17</v>
      </c>
      <c r="L1232" s="1" t="s">
        <v>18</v>
      </c>
      <c r="M1232" s="1" t="s">
        <v>2628</v>
      </c>
      <c r="N1232" s="1" t="s">
        <v>2631</v>
      </c>
    </row>
    <row r="1233" spans="1:14" x14ac:dyDescent="0.35">
      <c r="A1233">
        <v>3318114</v>
      </c>
      <c r="B1233" s="1" t="s">
        <v>2117</v>
      </c>
      <c r="C1233">
        <v>38565</v>
      </c>
      <c r="D1233">
        <v>1123</v>
      </c>
      <c r="E1233" s="1" t="s">
        <v>2632</v>
      </c>
      <c r="F1233" s="1" t="s">
        <v>15</v>
      </c>
      <c r="G1233" s="1" t="s">
        <v>32</v>
      </c>
      <c r="H1233">
        <v>144</v>
      </c>
      <c r="I1233">
        <v>37</v>
      </c>
      <c r="J1233">
        <v>122</v>
      </c>
      <c r="K1233" s="1" t="s">
        <v>90</v>
      </c>
      <c r="L1233" s="1" t="s">
        <v>24</v>
      </c>
      <c r="M1233" s="1" t="s">
        <v>2628</v>
      </c>
      <c r="N1233" s="1" t="s">
        <v>2633</v>
      </c>
    </row>
    <row r="1234" spans="1:14" x14ac:dyDescent="0.35">
      <c r="A1234">
        <v>3318064</v>
      </c>
      <c r="B1234" s="1" t="s">
        <v>2117</v>
      </c>
      <c r="C1234">
        <v>38565</v>
      </c>
      <c r="D1234">
        <v>1123</v>
      </c>
      <c r="E1234" s="1" t="s">
        <v>2634</v>
      </c>
      <c r="F1234" s="1" t="s">
        <v>15</v>
      </c>
      <c r="G1234" s="1" t="s">
        <v>32</v>
      </c>
      <c r="H1234">
        <v>100</v>
      </c>
      <c r="I1234">
        <v>33</v>
      </c>
      <c r="J1234">
        <v>398</v>
      </c>
      <c r="K1234" s="1" t="s">
        <v>444</v>
      </c>
      <c r="L1234" s="1" t="s">
        <v>24</v>
      </c>
      <c r="M1234" s="1" t="s">
        <v>2628</v>
      </c>
      <c r="N1234" s="1" t="s">
        <v>2635</v>
      </c>
    </row>
    <row r="1235" spans="1:14" x14ac:dyDescent="0.35">
      <c r="A1235">
        <v>3318111</v>
      </c>
      <c r="B1235" s="1" t="s">
        <v>2117</v>
      </c>
      <c r="C1235">
        <v>38565</v>
      </c>
      <c r="D1235">
        <v>1123</v>
      </c>
      <c r="E1235" s="1" t="s">
        <v>2636</v>
      </c>
      <c r="F1235" s="1" t="s">
        <v>15</v>
      </c>
      <c r="G1235" s="1" t="s">
        <v>32</v>
      </c>
      <c r="H1235">
        <v>137</v>
      </c>
      <c r="I1235">
        <v>20</v>
      </c>
      <c r="J1235">
        <v>157</v>
      </c>
      <c r="K1235" s="1" t="s">
        <v>23</v>
      </c>
      <c r="L1235" s="1" t="s">
        <v>24</v>
      </c>
      <c r="M1235" s="1" t="s">
        <v>2628</v>
      </c>
      <c r="N1235" s="1" t="s">
        <v>2637</v>
      </c>
    </row>
    <row r="1236" spans="1:14" x14ac:dyDescent="0.35">
      <c r="A1236">
        <v>3318075</v>
      </c>
      <c r="B1236" s="1" t="s">
        <v>2117</v>
      </c>
      <c r="C1236">
        <v>38565</v>
      </c>
      <c r="D1236">
        <v>1123</v>
      </c>
      <c r="E1236" s="1" t="s">
        <v>2638</v>
      </c>
      <c r="F1236" s="1" t="s">
        <v>15</v>
      </c>
      <c r="G1236" s="1" t="s">
        <v>32</v>
      </c>
      <c r="H1236">
        <v>115</v>
      </c>
      <c r="I1236">
        <v>30</v>
      </c>
      <c r="J1236">
        <v>311</v>
      </c>
      <c r="K1236" s="1" t="s">
        <v>84</v>
      </c>
      <c r="L1236" s="1" t="s">
        <v>24</v>
      </c>
      <c r="M1236" s="1" t="s">
        <v>2628</v>
      </c>
      <c r="N1236" s="1" t="s">
        <v>2639</v>
      </c>
    </row>
    <row r="1237" spans="1:14" x14ac:dyDescent="0.35">
      <c r="A1237">
        <v>3318108</v>
      </c>
      <c r="B1237" s="1" t="s">
        <v>2117</v>
      </c>
      <c r="C1237">
        <v>38565</v>
      </c>
      <c r="D1237">
        <v>1123</v>
      </c>
      <c r="E1237" s="1" t="s">
        <v>2640</v>
      </c>
      <c r="F1237" s="1" t="s">
        <v>15</v>
      </c>
      <c r="G1237" s="1" t="s">
        <v>32</v>
      </c>
      <c r="H1237">
        <v>199</v>
      </c>
      <c r="I1237">
        <v>39</v>
      </c>
      <c r="J1237">
        <v>956</v>
      </c>
      <c r="K1237" s="1" t="s">
        <v>90</v>
      </c>
      <c r="L1237" s="1" t="s">
        <v>24</v>
      </c>
      <c r="M1237" s="1" t="s">
        <v>2628</v>
      </c>
      <c r="N1237" s="1" t="s">
        <v>2641</v>
      </c>
    </row>
    <row r="1238" spans="1:14" x14ac:dyDescent="0.35">
      <c r="A1238">
        <v>3318110</v>
      </c>
      <c r="B1238" s="1" t="s">
        <v>2117</v>
      </c>
      <c r="C1238">
        <v>38565</v>
      </c>
      <c r="D1238">
        <v>1123</v>
      </c>
      <c r="E1238" s="1" t="s">
        <v>2642</v>
      </c>
      <c r="F1238" s="1" t="s">
        <v>15</v>
      </c>
      <c r="G1238" s="1" t="s">
        <v>32</v>
      </c>
      <c r="H1238">
        <v>138</v>
      </c>
      <c r="I1238">
        <v>74</v>
      </c>
      <c r="J1238">
        <v>50</v>
      </c>
      <c r="K1238" s="1" t="s">
        <v>444</v>
      </c>
      <c r="L1238" s="1" t="s">
        <v>24</v>
      </c>
      <c r="M1238" s="1" t="s">
        <v>2628</v>
      </c>
      <c r="N1238" s="1" t="s">
        <v>2643</v>
      </c>
    </row>
    <row r="1239" spans="1:14" x14ac:dyDescent="0.35">
      <c r="A1239">
        <v>3318086</v>
      </c>
      <c r="B1239" s="1" t="s">
        <v>2117</v>
      </c>
      <c r="C1239">
        <v>38565</v>
      </c>
      <c r="D1239">
        <v>1123</v>
      </c>
      <c r="E1239" s="1" t="s">
        <v>2644</v>
      </c>
      <c r="F1239" s="1" t="s">
        <v>15</v>
      </c>
      <c r="G1239" s="1" t="s">
        <v>32</v>
      </c>
      <c r="H1239">
        <v>111</v>
      </c>
      <c r="I1239">
        <v>27</v>
      </c>
      <c r="J1239">
        <v>155</v>
      </c>
      <c r="K1239" s="1" t="s">
        <v>17</v>
      </c>
      <c r="L1239" s="1" t="s">
        <v>18</v>
      </c>
      <c r="M1239" s="1" t="s">
        <v>2628</v>
      </c>
      <c r="N1239" s="1" t="s">
        <v>2645</v>
      </c>
    </row>
    <row r="1240" spans="1:14" x14ac:dyDescent="0.35">
      <c r="A1240">
        <v>3318109</v>
      </c>
      <c r="B1240" s="1" t="s">
        <v>2117</v>
      </c>
      <c r="C1240">
        <v>38565</v>
      </c>
      <c r="D1240">
        <v>1123</v>
      </c>
      <c r="E1240" s="1" t="s">
        <v>2646</v>
      </c>
      <c r="F1240" s="1" t="s">
        <v>15</v>
      </c>
      <c r="G1240" s="1" t="s">
        <v>22</v>
      </c>
      <c r="H1240">
        <v>85</v>
      </c>
      <c r="I1240">
        <v>24</v>
      </c>
      <c r="J1240">
        <v>117</v>
      </c>
      <c r="K1240" s="1" t="s">
        <v>23</v>
      </c>
      <c r="L1240" s="1" t="s">
        <v>24</v>
      </c>
      <c r="M1240" s="1" t="s">
        <v>2628</v>
      </c>
      <c r="N1240" s="1" t="s">
        <v>2647</v>
      </c>
    </row>
    <row r="1241" spans="1:14" x14ac:dyDescent="0.35">
      <c r="A1241">
        <v>3318113</v>
      </c>
      <c r="B1241" s="1" t="s">
        <v>2117</v>
      </c>
      <c r="C1241">
        <v>38565</v>
      </c>
      <c r="D1241">
        <v>1123</v>
      </c>
      <c r="E1241" s="1" t="s">
        <v>2648</v>
      </c>
      <c r="F1241" s="1" t="s">
        <v>15</v>
      </c>
      <c r="G1241" s="1" t="s">
        <v>22</v>
      </c>
      <c r="H1241">
        <v>50</v>
      </c>
      <c r="I1241">
        <v>26</v>
      </c>
      <c r="J1241">
        <v>135</v>
      </c>
      <c r="K1241" s="1" t="s">
        <v>23</v>
      </c>
      <c r="L1241" s="1" t="s">
        <v>24</v>
      </c>
      <c r="M1241" s="1" t="s">
        <v>2628</v>
      </c>
      <c r="N1241" s="1" t="s">
        <v>2649</v>
      </c>
    </row>
    <row r="1242" spans="1:14" x14ac:dyDescent="0.35">
      <c r="A1242">
        <v>3326051</v>
      </c>
      <c r="B1242" s="1" t="s">
        <v>2117</v>
      </c>
      <c r="C1242">
        <v>38565</v>
      </c>
      <c r="D1242">
        <v>1123</v>
      </c>
      <c r="E1242" s="1" t="s">
        <v>2650</v>
      </c>
      <c r="F1242" s="1" t="s">
        <v>71</v>
      </c>
      <c r="G1242" s="1" t="s">
        <v>32</v>
      </c>
      <c r="H1242">
        <v>79</v>
      </c>
      <c r="I1242">
        <v>17</v>
      </c>
      <c r="J1242">
        <v>196</v>
      </c>
      <c r="K1242" s="1" t="s">
        <v>444</v>
      </c>
      <c r="L1242" s="1" t="s">
        <v>24</v>
      </c>
      <c r="M1242" s="1" t="s">
        <v>2651</v>
      </c>
      <c r="N1242" s="1" t="s">
        <v>2652</v>
      </c>
    </row>
    <row r="1243" spans="1:14" x14ac:dyDescent="0.35">
      <c r="A1243">
        <v>3326011</v>
      </c>
      <c r="B1243" s="1" t="s">
        <v>2117</v>
      </c>
      <c r="C1243">
        <v>38565</v>
      </c>
      <c r="D1243">
        <v>1123</v>
      </c>
      <c r="E1243" s="1" t="s">
        <v>2653</v>
      </c>
      <c r="F1243" s="1" t="s">
        <v>15</v>
      </c>
      <c r="G1243" s="1" t="s">
        <v>16</v>
      </c>
      <c r="H1243">
        <v>249</v>
      </c>
      <c r="I1243">
        <v>135</v>
      </c>
      <c r="J1243">
        <v>694</v>
      </c>
      <c r="K1243" s="1" t="s">
        <v>17</v>
      </c>
      <c r="L1243" s="1" t="s">
        <v>18</v>
      </c>
      <c r="M1243" s="1" t="s">
        <v>2651</v>
      </c>
      <c r="N1243" s="1" t="s">
        <v>2654</v>
      </c>
    </row>
    <row r="1244" spans="1:14" x14ac:dyDescent="0.35">
      <c r="A1244">
        <v>3326038</v>
      </c>
      <c r="B1244" s="1" t="s">
        <v>2117</v>
      </c>
      <c r="C1244">
        <v>38565</v>
      </c>
      <c r="D1244">
        <v>1123</v>
      </c>
      <c r="E1244" s="1" t="s">
        <v>2655</v>
      </c>
      <c r="F1244" s="1" t="s">
        <v>15</v>
      </c>
      <c r="G1244" s="1" t="s">
        <v>32</v>
      </c>
      <c r="H1244">
        <v>275</v>
      </c>
      <c r="I1244">
        <v>84</v>
      </c>
      <c r="J1244">
        <v>303</v>
      </c>
      <c r="K1244" s="1" t="s">
        <v>17</v>
      </c>
      <c r="L1244" s="1" t="s">
        <v>18</v>
      </c>
      <c r="M1244" s="1" t="s">
        <v>2651</v>
      </c>
      <c r="N1244" s="1" t="s">
        <v>2656</v>
      </c>
    </row>
    <row r="1245" spans="1:14" x14ac:dyDescent="0.35">
      <c r="A1245">
        <v>3326016</v>
      </c>
      <c r="B1245" s="1" t="s">
        <v>2117</v>
      </c>
      <c r="C1245">
        <v>38565</v>
      </c>
      <c r="D1245">
        <v>1123</v>
      </c>
      <c r="E1245" s="1" t="s">
        <v>2657</v>
      </c>
      <c r="F1245" s="1" t="s">
        <v>15</v>
      </c>
      <c r="G1245" s="1" t="s">
        <v>32</v>
      </c>
      <c r="H1245">
        <v>182</v>
      </c>
      <c r="I1245">
        <v>35</v>
      </c>
      <c r="J1245">
        <v>277</v>
      </c>
      <c r="K1245" s="1" t="s">
        <v>444</v>
      </c>
      <c r="L1245" s="1" t="s">
        <v>24</v>
      </c>
      <c r="M1245" s="1" t="s">
        <v>2651</v>
      </c>
      <c r="N1245" s="1" t="s">
        <v>2658</v>
      </c>
    </row>
    <row r="1246" spans="1:14" x14ac:dyDescent="0.35">
      <c r="A1246">
        <v>3326062</v>
      </c>
      <c r="B1246" s="1" t="s">
        <v>2117</v>
      </c>
      <c r="C1246">
        <v>38565</v>
      </c>
      <c r="D1246">
        <v>1123</v>
      </c>
      <c r="E1246" s="1" t="s">
        <v>2659</v>
      </c>
      <c r="F1246" s="1" t="s">
        <v>15</v>
      </c>
      <c r="G1246" s="1" t="s">
        <v>22</v>
      </c>
      <c r="H1246">
        <v>85</v>
      </c>
      <c r="I1246">
        <v>19</v>
      </c>
      <c r="K1246" s="1" t="s">
        <v>17</v>
      </c>
      <c r="L1246" s="1" t="s">
        <v>18</v>
      </c>
      <c r="M1246" s="1" t="s">
        <v>2651</v>
      </c>
      <c r="N1246" s="1" t="s">
        <v>2660</v>
      </c>
    </row>
    <row r="1247" spans="1:14" x14ac:dyDescent="0.35">
      <c r="A1247">
        <v>3326063</v>
      </c>
      <c r="B1247" s="1" t="s">
        <v>2117</v>
      </c>
      <c r="C1247">
        <v>38565</v>
      </c>
      <c r="D1247">
        <v>1123</v>
      </c>
      <c r="E1247" s="1" t="s">
        <v>2661</v>
      </c>
      <c r="F1247" s="1" t="s">
        <v>15</v>
      </c>
      <c r="G1247" s="1" t="s">
        <v>22</v>
      </c>
      <c r="H1247">
        <v>50</v>
      </c>
      <c r="I1247">
        <v>17</v>
      </c>
      <c r="K1247" s="1" t="s">
        <v>95</v>
      </c>
      <c r="L1247" s="1" t="s">
        <v>24</v>
      </c>
      <c r="M1247" s="1" t="s">
        <v>2651</v>
      </c>
      <c r="N1247" s="1" t="s">
        <v>2662</v>
      </c>
    </row>
    <row r="1248" spans="1:14" x14ac:dyDescent="0.35">
      <c r="A1248">
        <v>3327043</v>
      </c>
      <c r="B1248" s="1" t="s">
        <v>2117</v>
      </c>
      <c r="C1248">
        <v>38565</v>
      </c>
      <c r="D1248">
        <v>1123</v>
      </c>
      <c r="E1248" s="1" t="s">
        <v>2663</v>
      </c>
      <c r="F1248" s="1" t="s">
        <v>15</v>
      </c>
      <c r="G1248" s="1" t="s">
        <v>32</v>
      </c>
      <c r="H1248">
        <v>114</v>
      </c>
      <c r="I1248">
        <v>27</v>
      </c>
      <c r="J1248">
        <v>152</v>
      </c>
      <c r="K1248" s="1" t="s">
        <v>444</v>
      </c>
      <c r="L1248" s="1" t="s">
        <v>24</v>
      </c>
      <c r="M1248" s="1" t="s">
        <v>2664</v>
      </c>
      <c r="N1248" s="1" t="s">
        <v>2665</v>
      </c>
    </row>
    <row r="1249" spans="1:14" x14ac:dyDescent="0.35">
      <c r="A1249">
        <v>3327044</v>
      </c>
      <c r="B1249" s="1" t="s">
        <v>2117</v>
      </c>
      <c r="C1249">
        <v>38565</v>
      </c>
      <c r="D1249">
        <v>1123</v>
      </c>
      <c r="E1249" s="1" t="s">
        <v>2666</v>
      </c>
      <c r="F1249" s="1" t="s">
        <v>15</v>
      </c>
      <c r="G1249" s="1" t="s">
        <v>32</v>
      </c>
      <c r="H1249">
        <v>195</v>
      </c>
      <c r="I1249">
        <v>67</v>
      </c>
      <c r="J1249">
        <v>98</v>
      </c>
      <c r="K1249" s="1" t="s">
        <v>23</v>
      </c>
      <c r="L1249" s="1" t="s">
        <v>24</v>
      </c>
      <c r="M1249" s="1" t="s">
        <v>2664</v>
      </c>
      <c r="N1249" s="1" t="s">
        <v>2667</v>
      </c>
    </row>
    <row r="1250" spans="1:14" x14ac:dyDescent="0.35">
      <c r="A1250">
        <v>3327021</v>
      </c>
      <c r="B1250" s="1" t="s">
        <v>2117</v>
      </c>
      <c r="C1250">
        <v>38565</v>
      </c>
      <c r="D1250">
        <v>1123</v>
      </c>
      <c r="E1250" s="1" t="s">
        <v>2668</v>
      </c>
      <c r="F1250" s="1" t="s">
        <v>15</v>
      </c>
      <c r="G1250" s="1" t="s">
        <v>32</v>
      </c>
      <c r="H1250">
        <v>147</v>
      </c>
      <c r="I1250">
        <v>51</v>
      </c>
      <c r="J1250">
        <v>286</v>
      </c>
      <c r="K1250" s="1" t="s">
        <v>572</v>
      </c>
      <c r="L1250" s="1" t="s">
        <v>24</v>
      </c>
      <c r="M1250" s="1" t="s">
        <v>2664</v>
      </c>
      <c r="N1250" s="1" t="s">
        <v>2669</v>
      </c>
    </row>
    <row r="1251" spans="1:14" x14ac:dyDescent="0.35">
      <c r="A1251">
        <v>3327010</v>
      </c>
      <c r="B1251" s="1" t="s">
        <v>2117</v>
      </c>
      <c r="C1251">
        <v>38565</v>
      </c>
      <c r="D1251">
        <v>1123</v>
      </c>
      <c r="E1251" s="1" t="s">
        <v>2670</v>
      </c>
      <c r="F1251" s="1" t="s">
        <v>15</v>
      </c>
      <c r="G1251" s="1" t="s">
        <v>32</v>
      </c>
      <c r="H1251">
        <v>269</v>
      </c>
      <c r="I1251">
        <v>27</v>
      </c>
      <c r="J1251">
        <v>922</v>
      </c>
      <c r="K1251" s="1" t="s">
        <v>17</v>
      </c>
      <c r="L1251" s="1" t="s">
        <v>18</v>
      </c>
      <c r="M1251" s="1" t="s">
        <v>2664</v>
      </c>
      <c r="N1251" s="1" t="s">
        <v>2671</v>
      </c>
    </row>
    <row r="1252" spans="1:14" x14ac:dyDescent="0.35">
      <c r="A1252">
        <v>3327045</v>
      </c>
      <c r="B1252" s="1" t="s">
        <v>2117</v>
      </c>
      <c r="C1252">
        <v>38565</v>
      </c>
      <c r="D1252">
        <v>1123</v>
      </c>
      <c r="E1252" s="1" t="s">
        <v>363</v>
      </c>
      <c r="F1252" s="1" t="s">
        <v>15</v>
      </c>
      <c r="G1252" s="1" t="s">
        <v>32</v>
      </c>
      <c r="H1252">
        <v>166</v>
      </c>
      <c r="I1252">
        <v>29</v>
      </c>
      <c r="J1252">
        <v>324</v>
      </c>
      <c r="K1252" s="1" t="s">
        <v>23</v>
      </c>
      <c r="L1252" s="1" t="s">
        <v>24</v>
      </c>
      <c r="M1252" s="1" t="s">
        <v>2664</v>
      </c>
      <c r="N1252" s="1" t="s">
        <v>2672</v>
      </c>
    </row>
    <row r="1253" spans="1:14" x14ac:dyDescent="0.35">
      <c r="A1253">
        <v>3327048</v>
      </c>
      <c r="B1253" s="1" t="s">
        <v>2117</v>
      </c>
      <c r="C1253">
        <v>38565</v>
      </c>
      <c r="D1253">
        <v>1123</v>
      </c>
      <c r="E1253" s="1" t="s">
        <v>2673</v>
      </c>
      <c r="F1253" s="1" t="s">
        <v>15</v>
      </c>
      <c r="G1253" s="1" t="s">
        <v>22</v>
      </c>
      <c r="H1253">
        <v>51</v>
      </c>
      <c r="I1253">
        <v>26</v>
      </c>
      <c r="J1253">
        <v>87</v>
      </c>
      <c r="K1253" s="1" t="s">
        <v>23</v>
      </c>
      <c r="L1253" s="1" t="s">
        <v>24</v>
      </c>
      <c r="M1253" s="1" t="s">
        <v>2664</v>
      </c>
      <c r="N1253" s="1" t="s">
        <v>2674</v>
      </c>
    </row>
    <row r="1254" spans="1:14" x14ac:dyDescent="0.35">
      <c r="A1254">
        <v>3327049</v>
      </c>
      <c r="B1254" s="1" t="s">
        <v>2117</v>
      </c>
      <c r="C1254">
        <v>38565</v>
      </c>
      <c r="D1254">
        <v>1123</v>
      </c>
      <c r="E1254" s="1" t="s">
        <v>2675</v>
      </c>
      <c r="F1254" s="1" t="s">
        <v>15</v>
      </c>
      <c r="G1254" s="1" t="s">
        <v>22</v>
      </c>
      <c r="H1254">
        <v>59</v>
      </c>
      <c r="I1254">
        <v>21</v>
      </c>
      <c r="J1254">
        <v>100</v>
      </c>
      <c r="K1254" s="1" t="s">
        <v>23</v>
      </c>
      <c r="L1254" s="1" t="s">
        <v>24</v>
      </c>
      <c r="M1254" s="1" t="s">
        <v>2664</v>
      </c>
      <c r="N1254" s="1" t="s">
        <v>2676</v>
      </c>
    </row>
    <row r="1255" spans="1:14" x14ac:dyDescent="0.35">
      <c r="A1255">
        <v>3327047</v>
      </c>
      <c r="B1255" s="1" t="s">
        <v>2117</v>
      </c>
      <c r="C1255">
        <v>38565</v>
      </c>
      <c r="D1255">
        <v>1123</v>
      </c>
      <c r="E1255" s="1" t="s">
        <v>2677</v>
      </c>
      <c r="F1255" s="1" t="s">
        <v>15</v>
      </c>
      <c r="G1255" s="1" t="s">
        <v>22</v>
      </c>
      <c r="H1255">
        <v>100</v>
      </c>
      <c r="I1255">
        <v>29</v>
      </c>
      <c r="J1255">
        <v>121</v>
      </c>
      <c r="K1255" s="1" t="s">
        <v>444</v>
      </c>
      <c r="L1255" s="1" t="s">
        <v>24</v>
      </c>
      <c r="M1255" s="1" t="s">
        <v>2664</v>
      </c>
      <c r="N1255" s="1" t="s">
        <v>2678</v>
      </c>
    </row>
    <row r="1256" spans="1:14" x14ac:dyDescent="0.35">
      <c r="A1256">
        <v>3327032</v>
      </c>
      <c r="B1256" s="1" t="s">
        <v>2117</v>
      </c>
      <c r="C1256">
        <v>38565</v>
      </c>
      <c r="D1256">
        <v>1123</v>
      </c>
      <c r="E1256" s="1" t="s">
        <v>2679</v>
      </c>
      <c r="F1256" s="1" t="s">
        <v>15</v>
      </c>
      <c r="G1256" s="1" t="s">
        <v>22</v>
      </c>
      <c r="H1256">
        <v>96</v>
      </c>
      <c r="I1256">
        <v>33</v>
      </c>
      <c r="J1256">
        <v>156</v>
      </c>
      <c r="K1256" s="1" t="s">
        <v>444</v>
      </c>
      <c r="L1256" s="1" t="s">
        <v>24</v>
      </c>
      <c r="M1256" s="1" t="s">
        <v>2664</v>
      </c>
      <c r="N1256" s="1" t="s">
        <v>2680</v>
      </c>
    </row>
    <row r="1257" spans="1:14" x14ac:dyDescent="0.35">
      <c r="A1257">
        <v>3303116</v>
      </c>
      <c r="B1257" s="1" t="s">
        <v>2117</v>
      </c>
      <c r="C1257">
        <v>38565</v>
      </c>
      <c r="D1257">
        <v>1123</v>
      </c>
      <c r="E1257" s="1" t="s">
        <v>2681</v>
      </c>
      <c r="F1257" s="1" t="s">
        <v>71</v>
      </c>
      <c r="G1257" s="1" t="s">
        <v>32</v>
      </c>
      <c r="H1257">
        <v>25</v>
      </c>
      <c r="I1257">
        <v>18</v>
      </c>
      <c r="K1257" s="1" t="s">
        <v>49</v>
      </c>
      <c r="L1257" s="1" t="s">
        <v>24</v>
      </c>
      <c r="M1257" s="1" t="s">
        <v>2682</v>
      </c>
      <c r="N1257" s="1" t="s">
        <v>2683</v>
      </c>
    </row>
    <row r="1258" spans="1:14" x14ac:dyDescent="0.35">
      <c r="A1258">
        <v>3303099</v>
      </c>
      <c r="B1258" s="1" t="s">
        <v>2117</v>
      </c>
      <c r="C1258">
        <v>38565</v>
      </c>
      <c r="D1258">
        <v>1123</v>
      </c>
      <c r="E1258" s="1" t="s">
        <v>2684</v>
      </c>
      <c r="F1258" s="1" t="s">
        <v>71</v>
      </c>
      <c r="G1258" s="1" t="s">
        <v>32</v>
      </c>
      <c r="H1258">
        <v>151</v>
      </c>
      <c r="I1258">
        <v>33</v>
      </c>
      <c r="J1258">
        <v>88</v>
      </c>
      <c r="K1258" s="1" t="s">
        <v>90</v>
      </c>
      <c r="L1258" s="1" t="s">
        <v>24</v>
      </c>
      <c r="M1258" s="1" t="s">
        <v>2682</v>
      </c>
      <c r="N1258" s="1" t="s">
        <v>2685</v>
      </c>
    </row>
    <row r="1259" spans="1:14" x14ac:dyDescent="0.35">
      <c r="A1259">
        <v>3303075</v>
      </c>
      <c r="B1259" s="1" t="s">
        <v>2117</v>
      </c>
      <c r="C1259">
        <v>38565</v>
      </c>
      <c r="D1259">
        <v>1123</v>
      </c>
      <c r="E1259" s="1" t="s">
        <v>208</v>
      </c>
      <c r="F1259" s="1" t="s">
        <v>15</v>
      </c>
      <c r="G1259" s="1" t="s">
        <v>32</v>
      </c>
      <c r="H1259">
        <v>120</v>
      </c>
      <c r="I1259">
        <v>40</v>
      </c>
      <c r="J1259">
        <v>446</v>
      </c>
      <c r="K1259" s="1" t="s">
        <v>84</v>
      </c>
      <c r="L1259" s="1" t="s">
        <v>24</v>
      </c>
      <c r="M1259" s="1" t="s">
        <v>2682</v>
      </c>
      <c r="N1259" s="1" t="s">
        <v>2686</v>
      </c>
    </row>
    <row r="1260" spans="1:14" x14ac:dyDescent="0.35">
      <c r="A1260">
        <v>3303101</v>
      </c>
      <c r="B1260" s="1" t="s">
        <v>2117</v>
      </c>
      <c r="C1260">
        <v>38565</v>
      </c>
      <c r="D1260">
        <v>1123</v>
      </c>
      <c r="E1260" s="1" t="s">
        <v>2687</v>
      </c>
      <c r="F1260" s="1" t="s">
        <v>15</v>
      </c>
      <c r="G1260" s="1" t="s">
        <v>32</v>
      </c>
      <c r="H1260">
        <v>190</v>
      </c>
      <c r="I1260">
        <v>32</v>
      </c>
      <c r="J1260">
        <v>113</v>
      </c>
      <c r="K1260" s="1" t="s">
        <v>23</v>
      </c>
      <c r="L1260" s="1" t="s">
        <v>24</v>
      </c>
      <c r="M1260" s="1" t="s">
        <v>2682</v>
      </c>
      <c r="N1260" s="1" t="s">
        <v>2688</v>
      </c>
    </row>
    <row r="1261" spans="1:14" x14ac:dyDescent="0.35">
      <c r="A1261">
        <v>3303103</v>
      </c>
      <c r="B1261" s="1" t="s">
        <v>2117</v>
      </c>
      <c r="C1261">
        <v>38565</v>
      </c>
      <c r="D1261">
        <v>1123</v>
      </c>
      <c r="E1261" s="1" t="s">
        <v>2689</v>
      </c>
      <c r="F1261" s="1" t="s">
        <v>15</v>
      </c>
      <c r="G1261" s="1" t="s">
        <v>32</v>
      </c>
      <c r="H1261">
        <v>119</v>
      </c>
      <c r="I1261">
        <v>29</v>
      </c>
      <c r="J1261">
        <v>42</v>
      </c>
      <c r="K1261" s="1" t="s">
        <v>23</v>
      </c>
      <c r="L1261" s="1" t="s">
        <v>24</v>
      </c>
      <c r="M1261" s="1" t="s">
        <v>2682</v>
      </c>
      <c r="N1261" s="1" t="s">
        <v>2690</v>
      </c>
    </row>
    <row r="1262" spans="1:14" x14ac:dyDescent="0.35">
      <c r="A1262">
        <v>3303064</v>
      </c>
      <c r="B1262" s="1" t="s">
        <v>2117</v>
      </c>
      <c r="C1262">
        <v>38565</v>
      </c>
      <c r="D1262">
        <v>1123</v>
      </c>
      <c r="E1262" s="1" t="s">
        <v>2691</v>
      </c>
      <c r="F1262" s="1" t="s">
        <v>15</v>
      </c>
      <c r="G1262" s="1" t="s">
        <v>32</v>
      </c>
      <c r="H1262">
        <v>101</v>
      </c>
      <c r="I1262">
        <v>40</v>
      </c>
      <c r="J1262">
        <v>273</v>
      </c>
      <c r="K1262" s="1" t="s">
        <v>84</v>
      </c>
      <c r="L1262" s="1" t="s">
        <v>24</v>
      </c>
      <c r="M1262" s="1" t="s">
        <v>2682</v>
      </c>
      <c r="N1262" s="1" t="s">
        <v>2692</v>
      </c>
    </row>
    <row r="1263" spans="1:14" x14ac:dyDescent="0.35">
      <c r="A1263">
        <v>3303016</v>
      </c>
      <c r="B1263" s="1" t="s">
        <v>2117</v>
      </c>
      <c r="C1263">
        <v>38565</v>
      </c>
      <c r="D1263">
        <v>1123</v>
      </c>
      <c r="E1263" s="1" t="s">
        <v>2693</v>
      </c>
      <c r="F1263" s="1" t="s">
        <v>15</v>
      </c>
      <c r="G1263" s="1" t="s">
        <v>32</v>
      </c>
      <c r="H1263">
        <v>220</v>
      </c>
      <c r="I1263">
        <v>80</v>
      </c>
      <c r="J1263">
        <v>677</v>
      </c>
      <c r="K1263" s="1" t="s">
        <v>17</v>
      </c>
      <c r="L1263" s="1" t="s">
        <v>18</v>
      </c>
      <c r="M1263" s="1" t="s">
        <v>2682</v>
      </c>
      <c r="N1263" s="1" t="s">
        <v>2694</v>
      </c>
    </row>
    <row r="1264" spans="1:14" x14ac:dyDescent="0.35">
      <c r="A1264">
        <v>3303097</v>
      </c>
      <c r="B1264" s="1" t="s">
        <v>2117</v>
      </c>
      <c r="C1264">
        <v>38565</v>
      </c>
      <c r="D1264">
        <v>1123</v>
      </c>
      <c r="E1264" s="1" t="s">
        <v>2695</v>
      </c>
      <c r="F1264" s="1" t="s">
        <v>15</v>
      </c>
      <c r="G1264" s="1" t="s">
        <v>32</v>
      </c>
      <c r="H1264">
        <v>108</v>
      </c>
      <c r="I1264">
        <v>32</v>
      </c>
      <c r="J1264">
        <v>222</v>
      </c>
      <c r="K1264" s="1" t="s">
        <v>17</v>
      </c>
      <c r="L1264" s="1" t="s">
        <v>18</v>
      </c>
      <c r="M1264" s="1" t="s">
        <v>2682</v>
      </c>
      <c r="N1264" s="1" t="s">
        <v>2696</v>
      </c>
    </row>
    <row r="1265" spans="1:14" x14ac:dyDescent="0.35">
      <c r="A1265">
        <v>3303102</v>
      </c>
      <c r="B1265" s="1" t="s">
        <v>2117</v>
      </c>
      <c r="C1265">
        <v>38565</v>
      </c>
      <c r="D1265">
        <v>1123</v>
      </c>
      <c r="E1265" s="1" t="s">
        <v>2697</v>
      </c>
      <c r="F1265" s="1" t="s">
        <v>15</v>
      </c>
      <c r="G1265" s="1" t="s">
        <v>22</v>
      </c>
      <c r="H1265">
        <v>93</v>
      </c>
      <c r="I1265">
        <v>26</v>
      </c>
      <c r="J1265">
        <v>50</v>
      </c>
      <c r="K1265" s="1" t="s">
        <v>444</v>
      </c>
      <c r="L1265" s="1" t="s">
        <v>24</v>
      </c>
      <c r="M1265" s="1" t="s">
        <v>2682</v>
      </c>
      <c r="N1265" s="1" t="s">
        <v>2698</v>
      </c>
    </row>
    <row r="1266" spans="1:14" x14ac:dyDescent="0.35">
      <c r="A1266">
        <v>3306105</v>
      </c>
      <c r="B1266" s="1" t="s">
        <v>2117</v>
      </c>
      <c r="C1266">
        <v>38565</v>
      </c>
      <c r="D1266">
        <v>1123</v>
      </c>
      <c r="E1266" s="1" t="s">
        <v>2699</v>
      </c>
      <c r="F1266" s="1" t="s">
        <v>71</v>
      </c>
      <c r="G1266" s="1" t="s">
        <v>32</v>
      </c>
      <c r="H1266">
        <v>28</v>
      </c>
      <c r="I1266">
        <v>30</v>
      </c>
      <c r="J1266">
        <v>108</v>
      </c>
      <c r="K1266" s="1" t="s">
        <v>90</v>
      </c>
      <c r="L1266" s="1" t="s">
        <v>24</v>
      </c>
      <c r="M1266" s="1" t="s">
        <v>2700</v>
      </c>
      <c r="N1266" s="1" t="s">
        <v>2701</v>
      </c>
    </row>
    <row r="1267" spans="1:14" x14ac:dyDescent="0.35">
      <c r="A1267">
        <v>3306012</v>
      </c>
      <c r="B1267" s="1" t="s">
        <v>2117</v>
      </c>
      <c r="C1267">
        <v>38565</v>
      </c>
      <c r="D1267">
        <v>1123</v>
      </c>
      <c r="E1267" s="1" t="s">
        <v>2702</v>
      </c>
      <c r="F1267" s="1" t="s">
        <v>15</v>
      </c>
      <c r="G1267" s="1" t="s">
        <v>16</v>
      </c>
      <c r="H1267">
        <v>288</v>
      </c>
      <c r="I1267">
        <v>149</v>
      </c>
      <c r="J1267">
        <v>691</v>
      </c>
      <c r="K1267" s="1" t="s">
        <v>17</v>
      </c>
      <c r="L1267" s="1" t="s">
        <v>18</v>
      </c>
      <c r="M1267" s="1" t="s">
        <v>2700</v>
      </c>
      <c r="N1267" s="1" t="s">
        <v>2703</v>
      </c>
    </row>
    <row r="1268" spans="1:14" x14ac:dyDescent="0.35">
      <c r="A1268">
        <v>3306104</v>
      </c>
      <c r="B1268" s="1" t="s">
        <v>2117</v>
      </c>
      <c r="C1268">
        <v>38565</v>
      </c>
      <c r="D1268">
        <v>1123</v>
      </c>
      <c r="E1268" s="1" t="s">
        <v>2704</v>
      </c>
      <c r="F1268" s="1" t="s">
        <v>15</v>
      </c>
      <c r="G1268" s="1" t="s">
        <v>32</v>
      </c>
      <c r="H1268">
        <v>121</v>
      </c>
      <c r="I1268">
        <v>37</v>
      </c>
      <c r="J1268">
        <v>263</v>
      </c>
      <c r="K1268" s="1" t="s">
        <v>84</v>
      </c>
      <c r="L1268" s="1" t="s">
        <v>24</v>
      </c>
      <c r="M1268" s="1" t="s">
        <v>2700</v>
      </c>
      <c r="N1268" s="1" t="s">
        <v>2705</v>
      </c>
    </row>
    <row r="1269" spans="1:14" x14ac:dyDescent="0.35">
      <c r="A1269">
        <v>3306113</v>
      </c>
      <c r="B1269" s="1" t="s">
        <v>2117</v>
      </c>
      <c r="C1269">
        <v>38565</v>
      </c>
      <c r="D1269">
        <v>1123</v>
      </c>
      <c r="E1269" s="1" t="s">
        <v>2706</v>
      </c>
      <c r="F1269" s="1" t="s">
        <v>15</v>
      </c>
      <c r="G1269" s="1" t="s">
        <v>32</v>
      </c>
      <c r="H1269">
        <v>106</v>
      </c>
      <c r="I1269">
        <v>41</v>
      </c>
      <c r="J1269">
        <v>190</v>
      </c>
      <c r="K1269" s="1" t="s">
        <v>17</v>
      </c>
      <c r="L1269" s="1" t="s">
        <v>18</v>
      </c>
      <c r="M1269" s="1" t="s">
        <v>2700</v>
      </c>
      <c r="N1269" s="1" t="s">
        <v>2707</v>
      </c>
    </row>
    <row r="1270" spans="1:14" x14ac:dyDescent="0.35">
      <c r="A1270">
        <v>3306111</v>
      </c>
      <c r="B1270" s="1" t="s">
        <v>2117</v>
      </c>
      <c r="C1270">
        <v>38565</v>
      </c>
      <c r="D1270">
        <v>1123</v>
      </c>
      <c r="E1270" s="1" t="s">
        <v>2708</v>
      </c>
      <c r="F1270" s="1" t="s">
        <v>15</v>
      </c>
      <c r="G1270" s="1" t="s">
        <v>32</v>
      </c>
      <c r="H1270">
        <v>101</v>
      </c>
      <c r="I1270">
        <v>33</v>
      </c>
      <c r="J1270">
        <v>207</v>
      </c>
      <c r="K1270" s="1" t="s">
        <v>90</v>
      </c>
      <c r="L1270" s="1" t="s">
        <v>24</v>
      </c>
      <c r="M1270" s="1" t="s">
        <v>2700</v>
      </c>
      <c r="N1270" s="1" t="s">
        <v>2709</v>
      </c>
    </row>
    <row r="1271" spans="1:14" x14ac:dyDescent="0.35">
      <c r="A1271">
        <v>3306082</v>
      </c>
      <c r="B1271" s="1" t="s">
        <v>2117</v>
      </c>
      <c r="C1271">
        <v>38565</v>
      </c>
      <c r="D1271">
        <v>1123</v>
      </c>
      <c r="E1271" s="1" t="s">
        <v>2710</v>
      </c>
      <c r="F1271" s="1" t="s">
        <v>15</v>
      </c>
      <c r="G1271" s="1" t="s">
        <v>22</v>
      </c>
      <c r="H1271">
        <v>60</v>
      </c>
      <c r="I1271">
        <v>27</v>
      </c>
      <c r="J1271">
        <v>159</v>
      </c>
      <c r="K1271" s="1" t="s">
        <v>84</v>
      </c>
      <c r="L1271" s="1" t="s">
        <v>24</v>
      </c>
      <c r="M1271" s="1" t="s">
        <v>2700</v>
      </c>
      <c r="N1271" s="1" t="s">
        <v>2711</v>
      </c>
    </row>
    <row r="1272" spans="1:14" x14ac:dyDescent="0.35">
      <c r="A1272">
        <v>3306023</v>
      </c>
      <c r="B1272" s="1" t="s">
        <v>2117</v>
      </c>
      <c r="C1272">
        <v>38565</v>
      </c>
      <c r="D1272">
        <v>1123</v>
      </c>
      <c r="E1272" s="1" t="s">
        <v>2712</v>
      </c>
      <c r="F1272" s="1" t="s">
        <v>15</v>
      </c>
      <c r="G1272" s="1" t="s">
        <v>22</v>
      </c>
      <c r="H1272">
        <v>34</v>
      </c>
      <c r="I1272">
        <v>29</v>
      </c>
      <c r="J1272">
        <v>124</v>
      </c>
      <c r="K1272" s="1" t="s">
        <v>444</v>
      </c>
      <c r="L1272" s="1" t="s">
        <v>24</v>
      </c>
      <c r="M1272" s="1" t="s">
        <v>2700</v>
      </c>
      <c r="N1272" s="1" t="s">
        <v>2713</v>
      </c>
    </row>
    <row r="1273" spans="1:14" x14ac:dyDescent="0.35">
      <c r="A1273">
        <v>3306108</v>
      </c>
      <c r="B1273" s="1" t="s">
        <v>2117</v>
      </c>
      <c r="C1273">
        <v>38565</v>
      </c>
      <c r="D1273">
        <v>1123</v>
      </c>
      <c r="E1273" s="1" t="s">
        <v>2714</v>
      </c>
      <c r="F1273" s="1" t="s">
        <v>15</v>
      </c>
      <c r="G1273" s="1" t="s">
        <v>22</v>
      </c>
      <c r="H1273">
        <v>48</v>
      </c>
      <c r="I1273">
        <v>27</v>
      </c>
      <c r="J1273">
        <v>61</v>
      </c>
      <c r="K1273" s="1" t="s">
        <v>84</v>
      </c>
      <c r="L1273" s="1" t="s">
        <v>24</v>
      </c>
      <c r="M1273" s="1" t="s">
        <v>2700</v>
      </c>
      <c r="N1273" s="1" t="s">
        <v>2715</v>
      </c>
    </row>
    <row r="1274" spans="1:14" x14ac:dyDescent="0.35">
      <c r="A1274">
        <v>3306106</v>
      </c>
      <c r="B1274" s="1" t="s">
        <v>2117</v>
      </c>
      <c r="C1274">
        <v>38565</v>
      </c>
      <c r="D1274">
        <v>1123</v>
      </c>
      <c r="E1274" s="1" t="s">
        <v>2716</v>
      </c>
      <c r="F1274" s="1" t="s">
        <v>15</v>
      </c>
      <c r="G1274" s="1" t="s">
        <v>22</v>
      </c>
      <c r="H1274">
        <v>50</v>
      </c>
      <c r="I1274">
        <v>24</v>
      </c>
      <c r="J1274">
        <v>32</v>
      </c>
      <c r="K1274" s="1" t="s">
        <v>90</v>
      </c>
      <c r="L1274" s="1" t="s">
        <v>24</v>
      </c>
      <c r="M1274" s="1" t="s">
        <v>2700</v>
      </c>
      <c r="N1274" s="1" t="s">
        <v>2717</v>
      </c>
    </row>
    <row r="1275" spans="1:14" x14ac:dyDescent="0.35">
      <c r="A1275">
        <v>3306110</v>
      </c>
      <c r="B1275" s="1" t="s">
        <v>2117</v>
      </c>
      <c r="C1275">
        <v>38565</v>
      </c>
      <c r="D1275">
        <v>1123</v>
      </c>
      <c r="E1275" s="1" t="s">
        <v>2718</v>
      </c>
      <c r="F1275" s="1" t="s">
        <v>15</v>
      </c>
      <c r="G1275" s="1" t="s">
        <v>22</v>
      </c>
      <c r="H1275">
        <v>58</v>
      </c>
      <c r="I1275">
        <v>43</v>
      </c>
      <c r="J1275">
        <v>176</v>
      </c>
      <c r="K1275" s="1" t="s">
        <v>23</v>
      </c>
      <c r="L1275" s="1" t="s">
        <v>24</v>
      </c>
      <c r="M1275" s="1" t="s">
        <v>2700</v>
      </c>
      <c r="N1275" s="1" t="s">
        <v>2719</v>
      </c>
    </row>
    <row r="1276" spans="1:14" x14ac:dyDescent="0.35">
      <c r="A1276">
        <v>3306109</v>
      </c>
      <c r="B1276" s="1" t="s">
        <v>2117</v>
      </c>
      <c r="C1276">
        <v>38565</v>
      </c>
      <c r="D1276">
        <v>1123</v>
      </c>
      <c r="E1276" s="1" t="s">
        <v>2720</v>
      </c>
      <c r="F1276" s="1" t="s">
        <v>15</v>
      </c>
      <c r="G1276" s="1" t="s">
        <v>22</v>
      </c>
      <c r="H1276">
        <v>70</v>
      </c>
      <c r="I1276">
        <v>31</v>
      </c>
      <c r="J1276">
        <v>41</v>
      </c>
      <c r="K1276" s="1" t="s">
        <v>444</v>
      </c>
      <c r="L1276" s="1" t="s">
        <v>24</v>
      </c>
      <c r="M1276" s="1" t="s">
        <v>2700</v>
      </c>
      <c r="N1276" s="1" t="s">
        <v>2721</v>
      </c>
    </row>
    <row r="1277" spans="1:14" x14ac:dyDescent="0.35">
      <c r="A1277">
        <v>3306112</v>
      </c>
      <c r="B1277" s="1" t="s">
        <v>2117</v>
      </c>
      <c r="C1277">
        <v>38565</v>
      </c>
      <c r="D1277">
        <v>1123</v>
      </c>
      <c r="E1277" s="1" t="s">
        <v>2722</v>
      </c>
      <c r="F1277" s="1" t="s">
        <v>15</v>
      </c>
      <c r="G1277" s="1" t="s">
        <v>22</v>
      </c>
      <c r="H1277">
        <v>52</v>
      </c>
      <c r="I1277">
        <v>21</v>
      </c>
      <c r="J1277">
        <v>25</v>
      </c>
      <c r="K1277" s="1" t="s">
        <v>23</v>
      </c>
      <c r="L1277" s="1" t="s">
        <v>24</v>
      </c>
      <c r="M1277" s="1" t="s">
        <v>2700</v>
      </c>
      <c r="N1277" s="1" t="s">
        <v>2723</v>
      </c>
    </row>
    <row r="1278" spans="1:14" x14ac:dyDescent="0.35">
      <c r="A1278">
        <v>3317027</v>
      </c>
      <c r="B1278" s="1" t="s">
        <v>2117</v>
      </c>
      <c r="C1278">
        <v>38565</v>
      </c>
      <c r="D1278">
        <v>1123</v>
      </c>
      <c r="E1278" s="1" t="s">
        <v>2724</v>
      </c>
      <c r="F1278" s="1" t="s">
        <v>15</v>
      </c>
      <c r="G1278" s="1" t="s">
        <v>32</v>
      </c>
      <c r="H1278">
        <v>189</v>
      </c>
      <c r="I1278">
        <v>64</v>
      </c>
      <c r="J1278">
        <v>254</v>
      </c>
      <c r="K1278" s="1" t="s">
        <v>90</v>
      </c>
      <c r="L1278" s="1" t="s">
        <v>24</v>
      </c>
      <c r="M1278" s="1" t="s">
        <v>2725</v>
      </c>
      <c r="N1278" s="1" t="s">
        <v>2726</v>
      </c>
    </row>
    <row r="1279" spans="1:14" x14ac:dyDescent="0.35">
      <c r="A1279">
        <v>3317015</v>
      </c>
      <c r="B1279" s="1" t="s">
        <v>2117</v>
      </c>
      <c r="C1279">
        <v>38565</v>
      </c>
      <c r="D1279">
        <v>1123</v>
      </c>
      <c r="E1279" s="1" t="s">
        <v>2727</v>
      </c>
      <c r="F1279" s="1" t="s">
        <v>15</v>
      </c>
      <c r="G1279" s="1" t="s">
        <v>32</v>
      </c>
      <c r="H1279">
        <v>302</v>
      </c>
      <c r="I1279">
        <v>83</v>
      </c>
      <c r="J1279">
        <v>691</v>
      </c>
      <c r="K1279" s="1" t="s">
        <v>17</v>
      </c>
      <c r="L1279" s="1" t="s">
        <v>18</v>
      </c>
      <c r="M1279" s="1" t="s">
        <v>2725</v>
      </c>
      <c r="N1279" s="1" t="s">
        <v>2728</v>
      </c>
    </row>
    <row r="1280" spans="1:14" x14ac:dyDescent="0.35">
      <c r="A1280">
        <v>3317026</v>
      </c>
      <c r="B1280" s="1" t="s">
        <v>2117</v>
      </c>
      <c r="C1280">
        <v>38565</v>
      </c>
      <c r="D1280">
        <v>1123</v>
      </c>
      <c r="E1280" s="1" t="s">
        <v>2729</v>
      </c>
      <c r="F1280" s="1" t="s">
        <v>15</v>
      </c>
      <c r="G1280" s="1" t="s">
        <v>22</v>
      </c>
      <c r="H1280">
        <v>80</v>
      </c>
      <c r="I1280">
        <v>32</v>
      </c>
      <c r="J1280">
        <v>94</v>
      </c>
      <c r="K1280" s="1" t="s">
        <v>444</v>
      </c>
      <c r="L1280" s="1" t="s">
        <v>24</v>
      </c>
      <c r="M1280" s="1" t="s">
        <v>2725</v>
      </c>
      <c r="N1280" s="1" t="s">
        <v>2730</v>
      </c>
    </row>
    <row r="1281" spans="1:14" x14ac:dyDescent="0.35">
      <c r="A1281">
        <v>3317038</v>
      </c>
      <c r="B1281" s="1" t="s">
        <v>2117</v>
      </c>
      <c r="C1281">
        <v>38565</v>
      </c>
      <c r="D1281">
        <v>1123</v>
      </c>
      <c r="E1281" s="1" t="s">
        <v>2731</v>
      </c>
      <c r="F1281" s="1" t="s">
        <v>15</v>
      </c>
      <c r="G1281" s="1" t="s">
        <v>22</v>
      </c>
      <c r="H1281">
        <v>75</v>
      </c>
      <c r="I1281">
        <v>92</v>
      </c>
      <c r="K1281" s="1" t="s">
        <v>444</v>
      </c>
      <c r="L1281" s="1" t="s">
        <v>24</v>
      </c>
      <c r="M1281" s="1" t="s">
        <v>2725</v>
      </c>
      <c r="N1281" s="1" t="s">
        <v>2732</v>
      </c>
    </row>
    <row r="1282" spans="1:14" x14ac:dyDescent="0.35">
      <c r="A1282">
        <v>3322084</v>
      </c>
      <c r="B1282" s="1" t="s">
        <v>2117</v>
      </c>
      <c r="C1282">
        <v>38565</v>
      </c>
      <c r="D1282">
        <v>1123</v>
      </c>
      <c r="E1282" s="1" t="s">
        <v>2733</v>
      </c>
      <c r="F1282" s="1" t="s">
        <v>15</v>
      </c>
      <c r="G1282" s="1" t="s">
        <v>32</v>
      </c>
      <c r="H1282">
        <v>100</v>
      </c>
      <c r="I1282">
        <v>31</v>
      </c>
      <c r="K1282" s="1" t="s">
        <v>90</v>
      </c>
      <c r="L1282" s="1" t="s">
        <v>24</v>
      </c>
      <c r="M1282" s="1" t="s">
        <v>2734</v>
      </c>
      <c r="N1282" s="1" t="s">
        <v>2735</v>
      </c>
    </row>
    <row r="1283" spans="1:14" x14ac:dyDescent="0.35">
      <c r="A1283">
        <v>3322012</v>
      </c>
      <c r="B1283" s="1" t="s">
        <v>2117</v>
      </c>
      <c r="C1283">
        <v>38565</v>
      </c>
      <c r="D1283">
        <v>1123</v>
      </c>
      <c r="E1283" s="1" t="s">
        <v>2736</v>
      </c>
      <c r="F1283" s="1" t="s">
        <v>15</v>
      </c>
      <c r="G1283" s="1" t="s">
        <v>32</v>
      </c>
      <c r="H1283">
        <v>209</v>
      </c>
      <c r="I1283">
        <v>33</v>
      </c>
      <c r="J1283">
        <v>752</v>
      </c>
      <c r="K1283" s="1" t="s">
        <v>17</v>
      </c>
      <c r="L1283" s="1" t="s">
        <v>18</v>
      </c>
      <c r="M1283" s="1" t="s">
        <v>2734</v>
      </c>
      <c r="N1283" s="1" t="s">
        <v>2737</v>
      </c>
    </row>
    <row r="1284" spans="1:14" x14ac:dyDescent="0.35">
      <c r="A1284">
        <v>3322034</v>
      </c>
      <c r="B1284" s="1" t="s">
        <v>2117</v>
      </c>
      <c r="C1284">
        <v>38565</v>
      </c>
      <c r="D1284">
        <v>1123</v>
      </c>
      <c r="E1284" s="1" t="s">
        <v>2738</v>
      </c>
      <c r="F1284" s="1" t="s">
        <v>15</v>
      </c>
      <c r="G1284" s="1" t="s">
        <v>32</v>
      </c>
      <c r="H1284">
        <v>199</v>
      </c>
      <c r="I1284">
        <v>73</v>
      </c>
      <c r="J1284">
        <v>911</v>
      </c>
      <c r="K1284" s="1" t="s">
        <v>90</v>
      </c>
      <c r="L1284" s="1" t="s">
        <v>24</v>
      </c>
      <c r="M1284" s="1" t="s">
        <v>2734</v>
      </c>
      <c r="N1284" s="1" t="s">
        <v>2739</v>
      </c>
    </row>
    <row r="1285" spans="1:14" x14ac:dyDescent="0.35">
      <c r="A1285">
        <v>3322023</v>
      </c>
      <c r="B1285" s="1" t="s">
        <v>2117</v>
      </c>
      <c r="C1285">
        <v>38565</v>
      </c>
      <c r="D1285">
        <v>1123</v>
      </c>
      <c r="E1285" s="1" t="s">
        <v>2740</v>
      </c>
      <c r="F1285" s="1" t="s">
        <v>15</v>
      </c>
      <c r="G1285" s="1" t="s">
        <v>32</v>
      </c>
      <c r="H1285">
        <v>208</v>
      </c>
      <c r="I1285">
        <v>31</v>
      </c>
      <c r="J1285">
        <v>148</v>
      </c>
      <c r="K1285" s="1" t="s">
        <v>17</v>
      </c>
      <c r="L1285" s="1" t="s">
        <v>18</v>
      </c>
      <c r="M1285" s="1" t="s">
        <v>2734</v>
      </c>
      <c r="N1285" s="1" t="s">
        <v>2741</v>
      </c>
    </row>
    <row r="1286" spans="1:14" x14ac:dyDescent="0.35">
      <c r="A1286">
        <v>3322073</v>
      </c>
      <c r="B1286" s="1" t="s">
        <v>2117</v>
      </c>
      <c r="C1286">
        <v>38565</v>
      </c>
      <c r="D1286">
        <v>1123</v>
      </c>
      <c r="E1286" s="1" t="s">
        <v>2742</v>
      </c>
      <c r="F1286" s="1" t="s">
        <v>15</v>
      </c>
      <c r="G1286" s="1" t="s">
        <v>22</v>
      </c>
      <c r="H1286">
        <v>50</v>
      </c>
      <c r="I1286">
        <v>19</v>
      </c>
      <c r="J1286">
        <v>34</v>
      </c>
      <c r="K1286" s="1" t="s">
        <v>90</v>
      </c>
      <c r="L1286" s="1" t="s">
        <v>24</v>
      </c>
      <c r="M1286" s="1" t="s">
        <v>2734</v>
      </c>
      <c r="N1286" s="1" t="s">
        <v>2743</v>
      </c>
    </row>
    <row r="1287" spans="1:14" x14ac:dyDescent="0.35">
      <c r="A1287">
        <v>3322071</v>
      </c>
      <c r="B1287" s="1" t="s">
        <v>2117</v>
      </c>
      <c r="C1287">
        <v>38565</v>
      </c>
      <c r="D1287">
        <v>1123</v>
      </c>
      <c r="E1287" s="1" t="s">
        <v>2744</v>
      </c>
      <c r="F1287" s="1" t="s">
        <v>15</v>
      </c>
      <c r="G1287" s="1" t="s">
        <v>22</v>
      </c>
      <c r="H1287">
        <v>63</v>
      </c>
      <c r="I1287">
        <v>19</v>
      </c>
      <c r="J1287">
        <v>174</v>
      </c>
      <c r="K1287" s="1" t="s">
        <v>84</v>
      </c>
      <c r="L1287" s="1" t="s">
        <v>24</v>
      </c>
      <c r="M1287" s="1" t="s">
        <v>2734</v>
      </c>
      <c r="N1287" s="1" t="s">
        <v>2745</v>
      </c>
    </row>
    <row r="1288" spans="1:14" x14ac:dyDescent="0.35">
      <c r="A1288">
        <v>3314078</v>
      </c>
      <c r="B1288" s="1" t="s">
        <v>2117</v>
      </c>
      <c r="C1288">
        <v>38565</v>
      </c>
      <c r="D1288">
        <v>1123</v>
      </c>
      <c r="E1288" s="1" t="s">
        <v>2746</v>
      </c>
      <c r="F1288" s="1" t="s">
        <v>71</v>
      </c>
      <c r="G1288" s="1" t="s">
        <v>32</v>
      </c>
      <c r="H1288">
        <v>52</v>
      </c>
      <c r="I1288">
        <v>38</v>
      </c>
      <c r="J1288">
        <v>125</v>
      </c>
      <c r="K1288" s="1" t="s">
        <v>84</v>
      </c>
      <c r="L1288" s="1" t="s">
        <v>24</v>
      </c>
      <c r="M1288" s="1" t="s">
        <v>2747</v>
      </c>
      <c r="N1288" s="1" t="s">
        <v>2748</v>
      </c>
    </row>
    <row r="1289" spans="1:14" x14ac:dyDescent="0.35">
      <c r="A1289">
        <v>3314012</v>
      </c>
      <c r="B1289" s="1" t="s">
        <v>2117</v>
      </c>
      <c r="C1289">
        <v>38565</v>
      </c>
      <c r="D1289">
        <v>1123</v>
      </c>
      <c r="E1289" s="1" t="s">
        <v>2749</v>
      </c>
      <c r="F1289" s="1" t="s">
        <v>15</v>
      </c>
      <c r="G1289" s="1" t="s">
        <v>16</v>
      </c>
      <c r="H1289">
        <v>275</v>
      </c>
      <c r="I1289">
        <v>77</v>
      </c>
      <c r="J1289">
        <v>853</v>
      </c>
      <c r="K1289" s="1" t="s">
        <v>17</v>
      </c>
      <c r="L1289" s="1" t="s">
        <v>18</v>
      </c>
      <c r="M1289" s="1" t="s">
        <v>2747</v>
      </c>
      <c r="N1289" s="1" t="s">
        <v>2750</v>
      </c>
    </row>
    <row r="1290" spans="1:14" x14ac:dyDescent="0.35">
      <c r="A1290">
        <v>3314089</v>
      </c>
      <c r="B1290" s="1" t="s">
        <v>2117</v>
      </c>
      <c r="C1290">
        <v>38565</v>
      </c>
      <c r="D1290">
        <v>1123</v>
      </c>
      <c r="E1290" s="1" t="s">
        <v>2751</v>
      </c>
      <c r="F1290" s="1" t="s">
        <v>15</v>
      </c>
      <c r="G1290" s="1" t="s">
        <v>32</v>
      </c>
      <c r="H1290">
        <v>118</v>
      </c>
      <c r="I1290">
        <v>38</v>
      </c>
      <c r="J1290">
        <v>281</v>
      </c>
      <c r="K1290" s="1" t="s">
        <v>17</v>
      </c>
      <c r="L1290" s="1" t="s">
        <v>18</v>
      </c>
      <c r="M1290" s="1" t="s">
        <v>2747</v>
      </c>
      <c r="N1290" s="1" t="s">
        <v>2752</v>
      </c>
    </row>
    <row r="1291" spans="1:14" x14ac:dyDescent="0.35">
      <c r="A1291">
        <v>3314045</v>
      </c>
      <c r="B1291" s="1" t="s">
        <v>2117</v>
      </c>
      <c r="C1291">
        <v>38565</v>
      </c>
      <c r="D1291">
        <v>1123</v>
      </c>
      <c r="E1291" s="1" t="s">
        <v>2753</v>
      </c>
      <c r="F1291" s="1" t="s">
        <v>15</v>
      </c>
      <c r="G1291" s="1" t="s">
        <v>32</v>
      </c>
      <c r="H1291">
        <v>126</v>
      </c>
      <c r="I1291">
        <v>34</v>
      </c>
      <c r="J1291">
        <v>393</v>
      </c>
      <c r="K1291" s="1" t="s">
        <v>84</v>
      </c>
      <c r="L1291" s="1" t="s">
        <v>24</v>
      </c>
      <c r="M1291" s="1" t="s">
        <v>2747</v>
      </c>
      <c r="N1291" s="1" t="s">
        <v>2754</v>
      </c>
    </row>
    <row r="1292" spans="1:14" x14ac:dyDescent="0.35">
      <c r="A1292">
        <v>3314090</v>
      </c>
      <c r="B1292" s="1" t="s">
        <v>2117</v>
      </c>
      <c r="C1292">
        <v>38565</v>
      </c>
      <c r="D1292">
        <v>1123</v>
      </c>
      <c r="E1292" s="1" t="s">
        <v>2755</v>
      </c>
      <c r="F1292" s="1" t="s">
        <v>15</v>
      </c>
      <c r="G1292" s="1" t="s">
        <v>32</v>
      </c>
      <c r="H1292">
        <v>104</v>
      </c>
      <c r="I1292">
        <v>33</v>
      </c>
      <c r="J1292">
        <v>210</v>
      </c>
      <c r="K1292" s="1" t="s">
        <v>23</v>
      </c>
      <c r="L1292" s="1" t="s">
        <v>24</v>
      </c>
      <c r="M1292" s="1" t="s">
        <v>2747</v>
      </c>
      <c r="N1292" s="1" t="s">
        <v>2756</v>
      </c>
    </row>
    <row r="1293" spans="1:14" x14ac:dyDescent="0.35">
      <c r="A1293">
        <v>3314056</v>
      </c>
      <c r="B1293" s="1" t="s">
        <v>2117</v>
      </c>
      <c r="C1293">
        <v>38565</v>
      </c>
      <c r="D1293">
        <v>1123</v>
      </c>
      <c r="E1293" s="1" t="s">
        <v>2757</v>
      </c>
      <c r="F1293" s="1" t="s">
        <v>15</v>
      </c>
      <c r="G1293" s="1" t="s">
        <v>32</v>
      </c>
      <c r="H1293">
        <v>115</v>
      </c>
      <c r="I1293">
        <v>40</v>
      </c>
      <c r="J1293">
        <v>354</v>
      </c>
      <c r="K1293" s="1" t="s">
        <v>444</v>
      </c>
      <c r="L1293" s="1" t="s">
        <v>24</v>
      </c>
      <c r="M1293" s="1" t="s">
        <v>2747</v>
      </c>
      <c r="N1293" s="1" t="s">
        <v>2758</v>
      </c>
    </row>
    <row r="1294" spans="1:14" x14ac:dyDescent="0.35">
      <c r="A1294">
        <v>3314092</v>
      </c>
      <c r="B1294" s="1" t="s">
        <v>2117</v>
      </c>
      <c r="C1294">
        <v>38565</v>
      </c>
      <c r="D1294">
        <v>1123</v>
      </c>
      <c r="E1294" s="1" t="s">
        <v>2759</v>
      </c>
      <c r="F1294" s="1" t="s">
        <v>15</v>
      </c>
      <c r="G1294" s="1" t="s">
        <v>22</v>
      </c>
      <c r="H1294">
        <v>57</v>
      </c>
      <c r="I1294">
        <v>21</v>
      </c>
      <c r="J1294">
        <v>140</v>
      </c>
      <c r="K1294" s="1" t="s">
        <v>90</v>
      </c>
      <c r="L1294" s="1" t="s">
        <v>24</v>
      </c>
      <c r="M1294" s="1" t="s">
        <v>2747</v>
      </c>
      <c r="N1294" s="1" t="s">
        <v>2760</v>
      </c>
    </row>
    <row r="1295" spans="1:14" x14ac:dyDescent="0.35">
      <c r="A1295">
        <v>3314067</v>
      </c>
      <c r="B1295" s="1" t="s">
        <v>2117</v>
      </c>
      <c r="C1295">
        <v>38565</v>
      </c>
      <c r="D1295">
        <v>1123</v>
      </c>
      <c r="E1295" s="1" t="s">
        <v>2761</v>
      </c>
      <c r="F1295" s="1" t="s">
        <v>15</v>
      </c>
      <c r="G1295" s="1" t="s">
        <v>22</v>
      </c>
      <c r="H1295">
        <v>99</v>
      </c>
      <c r="I1295">
        <v>25</v>
      </c>
      <c r="J1295">
        <v>176</v>
      </c>
      <c r="K1295" s="1" t="s">
        <v>90</v>
      </c>
      <c r="L1295" s="1" t="s">
        <v>24</v>
      </c>
      <c r="M1295" s="1" t="s">
        <v>2747</v>
      </c>
      <c r="N1295" s="1" t="s">
        <v>2762</v>
      </c>
    </row>
    <row r="1296" spans="1:14" x14ac:dyDescent="0.35">
      <c r="A1296">
        <v>3314096</v>
      </c>
      <c r="B1296" s="1" t="s">
        <v>2117</v>
      </c>
      <c r="C1296">
        <v>38565</v>
      </c>
      <c r="D1296">
        <v>1123</v>
      </c>
      <c r="E1296" s="1" t="s">
        <v>2763</v>
      </c>
      <c r="F1296" s="1" t="s">
        <v>15</v>
      </c>
      <c r="G1296" s="1" t="s">
        <v>22</v>
      </c>
      <c r="H1296">
        <v>50</v>
      </c>
      <c r="I1296">
        <v>27</v>
      </c>
      <c r="J1296">
        <v>142</v>
      </c>
      <c r="K1296" s="1" t="s">
        <v>90</v>
      </c>
      <c r="L1296" s="1" t="s">
        <v>24</v>
      </c>
      <c r="M1296" s="1" t="s">
        <v>2747</v>
      </c>
      <c r="N1296" s="1" t="s">
        <v>2764</v>
      </c>
    </row>
    <row r="1297" spans="1:14" x14ac:dyDescent="0.35">
      <c r="A1297">
        <v>3314109</v>
      </c>
      <c r="B1297" s="1" t="s">
        <v>2117</v>
      </c>
      <c r="C1297">
        <v>38565</v>
      </c>
      <c r="D1297">
        <v>1123</v>
      </c>
      <c r="E1297" s="1" t="s">
        <v>2765</v>
      </c>
      <c r="F1297" s="1" t="s">
        <v>15</v>
      </c>
      <c r="G1297" s="1" t="s">
        <v>22</v>
      </c>
      <c r="I1297">
        <v>1</v>
      </c>
      <c r="K1297" s="1" t="s">
        <v>95</v>
      </c>
      <c r="L1297" s="1" t="s">
        <v>24</v>
      </c>
      <c r="M1297" s="1" t="s">
        <v>2747</v>
      </c>
      <c r="N1297" s="1" t="s">
        <v>2766</v>
      </c>
    </row>
    <row r="1298" spans="1:14" x14ac:dyDescent="0.35">
      <c r="A1298">
        <v>3314023</v>
      </c>
      <c r="B1298" s="1" t="s">
        <v>2117</v>
      </c>
      <c r="C1298">
        <v>38565</v>
      </c>
      <c r="D1298">
        <v>1123</v>
      </c>
      <c r="E1298" s="1" t="s">
        <v>2767</v>
      </c>
      <c r="F1298" s="1" t="s">
        <v>15</v>
      </c>
      <c r="G1298" s="1" t="s">
        <v>22</v>
      </c>
      <c r="H1298">
        <v>68</v>
      </c>
      <c r="I1298">
        <v>30</v>
      </c>
      <c r="J1298">
        <v>266</v>
      </c>
      <c r="K1298" s="1" t="s">
        <v>84</v>
      </c>
      <c r="L1298" s="1" t="s">
        <v>24</v>
      </c>
      <c r="M1298" s="1" t="s">
        <v>2747</v>
      </c>
      <c r="N1298" s="1" t="s">
        <v>2768</v>
      </c>
    </row>
    <row r="1299" spans="1:14" x14ac:dyDescent="0.35">
      <c r="A1299">
        <v>3314097</v>
      </c>
      <c r="B1299" s="1" t="s">
        <v>2117</v>
      </c>
      <c r="C1299">
        <v>38565</v>
      </c>
      <c r="D1299">
        <v>1123</v>
      </c>
      <c r="E1299" s="1" t="s">
        <v>2769</v>
      </c>
      <c r="F1299" s="1" t="s">
        <v>15</v>
      </c>
      <c r="G1299" s="1" t="s">
        <v>22</v>
      </c>
      <c r="H1299">
        <v>79</v>
      </c>
      <c r="I1299">
        <v>34</v>
      </c>
      <c r="J1299">
        <v>72</v>
      </c>
      <c r="K1299" s="1" t="s">
        <v>90</v>
      </c>
      <c r="L1299" s="1" t="s">
        <v>24</v>
      </c>
      <c r="M1299" s="1" t="s">
        <v>2747</v>
      </c>
      <c r="N1299" s="1" t="s">
        <v>2770</v>
      </c>
    </row>
    <row r="1300" spans="1:14" x14ac:dyDescent="0.35">
      <c r="A1300">
        <v>3314108</v>
      </c>
      <c r="B1300" s="1" t="s">
        <v>2117</v>
      </c>
      <c r="C1300">
        <v>38565</v>
      </c>
      <c r="D1300">
        <v>1123</v>
      </c>
      <c r="E1300" s="1" t="s">
        <v>2771</v>
      </c>
      <c r="F1300" s="1" t="s">
        <v>15</v>
      </c>
      <c r="G1300" s="1" t="s">
        <v>22</v>
      </c>
      <c r="H1300">
        <v>58</v>
      </c>
      <c r="I1300">
        <v>25</v>
      </c>
      <c r="K1300" s="1" t="s">
        <v>17</v>
      </c>
      <c r="L1300" s="1" t="s">
        <v>18</v>
      </c>
      <c r="M1300" s="1" t="s">
        <v>2747</v>
      </c>
      <c r="N1300" s="1" t="s">
        <v>2772</v>
      </c>
    </row>
    <row r="1301" spans="1:14" x14ac:dyDescent="0.35">
      <c r="A1301">
        <v>3372063</v>
      </c>
      <c r="B1301" s="1" t="s">
        <v>2117</v>
      </c>
      <c r="C1301">
        <v>38565</v>
      </c>
      <c r="D1301">
        <v>1123</v>
      </c>
      <c r="E1301" s="1" t="s">
        <v>2773</v>
      </c>
      <c r="F1301" s="1" t="s">
        <v>889</v>
      </c>
      <c r="G1301" s="1" t="s">
        <v>130</v>
      </c>
      <c r="H1301">
        <v>170</v>
      </c>
      <c r="I1301">
        <v>34</v>
      </c>
      <c r="J1301">
        <v>654</v>
      </c>
      <c r="K1301" s="1" t="s">
        <v>339</v>
      </c>
      <c r="L1301" s="1" t="s">
        <v>120</v>
      </c>
      <c r="M1301" s="1" t="s">
        <v>2774</v>
      </c>
      <c r="N1301" s="1" t="s">
        <v>2775</v>
      </c>
    </row>
    <row r="1302" spans="1:14" x14ac:dyDescent="0.35">
      <c r="A1302">
        <v>3311027</v>
      </c>
      <c r="B1302" s="1" t="s">
        <v>2117</v>
      </c>
      <c r="C1302">
        <v>38565</v>
      </c>
      <c r="D1302">
        <v>1123</v>
      </c>
      <c r="E1302" s="1" t="s">
        <v>2776</v>
      </c>
      <c r="F1302" s="1" t="s">
        <v>889</v>
      </c>
      <c r="G1302" s="1" t="s">
        <v>32</v>
      </c>
      <c r="H1302">
        <v>63</v>
      </c>
      <c r="I1302">
        <v>35</v>
      </c>
      <c r="J1302">
        <v>245</v>
      </c>
      <c r="K1302" s="1" t="s">
        <v>23</v>
      </c>
      <c r="L1302" s="1" t="s">
        <v>24</v>
      </c>
      <c r="M1302" s="1" t="s">
        <v>2774</v>
      </c>
      <c r="N1302" s="1" t="s">
        <v>2777</v>
      </c>
    </row>
    <row r="1303" spans="1:14" x14ac:dyDescent="0.35">
      <c r="A1303">
        <v>3311016</v>
      </c>
      <c r="B1303" s="1" t="s">
        <v>2117</v>
      </c>
      <c r="C1303">
        <v>38565</v>
      </c>
      <c r="D1303">
        <v>1123</v>
      </c>
      <c r="E1303" s="1" t="s">
        <v>2778</v>
      </c>
      <c r="F1303" s="1" t="s">
        <v>15</v>
      </c>
      <c r="G1303" s="1" t="s">
        <v>16</v>
      </c>
      <c r="H1303">
        <v>233</v>
      </c>
      <c r="I1303">
        <v>62</v>
      </c>
      <c r="J1303">
        <v>731</v>
      </c>
      <c r="K1303" s="1" t="s">
        <v>17</v>
      </c>
      <c r="L1303" s="1" t="s">
        <v>18</v>
      </c>
      <c r="M1303" s="1" t="s">
        <v>2774</v>
      </c>
      <c r="N1303" s="1" t="s">
        <v>2779</v>
      </c>
    </row>
    <row r="1304" spans="1:14" x14ac:dyDescent="0.35">
      <c r="A1304">
        <v>3311231</v>
      </c>
      <c r="B1304" s="1" t="s">
        <v>2117</v>
      </c>
      <c r="C1304">
        <v>38565</v>
      </c>
      <c r="D1304">
        <v>1123</v>
      </c>
      <c r="E1304" s="1" t="s">
        <v>2780</v>
      </c>
      <c r="F1304" s="1" t="s">
        <v>15</v>
      </c>
      <c r="G1304" s="1" t="s">
        <v>32</v>
      </c>
      <c r="H1304">
        <v>8</v>
      </c>
      <c r="I1304">
        <v>84</v>
      </c>
      <c r="K1304" s="1" t="s">
        <v>444</v>
      </c>
      <c r="L1304" s="1" t="s">
        <v>24</v>
      </c>
      <c r="M1304" s="1" t="s">
        <v>2774</v>
      </c>
      <c r="N1304" s="1" t="s">
        <v>2781</v>
      </c>
    </row>
    <row r="1305" spans="1:14" x14ac:dyDescent="0.35">
      <c r="A1305">
        <v>3311225</v>
      </c>
      <c r="B1305" s="1" t="s">
        <v>2117</v>
      </c>
      <c r="C1305">
        <v>38565</v>
      </c>
      <c r="D1305">
        <v>1123</v>
      </c>
      <c r="E1305" s="1" t="s">
        <v>2782</v>
      </c>
      <c r="F1305" s="1" t="s">
        <v>15</v>
      </c>
      <c r="G1305" s="1" t="s">
        <v>32</v>
      </c>
      <c r="H1305">
        <v>6</v>
      </c>
      <c r="I1305">
        <v>95</v>
      </c>
      <c r="J1305">
        <v>156</v>
      </c>
      <c r="K1305" s="1" t="s">
        <v>444</v>
      </c>
      <c r="L1305" s="1" t="s">
        <v>24</v>
      </c>
      <c r="M1305" s="1" t="s">
        <v>2774</v>
      </c>
      <c r="N1305" s="1" t="s">
        <v>2783</v>
      </c>
    </row>
    <row r="1306" spans="1:14" x14ac:dyDescent="0.35">
      <c r="A1306">
        <v>3311228</v>
      </c>
      <c r="B1306" s="1" t="s">
        <v>2117</v>
      </c>
      <c r="C1306">
        <v>38565</v>
      </c>
      <c r="D1306">
        <v>1123</v>
      </c>
      <c r="E1306" s="1" t="s">
        <v>2784</v>
      </c>
      <c r="F1306" s="1" t="s">
        <v>15</v>
      </c>
      <c r="G1306" s="1" t="s">
        <v>32</v>
      </c>
      <c r="H1306">
        <v>197</v>
      </c>
      <c r="I1306">
        <v>52</v>
      </c>
      <c r="J1306">
        <v>561</v>
      </c>
      <c r="K1306" s="1" t="s">
        <v>49</v>
      </c>
      <c r="L1306" s="1" t="s">
        <v>24</v>
      </c>
      <c r="M1306" s="1" t="s">
        <v>2774</v>
      </c>
      <c r="N1306" s="1" t="s">
        <v>2785</v>
      </c>
    </row>
    <row r="1307" spans="1:14" x14ac:dyDescent="0.35">
      <c r="A1307">
        <v>3311229</v>
      </c>
      <c r="B1307" s="1" t="s">
        <v>2117</v>
      </c>
      <c r="C1307">
        <v>38565</v>
      </c>
      <c r="D1307">
        <v>1123</v>
      </c>
      <c r="E1307" s="1" t="s">
        <v>2786</v>
      </c>
      <c r="F1307" s="1" t="s">
        <v>15</v>
      </c>
      <c r="G1307" s="1" t="s">
        <v>32</v>
      </c>
      <c r="H1307">
        <v>182</v>
      </c>
      <c r="I1307">
        <v>58</v>
      </c>
      <c r="J1307">
        <v>1075</v>
      </c>
      <c r="K1307" s="1" t="s">
        <v>23</v>
      </c>
      <c r="L1307" s="1" t="s">
        <v>24</v>
      </c>
      <c r="M1307" s="1" t="s">
        <v>2774</v>
      </c>
      <c r="N1307" s="1" t="s">
        <v>2787</v>
      </c>
    </row>
    <row r="1308" spans="1:14" x14ac:dyDescent="0.35">
      <c r="A1308">
        <v>3311213</v>
      </c>
      <c r="B1308" s="1" t="s">
        <v>2117</v>
      </c>
      <c r="C1308">
        <v>38565</v>
      </c>
      <c r="D1308">
        <v>1123</v>
      </c>
      <c r="E1308" s="1" t="s">
        <v>2788</v>
      </c>
      <c r="F1308" s="1" t="s">
        <v>15</v>
      </c>
      <c r="G1308" s="1" t="s">
        <v>32</v>
      </c>
      <c r="H1308">
        <v>116</v>
      </c>
      <c r="I1308">
        <v>112</v>
      </c>
      <c r="J1308">
        <v>196</v>
      </c>
      <c r="K1308" s="1" t="s">
        <v>23</v>
      </c>
      <c r="L1308" s="1" t="s">
        <v>24</v>
      </c>
      <c r="M1308" s="1" t="s">
        <v>2774</v>
      </c>
      <c r="N1308" s="1" t="s">
        <v>2789</v>
      </c>
    </row>
    <row r="1309" spans="1:14" x14ac:dyDescent="0.35">
      <c r="A1309">
        <v>3311224</v>
      </c>
      <c r="B1309" s="1" t="s">
        <v>2117</v>
      </c>
      <c r="C1309">
        <v>38565</v>
      </c>
      <c r="D1309">
        <v>1123</v>
      </c>
      <c r="E1309" s="1" t="s">
        <v>2790</v>
      </c>
      <c r="F1309" s="1" t="s">
        <v>15</v>
      </c>
      <c r="G1309" s="1" t="s">
        <v>32</v>
      </c>
      <c r="H1309">
        <v>195</v>
      </c>
      <c r="I1309">
        <v>60</v>
      </c>
      <c r="J1309">
        <v>1175</v>
      </c>
      <c r="K1309" s="1" t="s">
        <v>84</v>
      </c>
      <c r="L1309" s="1" t="s">
        <v>24</v>
      </c>
      <c r="M1309" s="1" t="s">
        <v>2774</v>
      </c>
      <c r="N1309" s="1" t="s">
        <v>2791</v>
      </c>
    </row>
    <row r="1310" spans="1:14" x14ac:dyDescent="0.35">
      <c r="A1310">
        <v>3311230</v>
      </c>
      <c r="B1310" s="1" t="s">
        <v>2117</v>
      </c>
      <c r="C1310">
        <v>38565</v>
      </c>
      <c r="D1310">
        <v>1123</v>
      </c>
      <c r="E1310" s="1" t="s">
        <v>2792</v>
      </c>
      <c r="F1310" s="1" t="s">
        <v>15</v>
      </c>
      <c r="G1310" s="1" t="s">
        <v>22</v>
      </c>
      <c r="H1310">
        <v>56</v>
      </c>
      <c r="I1310">
        <v>21</v>
      </c>
      <c r="J1310">
        <v>71</v>
      </c>
      <c r="K1310" s="1" t="s">
        <v>444</v>
      </c>
      <c r="L1310" s="1" t="s">
        <v>24</v>
      </c>
      <c r="M1310" s="1" t="s">
        <v>2774</v>
      </c>
      <c r="N1310" s="1" t="s">
        <v>2793</v>
      </c>
    </row>
    <row r="1311" spans="1:14" x14ac:dyDescent="0.35">
      <c r="A1311">
        <v>3328079</v>
      </c>
      <c r="B1311" s="1" t="s">
        <v>2117</v>
      </c>
      <c r="C1311">
        <v>38565</v>
      </c>
      <c r="D1311">
        <v>1123</v>
      </c>
      <c r="E1311" s="1" t="s">
        <v>2794</v>
      </c>
      <c r="F1311" s="1" t="s">
        <v>71</v>
      </c>
      <c r="G1311" s="1" t="s">
        <v>32</v>
      </c>
      <c r="H1311">
        <v>66</v>
      </c>
      <c r="I1311">
        <v>18</v>
      </c>
      <c r="J1311">
        <v>78</v>
      </c>
      <c r="K1311" s="1" t="s">
        <v>23</v>
      </c>
      <c r="L1311" s="1" t="s">
        <v>24</v>
      </c>
      <c r="M1311" s="1" t="s">
        <v>2795</v>
      </c>
      <c r="N1311" s="1" t="s">
        <v>2796</v>
      </c>
    </row>
    <row r="1312" spans="1:14" x14ac:dyDescent="0.35">
      <c r="A1312">
        <v>3328011</v>
      </c>
      <c r="B1312" s="1" t="s">
        <v>2117</v>
      </c>
      <c r="C1312">
        <v>38565</v>
      </c>
      <c r="D1312">
        <v>1123</v>
      </c>
      <c r="E1312" s="1" t="s">
        <v>2797</v>
      </c>
      <c r="F1312" s="1" t="s">
        <v>15</v>
      </c>
      <c r="G1312" s="1" t="s">
        <v>16</v>
      </c>
      <c r="H1312">
        <v>417</v>
      </c>
      <c r="I1312">
        <v>51</v>
      </c>
      <c r="J1312">
        <v>986</v>
      </c>
      <c r="K1312" s="1" t="s">
        <v>17</v>
      </c>
      <c r="L1312" s="1" t="s">
        <v>18</v>
      </c>
      <c r="M1312" s="1" t="s">
        <v>2795</v>
      </c>
      <c r="N1312" s="1" t="s">
        <v>2798</v>
      </c>
    </row>
    <row r="1313" spans="1:14" x14ac:dyDescent="0.35">
      <c r="A1313">
        <v>3376023</v>
      </c>
      <c r="B1313" s="1" t="s">
        <v>2117</v>
      </c>
      <c r="C1313">
        <v>38565</v>
      </c>
      <c r="D1313">
        <v>1123</v>
      </c>
      <c r="E1313" s="1" t="s">
        <v>2799</v>
      </c>
      <c r="F1313" s="1" t="s">
        <v>15</v>
      </c>
      <c r="G1313" s="1" t="s">
        <v>32</v>
      </c>
      <c r="H1313">
        <v>181</v>
      </c>
      <c r="I1313">
        <v>40</v>
      </c>
      <c r="J1313">
        <v>250</v>
      </c>
      <c r="K1313" s="1" t="s">
        <v>23</v>
      </c>
      <c r="L1313" s="1" t="s">
        <v>24</v>
      </c>
      <c r="M1313" s="1" t="s">
        <v>2795</v>
      </c>
      <c r="N1313" s="1" t="s">
        <v>2800</v>
      </c>
    </row>
    <row r="1314" spans="1:14" x14ac:dyDescent="0.35">
      <c r="A1314">
        <v>3328055</v>
      </c>
      <c r="B1314" s="1" t="s">
        <v>2117</v>
      </c>
      <c r="C1314">
        <v>38565</v>
      </c>
      <c r="D1314">
        <v>1123</v>
      </c>
      <c r="E1314" s="1" t="s">
        <v>2801</v>
      </c>
      <c r="F1314" s="1" t="s">
        <v>15</v>
      </c>
      <c r="G1314" s="1" t="s">
        <v>32</v>
      </c>
      <c r="H1314">
        <v>190</v>
      </c>
      <c r="I1314">
        <v>42</v>
      </c>
      <c r="J1314">
        <v>428</v>
      </c>
      <c r="K1314" s="1" t="s">
        <v>84</v>
      </c>
      <c r="L1314" s="1" t="s">
        <v>24</v>
      </c>
      <c r="M1314" s="1" t="s">
        <v>2795</v>
      </c>
      <c r="N1314" s="1" t="s">
        <v>2802</v>
      </c>
    </row>
    <row r="1315" spans="1:14" x14ac:dyDescent="0.35">
      <c r="A1315">
        <v>3328094</v>
      </c>
      <c r="B1315" s="1" t="s">
        <v>2117</v>
      </c>
      <c r="C1315">
        <v>38565</v>
      </c>
      <c r="D1315">
        <v>1123</v>
      </c>
      <c r="E1315" s="1" t="s">
        <v>2803</v>
      </c>
      <c r="F1315" s="1" t="s">
        <v>15</v>
      </c>
      <c r="G1315" s="1" t="s">
        <v>32</v>
      </c>
      <c r="H1315">
        <v>110</v>
      </c>
      <c r="I1315">
        <v>33</v>
      </c>
      <c r="K1315" s="1" t="s">
        <v>90</v>
      </c>
      <c r="L1315" s="1" t="s">
        <v>24</v>
      </c>
      <c r="M1315" s="1" t="s">
        <v>2795</v>
      </c>
      <c r="N1315" s="1" t="s">
        <v>2804</v>
      </c>
    </row>
    <row r="1316" spans="1:14" x14ac:dyDescent="0.35">
      <c r="A1316">
        <v>3328035</v>
      </c>
      <c r="B1316" s="1" t="s">
        <v>2117</v>
      </c>
      <c r="C1316">
        <v>38565</v>
      </c>
      <c r="D1316">
        <v>1123</v>
      </c>
      <c r="E1316" s="1" t="s">
        <v>2805</v>
      </c>
      <c r="F1316" s="1" t="s">
        <v>15</v>
      </c>
      <c r="G1316" s="1" t="s">
        <v>32</v>
      </c>
      <c r="H1316">
        <v>152</v>
      </c>
      <c r="I1316">
        <v>38</v>
      </c>
      <c r="J1316">
        <v>256</v>
      </c>
      <c r="K1316" s="1" t="s">
        <v>17</v>
      </c>
      <c r="L1316" s="1" t="s">
        <v>18</v>
      </c>
      <c r="M1316" s="1" t="s">
        <v>2795</v>
      </c>
      <c r="N1316" s="1" t="s">
        <v>2806</v>
      </c>
    </row>
    <row r="1317" spans="1:14" x14ac:dyDescent="0.35">
      <c r="A1317">
        <v>3328093</v>
      </c>
      <c r="B1317" s="1" t="s">
        <v>2117</v>
      </c>
      <c r="C1317">
        <v>38565</v>
      </c>
      <c r="D1317">
        <v>1123</v>
      </c>
      <c r="E1317" s="1" t="s">
        <v>2807</v>
      </c>
      <c r="F1317" s="1" t="s">
        <v>15</v>
      </c>
      <c r="G1317" s="1" t="s">
        <v>32</v>
      </c>
      <c r="H1317">
        <v>100</v>
      </c>
      <c r="I1317">
        <v>36</v>
      </c>
      <c r="K1317" s="1" t="s">
        <v>90</v>
      </c>
      <c r="L1317" s="1" t="s">
        <v>24</v>
      </c>
      <c r="M1317" s="1" t="s">
        <v>2795</v>
      </c>
      <c r="N1317" s="1" t="s">
        <v>2808</v>
      </c>
    </row>
    <row r="1318" spans="1:14" x14ac:dyDescent="0.35">
      <c r="A1318">
        <v>3328082</v>
      </c>
      <c r="B1318" s="1" t="s">
        <v>2117</v>
      </c>
      <c r="C1318">
        <v>38565</v>
      </c>
      <c r="D1318">
        <v>1123</v>
      </c>
      <c r="E1318" s="1" t="s">
        <v>2809</v>
      </c>
      <c r="F1318" s="1" t="s">
        <v>15</v>
      </c>
      <c r="G1318" s="1" t="s">
        <v>22</v>
      </c>
      <c r="H1318">
        <v>50</v>
      </c>
      <c r="I1318">
        <v>25</v>
      </c>
      <c r="J1318">
        <v>40</v>
      </c>
      <c r="K1318" s="1" t="s">
        <v>95</v>
      </c>
      <c r="L1318" s="1" t="s">
        <v>24</v>
      </c>
      <c r="M1318" s="1" t="s">
        <v>2795</v>
      </c>
      <c r="N1318" s="1" t="s">
        <v>2810</v>
      </c>
    </row>
    <row r="1319" spans="1:14" x14ac:dyDescent="0.35">
      <c r="A1319">
        <v>3376034</v>
      </c>
      <c r="B1319" s="1" t="s">
        <v>2117</v>
      </c>
      <c r="C1319">
        <v>38565</v>
      </c>
      <c r="D1319">
        <v>1123</v>
      </c>
      <c r="E1319" s="1" t="s">
        <v>2811</v>
      </c>
      <c r="F1319" s="1" t="s">
        <v>15</v>
      </c>
      <c r="G1319" s="1" t="s">
        <v>22</v>
      </c>
      <c r="H1319">
        <v>50</v>
      </c>
      <c r="I1319">
        <v>41</v>
      </c>
      <c r="J1319">
        <v>91</v>
      </c>
      <c r="K1319" s="1" t="s">
        <v>27</v>
      </c>
      <c r="L1319" s="1" t="s">
        <v>24</v>
      </c>
      <c r="M1319" s="1" t="s">
        <v>2795</v>
      </c>
      <c r="N1319" s="1" t="s">
        <v>2812</v>
      </c>
    </row>
    <row r="1320" spans="1:14" x14ac:dyDescent="0.35">
      <c r="A1320">
        <v>3328081</v>
      </c>
      <c r="B1320" s="1" t="s">
        <v>2117</v>
      </c>
      <c r="C1320">
        <v>38565</v>
      </c>
      <c r="D1320">
        <v>1123</v>
      </c>
      <c r="E1320" s="1" t="s">
        <v>2813</v>
      </c>
      <c r="F1320" s="1" t="s">
        <v>15</v>
      </c>
      <c r="G1320" s="1" t="s">
        <v>22</v>
      </c>
      <c r="H1320">
        <v>84</v>
      </c>
      <c r="I1320">
        <v>31</v>
      </c>
      <c r="J1320">
        <v>55</v>
      </c>
      <c r="K1320" s="1" t="s">
        <v>23</v>
      </c>
      <c r="L1320" s="1" t="s">
        <v>24</v>
      </c>
      <c r="M1320" s="1" t="s">
        <v>2795</v>
      </c>
      <c r="N1320" s="1" t="s">
        <v>2814</v>
      </c>
    </row>
    <row r="1321" spans="1:14" x14ac:dyDescent="0.35">
      <c r="A1321">
        <v>3328078</v>
      </c>
      <c r="B1321" s="1" t="s">
        <v>2117</v>
      </c>
      <c r="C1321">
        <v>38565</v>
      </c>
      <c r="D1321">
        <v>1123</v>
      </c>
      <c r="E1321" s="1" t="s">
        <v>2815</v>
      </c>
      <c r="F1321" s="1" t="s">
        <v>15</v>
      </c>
      <c r="G1321" s="1" t="s">
        <v>22</v>
      </c>
      <c r="H1321">
        <v>50</v>
      </c>
      <c r="I1321">
        <v>25</v>
      </c>
      <c r="J1321">
        <v>68</v>
      </c>
      <c r="K1321" s="1" t="s">
        <v>23</v>
      </c>
      <c r="L1321" s="1" t="s">
        <v>24</v>
      </c>
      <c r="M1321" s="1" t="s">
        <v>2795</v>
      </c>
      <c r="N1321" s="1" t="s">
        <v>2816</v>
      </c>
    </row>
    <row r="1322" spans="1:14" x14ac:dyDescent="0.35">
      <c r="A1322">
        <v>3323013</v>
      </c>
      <c r="B1322" s="1" t="s">
        <v>2117</v>
      </c>
      <c r="C1322">
        <v>38565</v>
      </c>
      <c r="D1322">
        <v>1123</v>
      </c>
      <c r="E1322" s="1" t="s">
        <v>2817</v>
      </c>
      <c r="F1322" s="1" t="s">
        <v>15</v>
      </c>
      <c r="G1322" s="1" t="s">
        <v>16</v>
      </c>
      <c r="H1322">
        <v>318</v>
      </c>
      <c r="I1322">
        <v>83</v>
      </c>
      <c r="J1322">
        <v>837</v>
      </c>
      <c r="K1322" s="1" t="s">
        <v>17</v>
      </c>
      <c r="L1322" s="1" t="s">
        <v>18</v>
      </c>
      <c r="M1322" s="1" t="s">
        <v>2818</v>
      </c>
      <c r="N1322" s="1" t="s">
        <v>2819</v>
      </c>
    </row>
    <row r="1323" spans="1:14" x14ac:dyDescent="0.35">
      <c r="A1323">
        <v>3323050</v>
      </c>
      <c r="B1323" s="1" t="s">
        <v>2117</v>
      </c>
      <c r="C1323">
        <v>38565</v>
      </c>
      <c r="D1323">
        <v>1123</v>
      </c>
      <c r="E1323" s="1" t="s">
        <v>2820</v>
      </c>
      <c r="F1323" s="1" t="s">
        <v>15</v>
      </c>
      <c r="G1323" s="1" t="s">
        <v>32</v>
      </c>
      <c r="H1323">
        <v>155</v>
      </c>
      <c r="I1323">
        <v>86</v>
      </c>
      <c r="J1323">
        <v>297</v>
      </c>
      <c r="K1323" s="1" t="s">
        <v>444</v>
      </c>
      <c r="L1323" s="1" t="s">
        <v>24</v>
      </c>
      <c r="M1323" s="1" t="s">
        <v>2818</v>
      </c>
      <c r="N1323" s="1" t="s">
        <v>2821</v>
      </c>
    </row>
    <row r="1324" spans="1:14" x14ac:dyDescent="0.35">
      <c r="A1324">
        <v>3323024</v>
      </c>
      <c r="B1324" s="1" t="s">
        <v>2117</v>
      </c>
      <c r="C1324">
        <v>38565</v>
      </c>
      <c r="D1324">
        <v>1123</v>
      </c>
      <c r="E1324" s="1" t="s">
        <v>2822</v>
      </c>
      <c r="F1324" s="1" t="s">
        <v>15</v>
      </c>
      <c r="G1324" s="1" t="s">
        <v>32</v>
      </c>
      <c r="H1324">
        <v>159</v>
      </c>
      <c r="I1324">
        <v>35</v>
      </c>
      <c r="J1324">
        <v>515</v>
      </c>
      <c r="K1324" s="1" t="s">
        <v>819</v>
      </c>
      <c r="L1324" s="1" t="s">
        <v>24</v>
      </c>
      <c r="M1324" s="1" t="s">
        <v>2818</v>
      </c>
      <c r="N1324" s="1" t="s">
        <v>2823</v>
      </c>
    </row>
    <row r="1325" spans="1:14" x14ac:dyDescent="0.35">
      <c r="A1325">
        <v>3323046</v>
      </c>
      <c r="B1325" s="1" t="s">
        <v>2117</v>
      </c>
      <c r="C1325">
        <v>38565</v>
      </c>
      <c r="D1325">
        <v>1123</v>
      </c>
      <c r="E1325" s="1" t="s">
        <v>2824</v>
      </c>
      <c r="F1325" s="1" t="s">
        <v>15</v>
      </c>
      <c r="G1325" s="1" t="s">
        <v>22</v>
      </c>
      <c r="H1325">
        <v>50</v>
      </c>
      <c r="I1325">
        <v>21</v>
      </c>
      <c r="J1325">
        <v>144</v>
      </c>
      <c r="K1325" s="1" t="s">
        <v>84</v>
      </c>
      <c r="L1325" s="1" t="s">
        <v>24</v>
      </c>
      <c r="M1325" s="1" t="s">
        <v>2818</v>
      </c>
      <c r="N1325" s="1" t="s">
        <v>2825</v>
      </c>
    </row>
    <row r="1326" spans="1:14" x14ac:dyDescent="0.35">
      <c r="A1326">
        <v>3312010</v>
      </c>
      <c r="B1326" s="1" t="s">
        <v>2117</v>
      </c>
      <c r="C1326">
        <v>38565</v>
      </c>
      <c r="D1326">
        <v>1123</v>
      </c>
      <c r="E1326" s="1" t="s">
        <v>2826</v>
      </c>
      <c r="F1326" s="1" t="s">
        <v>15</v>
      </c>
      <c r="G1326" s="1" t="s">
        <v>16</v>
      </c>
      <c r="H1326">
        <v>269</v>
      </c>
      <c r="I1326">
        <v>122</v>
      </c>
      <c r="J1326">
        <v>696</v>
      </c>
      <c r="K1326" s="1" t="s">
        <v>17</v>
      </c>
      <c r="L1326" s="1" t="s">
        <v>18</v>
      </c>
      <c r="M1326" s="1" t="s">
        <v>2827</v>
      </c>
      <c r="N1326" s="1" t="s">
        <v>2828</v>
      </c>
    </row>
    <row r="1327" spans="1:14" x14ac:dyDescent="0.35">
      <c r="A1327">
        <v>3312295</v>
      </c>
      <c r="B1327" s="1" t="s">
        <v>2117</v>
      </c>
      <c r="C1327">
        <v>38565</v>
      </c>
      <c r="D1327">
        <v>1123</v>
      </c>
      <c r="E1327" s="1" t="s">
        <v>2829</v>
      </c>
      <c r="F1327" s="1" t="s">
        <v>15</v>
      </c>
      <c r="G1327" s="1" t="s">
        <v>32</v>
      </c>
      <c r="H1327">
        <v>110</v>
      </c>
      <c r="I1327">
        <v>64</v>
      </c>
      <c r="J1327">
        <v>210</v>
      </c>
      <c r="K1327" s="1" t="s">
        <v>23</v>
      </c>
      <c r="L1327" s="1" t="s">
        <v>24</v>
      </c>
      <c r="M1327" s="1" t="s">
        <v>2827</v>
      </c>
      <c r="N1327" s="1" t="s">
        <v>2830</v>
      </c>
    </row>
    <row r="1328" spans="1:14" x14ac:dyDescent="0.35">
      <c r="A1328">
        <v>3312306</v>
      </c>
      <c r="B1328" s="1" t="s">
        <v>2117</v>
      </c>
      <c r="C1328">
        <v>38565</v>
      </c>
      <c r="D1328">
        <v>1123</v>
      </c>
      <c r="E1328" s="1" t="s">
        <v>2831</v>
      </c>
      <c r="F1328" s="1" t="s">
        <v>15</v>
      </c>
      <c r="G1328" s="1" t="s">
        <v>32</v>
      </c>
      <c r="H1328">
        <v>125</v>
      </c>
      <c r="I1328">
        <v>35</v>
      </c>
      <c r="J1328">
        <v>231</v>
      </c>
      <c r="K1328" s="1" t="s">
        <v>23</v>
      </c>
      <c r="L1328" s="1" t="s">
        <v>24</v>
      </c>
      <c r="M1328" s="1" t="s">
        <v>2827</v>
      </c>
      <c r="N1328" s="1" t="s">
        <v>2832</v>
      </c>
    </row>
    <row r="1329" spans="1:14" x14ac:dyDescent="0.35">
      <c r="A1329">
        <v>3312021</v>
      </c>
      <c r="B1329" s="1" t="s">
        <v>2117</v>
      </c>
      <c r="C1329">
        <v>38565</v>
      </c>
      <c r="D1329">
        <v>1123</v>
      </c>
      <c r="E1329" s="1" t="s">
        <v>2833</v>
      </c>
      <c r="F1329" s="1" t="s">
        <v>15</v>
      </c>
      <c r="G1329" s="1" t="s">
        <v>22</v>
      </c>
      <c r="H1329">
        <v>100</v>
      </c>
      <c r="I1329">
        <v>27</v>
      </c>
      <c r="J1329">
        <v>211</v>
      </c>
      <c r="K1329" s="1" t="s">
        <v>90</v>
      </c>
      <c r="L1329" s="1" t="s">
        <v>24</v>
      </c>
      <c r="M1329" s="1" t="s">
        <v>2827</v>
      </c>
      <c r="N1329" s="1" t="s">
        <v>2834</v>
      </c>
    </row>
    <row r="1330" spans="1:14" x14ac:dyDescent="0.35">
      <c r="A1330">
        <v>3312284</v>
      </c>
      <c r="B1330" s="1" t="s">
        <v>2117</v>
      </c>
      <c r="C1330">
        <v>38565</v>
      </c>
      <c r="D1330">
        <v>1123</v>
      </c>
      <c r="E1330" s="1" t="s">
        <v>2835</v>
      </c>
      <c r="F1330" s="1" t="s">
        <v>15</v>
      </c>
      <c r="G1330" s="1" t="s">
        <v>22</v>
      </c>
      <c r="H1330">
        <v>50</v>
      </c>
      <c r="I1330">
        <v>44</v>
      </c>
      <c r="J1330">
        <v>155</v>
      </c>
      <c r="K1330" s="1" t="s">
        <v>444</v>
      </c>
      <c r="L1330" s="1" t="s">
        <v>24</v>
      </c>
      <c r="M1330" s="1" t="s">
        <v>2827</v>
      </c>
      <c r="N1330" s="1" t="s">
        <v>2836</v>
      </c>
    </row>
    <row r="1331" spans="1:14" x14ac:dyDescent="0.35">
      <c r="A1331">
        <v>3312309</v>
      </c>
      <c r="B1331" s="1" t="s">
        <v>2117</v>
      </c>
      <c r="C1331">
        <v>38565</v>
      </c>
      <c r="D1331">
        <v>1123</v>
      </c>
      <c r="E1331" s="1" t="s">
        <v>2837</v>
      </c>
      <c r="F1331" s="1" t="s">
        <v>15</v>
      </c>
      <c r="G1331" s="1" t="s">
        <v>22</v>
      </c>
      <c r="H1331">
        <v>98</v>
      </c>
      <c r="I1331">
        <v>27</v>
      </c>
      <c r="J1331">
        <v>76</v>
      </c>
      <c r="K1331" s="1" t="s">
        <v>90</v>
      </c>
      <c r="L1331" s="1" t="s">
        <v>24</v>
      </c>
      <c r="M1331" s="1" t="s">
        <v>2827</v>
      </c>
      <c r="N1331" s="1" t="s">
        <v>2838</v>
      </c>
    </row>
    <row r="1332" spans="1:14" x14ac:dyDescent="0.35">
      <c r="A1332">
        <v>3312310</v>
      </c>
      <c r="B1332" s="1" t="s">
        <v>2117</v>
      </c>
      <c r="C1332">
        <v>38565</v>
      </c>
      <c r="D1332">
        <v>1123</v>
      </c>
      <c r="E1332" s="1" t="s">
        <v>2839</v>
      </c>
      <c r="F1332" s="1" t="s">
        <v>15</v>
      </c>
      <c r="G1332" s="1" t="s">
        <v>22</v>
      </c>
      <c r="H1332">
        <v>53</v>
      </c>
      <c r="I1332">
        <v>28</v>
      </c>
      <c r="J1332">
        <v>17</v>
      </c>
      <c r="K1332" s="1" t="s">
        <v>444</v>
      </c>
      <c r="L1332" s="1" t="s">
        <v>24</v>
      </c>
      <c r="M1332" s="1" t="s">
        <v>2827</v>
      </c>
      <c r="N1332" s="1" t="s">
        <v>2840</v>
      </c>
    </row>
    <row r="1333" spans="1:14" x14ac:dyDescent="0.35">
      <c r="A1333">
        <v>3312307</v>
      </c>
      <c r="B1333" s="1" t="s">
        <v>2117</v>
      </c>
      <c r="C1333">
        <v>38565</v>
      </c>
      <c r="D1333">
        <v>1123</v>
      </c>
      <c r="E1333" s="1" t="s">
        <v>2841</v>
      </c>
      <c r="F1333" s="1" t="s">
        <v>15</v>
      </c>
      <c r="G1333" s="1" t="s">
        <v>22</v>
      </c>
      <c r="H1333">
        <v>71</v>
      </c>
      <c r="I1333">
        <v>30</v>
      </c>
      <c r="J1333">
        <v>50</v>
      </c>
      <c r="K1333" s="1" t="s">
        <v>90</v>
      </c>
      <c r="L1333" s="1" t="s">
        <v>24</v>
      </c>
      <c r="M1333" s="1" t="s">
        <v>2827</v>
      </c>
      <c r="N1333" s="1" t="s">
        <v>2842</v>
      </c>
    </row>
    <row r="1334" spans="1:14" x14ac:dyDescent="0.35">
      <c r="A1334">
        <v>3312308</v>
      </c>
      <c r="B1334" s="1" t="s">
        <v>2117</v>
      </c>
      <c r="C1334">
        <v>38565</v>
      </c>
      <c r="D1334">
        <v>1123</v>
      </c>
      <c r="E1334" s="1" t="s">
        <v>2843</v>
      </c>
      <c r="F1334" s="1" t="s">
        <v>15</v>
      </c>
      <c r="G1334" s="1" t="s">
        <v>22</v>
      </c>
      <c r="H1334">
        <v>107</v>
      </c>
      <c r="I1334">
        <v>27</v>
      </c>
      <c r="J1334">
        <v>208</v>
      </c>
      <c r="K1334" s="1" t="s">
        <v>90</v>
      </c>
      <c r="L1334" s="1" t="s">
        <v>24</v>
      </c>
      <c r="M1334" s="1" t="s">
        <v>2827</v>
      </c>
      <c r="N1334" s="1" t="s">
        <v>2844</v>
      </c>
    </row>
    <row r="1335" spans="1:14" x14ac:dyDescent="0.35">
      <c r="A1335">
        <v>3307035</v>
      </c>
      <c r="B1335" s="1" t="s">
        <v>2117</v>
      </c>
      <c r="C1335">
        <v>38565</v>
      </c>
      <c r="D1335">
        <v>1123</v>
      </c>
      <c r="E1335" s="1" t="s">
        <v>2845</v>
      </c>
      <c r="F1335" s="1" t="s">
        <v>71</v>
      </c>
      <c r="G1335" s="1" t="s">
        <v>32</v>
      </c>
      <c r="H1335">
        <v>44</v>
      </c>
      <c r="I1335">
        <v>19</v>
      </c>
      <c r="J1335">
        <v>52</v>
      </c>
      <c r="K1335" s="1" t="s">
        <v>84</v>
      </c>
      <c r="L1335" s="1" t="s">
        <v>24</v>
      </c>
      <c r="M1335" s="1" t="s">
        <v>2846</v>
      </c>
      <c r="N1335" s="1" t="s">
        <v>2847</v>
      </c>
    </row>
    <row r="1336" spans="1:14" x14ac:dyDescent="0.35">
      <c r="A1336">
        <v>3307051</v>
      </c>
      <c r="B1336" s="1" t="s">
        <v>2117</v>
      </c>
      <c r="C1336">
        <v>38565</v>
      </c>
      <c r="D1336">
        <v>1123</v>
      </c>
      <c r="E1336" s="1" t="s">
        <v>2848</v>
      </c>
      <c r="F1336" s="1" t="s">
        <v>15</v>
      </c>
      <c r="G1336" s="1" t="s">
        <v>32</v>
      </c>
      <c r="H1336">
        <v>211</v>
      </c>
      <c r="I1336">
        <v>70</v>
      </c>
      <c r="J1336">
        <v>188</v>
      </c>
      <c r="K1336" s="1" t="s">
        <v>23</v>
      </c>
      <c r="L1336" s="1" t="s">
        <v>24</v>
      </c>
      <c r="M1336" s="1" t="s">
        <v>2846</v>
      </c>
      <c r="N1336" s="1" t="s">
        <v>2849</v>
      </c>
    </row>
    <row r="1337" spans="1:14" x14ac:dyDescent="0.35">
      <c r="A1337">
        <v>3307013</v>
      </c>
      <c r="B1337" s="1" t="s">
        <v>2117</v>
      </c>
      <c r="C1337">
        <v>38565</v>
      </c>
      <c r="D1337">
        <v>1123</v>
      </c>
      <c r="E1337" s="1" t="s">
        <v>2850</v>
      </c>
      <c r="F1337" s="1" t="s">
        <v>15</v>
      </c>
      <c r="G1337" s="1" t="s">
        <v>32</v>
      </c>
      <c r="H1337">
        <v>222</v>
      </c>
      <c r="I1337">
        <v>80</v>
      </c>
      <c r="J1337">
        <v>247</v>
      </c>
      <c r="K1337" s="1" t="s">
        <v>17</v>
      </c>
      <c r="L1337" s="1" t="s">
        <v>18</v>
      </c>
      <c r="M1337" s="1" t="s">
        <v>2846</v>
      </c>
      <c r="N1337" s="1" t="s">
        <v>2851</v>
      </c>
    </row>
    <row r="1338" spans="1:14" x14ac:dyDescent="0.35">
      <c r="A1338">
        <v>3307050</v>
      </c>
      <c r="B1338" s="1" t="s">
        <v>2117</v>
      </c>
      <c r="C1338">
        <v>38565</v>
      </c>
      <c r="D1338">
        <v>1123</v>
      </c>
      <c r="E1338" s="1" t="s">
        <v>2852</v>
      </c>
      <c r="F1338" s="1" t="s">
        <v>15</v>
      </c>
      <c r="G1338" s="1" t="s">
        <v>32</v>
      </c>
      <c r="H1338">
        <v>110</v>
      </c>
      <c r="I1338">
        <v>34</v>
      </c>
      <c r="J1338">
        <v>188</v>
      </c>
      <c r="K1338" s="1" t="s">
        <v>444</v>
      </c>
      <c r="L1338" s="1" t="s">
        <v>24</v>
      </c>
      <c r="M1338" s="1" t="s">
        <v>2846</v>
      </c>
      <c r="N1338" s="1" t="s">
        <v>2853</v>
      </c>
    </row>
    <row r="1339" spans="1:14" x14ac:dyDescent="0.35">
      <c r="A1339">
        <v>3307062</v>
      </c>
      <c r="B1339" s="1" t="s">
        <v>2117</v>
      </c>
      <c r="C1339">
        <v>38565</v>
      </c>
      <c r="D1339">
        <v>1123</v>
      </c>
      <c r="E1339" s="1" t="s">
        <v>2854</v>
      </c>
      <c r="F1339" s="1" t="s">
        <v>15</v>
      </c>
      <c r="G1339" s="1" t="s">
        <v>22</v>
      </c>
      <c r="H1339">
        <v>63</v>
      </c>
      <c r="I1339">
        <v>22</v>
      </c>
      <c r="K1339" s="1" t="s">
        <v>90</v>
      </c>
      <c r="L1339" s="1" t="s">
        <v>24</v>
      </c>
      <c r="M1339" s="1" t="s">
        <v>2846</v>
      </c>
      <c r="N1339" s="1" t="s">
        <v>2855</v>
      </c>
    </row>
    <row r="1340" spans="1:14" x14ac:dyDescent="0.35">
      <c r="A1340">
        <v>3526032</v>
      </c>
      <c r="B1340" s="1" t="s">
        <v>2856</v>
      </c>
      <c r="C1340">
        <v>42352</v>
      </c>
      <c r="D1340">
        <v>881</v>
      </c>
      <c r="E1340" s="1" t="s">
        <v>2857</v>
      </c>
      <c r="F1340" s="1" t="s">
        <v>220</v>
      </c>
      <c r="G1340" s="1" t="s">
        <v>32</v>
      </c>
      <c r="H1340">
        <v>25</v>
      </c>
      <c r="I1340">
        <v>16</v>
      </c>
      <c r="J1340">
        <v>30</v>
      </c>
      <c r="K1340" s="1" t="s">
        <v>23</v>
      </c>
      <c r="L1340" s="1" t="s">
        <v>120</v>
      </c>
      <c r="M1340" s="1" t="s">
        <v>2858</v>
      </c>
      <c r="N1340" s="1" t="s">
        <v>2859</v>
      </c>
    </row>
    <row r="1341" spans="1:14" x14ac:dyDescent="0.35">
      <c r="A1341">
        <v>3526046</v>
      </c>
      <c r="B1341" s="1" t="s">
        <v>2856</v>
      </c>
      <c r="C1341">
        <v>42352</v>
      </c>
      <c r="D1341">
        <v>881</v>
      </c>
      <c r="E1341" s="1" t="s">
        <v>2860</v>
      </c>
      <c r="F1341" s="1" t="s">
        <v>220</v>
      </c>
      <c r="G1341" s="1" t="s">
        <v>32</v>
      </c>
      <c r="H1341">
        <v>25</v>
      </c>
      <c r="I1341">
        <v>11</v>
      </c>
      <c r="K1341" s="1" t="s">
        <v>23</v>
      </c>
      <c r="L1341" s="1" t="s">
        <v>24</v>
      </c>
      <c r="M1341" s="1" t="s">
        <v>2858</v>
      </c>
      <c r="N1341" s="1" t="s">
        <v>2861</v>
      </c>
    </row>
    <row r="1342" spans="1:14" x14ac:dyDescent="0.35">
      <c r="A1342">
        <v>3526031</v>
      </c>
      <c r="B1342" s="1" t="s">
        <v>2856</v>
      </c>
      <c r="C1342">
        <v>42352</v>
      </c>
      <c r="D1342">
        <v>881</v>
      </c>
      <c r="E1342" s="1" t="s">
        <v>2862</v>
      </c>
      <c r="F1342" s="1" t="s">
        <v>71</v>
      </c>
      <c r="G1342" s="1" t="s">
        <v>32</v>
      </c>
      <c r="H1342">
        <v>27</v>
      </c>
      <c r="I1342">
        <v>20</v>
      </c>
      <c r="J1342">
        <v>42</v>
      </c>
      <c r="K1342" s="1" t="s">
        <v>95</v>
      </c>
      <c r="L1342" s="1" t="s">
        <v>24</v>
      </c>
      <c r="M1342" s="1" t="s">
        <v>2858</v>
      </c>
      <c r="N1342" s="1" t="s">
        <v>2863</v>
      </c>
    </row>
    <row r="1343" spans="1:14" x14ac:dyDescent="0.35">
      <c r="A1343">
        <v>3526045</v>
      </c>
      <c r="B1343" s="1" t="s">
        <v>2856</v>
      </c>
      <c r="C1343">
        <v>42352</v>
      </c>
      <c r="D1343">
        <v>881</v>
      </c>
      <c r="E1343" s="1" t="s">
        <v>2864</v>
      </c>
      <c r="F1343" s="1" t="s">
        <v>71</v>
      </c>
      <c r="G1343" s="1" t="s">
        <v>32</v>
      </c>
      <c r="H1343">
        <v>30</v>
      </c>
      <c r="I1343">
        <v>14</v>
      </c>
      <c r="K1343" s="1" t="s">
        <v>23</v>
      </c>
      <c r="L1343" s="1" t="s">
        <v>24</v>
      </c>
      <c r="M1343" s="1" t="s">
        <v>2858</v>
      </c>
      <c r="N1343" s="1" t="s">
        <v>2865</v>
      </c>
    </row>
    <row r="1344" spans="1:14" x14ac:dyDescent="0.35">
      <c r="A1344">
        <v>3526030</v>
      </c>
      <c r="B1344" s="1" t="s">
        <v>2856</v>
      </c>
      <c r="C1344">
        <v>42352</v>
      </c>
      <c r="D1344">
        <v>881</v>
      </c>
      <c r="E1344" s="1" t="s">
        <v>2866</v>
      </c>
      <c r="F1344" s="1" t="s">
        <v>71</v>
      </c>
      <c r="G1344" s="1" t="s">
        <v>32</v>
      </c>
      <c r="H1344">
        <v>25</v>
      </c>
      <c r="I1344">
        <v>13</v>
      </c>
      <c r="J1344">
        <v>19</v>
      </c>
      <c r="K1344" s="1" t="s">
        <v>84</v>
      </c>
      <c r="L1344" s="1" t="s">
        <v>24</v>
      </c>
      <c r="M1344" s="1" t="s">
        <v>2858</v>
      </c>
      <c r="N1344" s="1" t="s">
        <v>2867</v>
      </c>
    </row>
    <row r="1345" spans="1:14" x14ac:dyDescent="0.35">
      <c r="A1345">
        <v>3526011</v>
      </c>
      <c r="B1345" s="1" t="s">
        <v>2856</v>
      </c>
      <c r="C1345">
        <v>42352</v>
      </c>
      <c r="D1345">
        <v>881</v>
      </c>
      <c r="E1345" s="1" t="s">
        <v>2868</v>
      </c>
      <c r="F1345" s="1" t="s">
        <v>15</v>
      </c>
      <c r="G1345" s="1" t="s">
        <v>16</v>
      </c>
      <c r="H1345">
        <v>372</v>
      </c>
      <c r="I1345">
        <v>57</v>
      </c>
      <c r="J1345">
        <v>1101</v>
      </c>
      <c r="K1345" s="1" t="s">
        <v>17</v>
      </c>
      <c r="L1345" s="1" t="s">
        <v>18</v>
      </c>
      <c r="M1345" s="1" t="s">
        <v>2858</v>
      </c>
      <c r="N1345" s="1" t="s">
        <v>2869</v>
      </c>
    </row>
    <row r="1346" spans="1:14" x14ac:dyDescent="0.35">
      <c r="A1346">
        <v>3526027</v>
      </c>
      <c r="B1346" s="1" t="s">
        <v>2856</v>
      </c>
      <c r="C1346">
        <v>42352</v>
      </c>
      <c r="D1346">
        <v>881</v>
      </c>
      <c r="E1346" s="1" t="s">
        <v>2870</v>
      </c>
      <c r="F1346" s="1" t="s">
        <v>15</v>
      </c>
      <c r="G1346" s="1" t="s">
        <v>22</v>
      </c>
      <c r="H1346">
        <v>56</v>
      </c>
      <c r="I1346">
        <v>28</v>
      </c>
      <c r="J1346">
        <v>72</v>
      </c>
      <c r="K1346" s="1" t="s">
        <v>23</v>
      </c>
      <c r="L1346" s="1" t="s">
        <v>24</v>
      </c>
      <c r="M1346" s="1" t="s">
        <v>2858</v>
      </c>
      <c r="N1346" s="1" t="s">
        <v>2871</v>
      </c>
    </row>
    <row r="1347" spans="1:14" x14ac:dyDescent="0.35">
      <c r="A1347">
        <v>3526029</v>
      </c>
      <c r="B1347" s="1" t="s">
        <v>2856</v>
      </c>
      <c r="C1347">
        <v>42352</v>
      </c>
      <c r="D1347">
        <v>881</v>
      </c>
      <c r="E1347" s="1" t="s">
        <v>2872</v>
      </c>
      <c r="F1347" s="1" t="s">
        <v>15</v>
      </c>
      <c r="G1347" s="1" t="s">
        <v>22</v>
      </c>
      <c r="H1347">
        <v>75</v>
      </c>
      <c r="I1347">
        <v>26</v>
      </c>
      <c r="J1347">
        <v>61</v>
      </c>
      <c r="K1347" s="1" t="s">
        <v>23</v>
      </c>
      <c r="L1347" s="1" t="s">
        <v>24</v>
      </c>
      <c r="M1347" s="1" t="s">
        <v>2858</v>
      </c>
      <c r="N1347" s="1" t="s">
        <v>2873</v>
      </c>
    </row>
    <row r="1348" spans="1:14" x14ac:dyDescent="0.35">
      <c r="A1348">
        <v>3510010</v>
      </c>
      <c r="B1348" s="1" t="s">
        <v>2856</v>
      </c>
      <c r="C1348">
        <v>42352</v>
      </c>
      <c r="D1348">
        <v>881</v>
      </c>
      <c r="E1348" s="1" t="s">
        <v>2874</v>
      </c>
      <c r="F1348" s="1" t="s">
        <v>15</v>
      </c>
      <c r="G1348" s="1" t="s">
        <v>16</v>
      </c>
      <c r="H1348">
        <v>240</v>
      </c>
      <c r="I1348">
        <v>118</v>
      </c>
      <c r="J1348">
        <v>711</v>
      </c>
      <c r="K1348" s="1" t="s">
        <v>17</v>
      </c>
      <c r="L1348" s="1" t="s">
        <v>18</v>
      </c>
      <c r="M1348" s="1" t="s">
        <v>2875</v>
      </c>
      <c r="N1348" s="1" t="s">
        <v>2876</v>
      </c>
    </row>
    <row r="1349" spans="1:14" x14ac:dyDescent="0.35">
      <c r="A1349">
        <v>3510103</v>
      </c>
      <c r="B1349" s="1" t="s">
        <v>2856</v>
      </c>
      <c r="C1349">
        <v>42352</v>
      </c>
      <c r="D1349">
        <v>881</v>
      </c>
      <c r="E1349" s="1" t="s">
        <v>2877</v>
      </c>
      <c r="F1349" s="1" t="s">
        <v>15</v>
      </c>
      <c r="G1349" s="1" t="s">
        <v>32</v>
      </c>
      <c r="H1349">
        <v>207</v>
      </c>
      <c r="I1349">
        <v>102</v>
      </c>
      <c r="J1349">
        <v>650</v>
      </c>
      <c r="K1349" s="1" t="s">
        <v>23</v>
      </c>
      <c r="L1349" s="1" t="s">
        <v>24</v>
      </c>
      <c r="M1349" s="1" t="s">
        <v>2875</v>
      </c>
      <c r="N1349" s="1" t="s">
        <v>2878</v>
      </c>
    </row>
    <row r="1350" spans="1:14" x14ac:dyDescent="0.35">
      <c r="A1350">
        <v>3510043</v>
      </c>
      <c r="B1350" s="1" t="s">
        <v>2856</v>
      </c>
      <c r="C1350">
        <v>42352</v>
      </c>
      <c r="D1350">
        <v>881</v>
      </c>
      <c r="E1350" s="1" t="s">
        <v>2879</v>
      </c>
      <c r="F1350" s="1" t="s">
        <v>15</v>
      </c>
      <c r="G1350" s="1" t="s">
        <v>32</v>
      </c>
      <c r="H1350">
        <v>161</v>
      </c>
      <c r="I1350">
        <v>107</v>
      </c>
      <c r="J1350">
        <v>428</v>
      </c>
      <c r="K1350" s="1" t="s">
        <v>17</v>
      </c>
      <c r="L1350" s="1" t="s">
        <v>18</v>
      </c>
      <c r="M1350" s="1" t="s">
        <v>2875</v>
      </c>
      <c r="N1350" s="1" t="s">
        <v>2880</v>
      </c>
    </row>
    <row r="1351" spans="1:14" x14ac:dyDescent="0.35">
      <c r="A1351">
        <v>3510021</v>
      </c>
      <c r="B1351" s="1" t="s">
        <v>2856</v>
      </c>
      <c r="C1351">
        <v>42352</v>
      </c>
      <c r="D1351">
        <v>881</v>
      </c>
      <c r="E1351" s="1" t="s">
        <v>1359</v>
      </c>
      <c r="F1351" s="1" t="s">
        <v>15</v>
      </c>
      <c r="G1351" s="1" t="s">
        <v>32</v>
      </c>
      <c r="H1351">
        <v>101</v>
      </c>
      <c r="I1351">
        <v>50</v>
      </c>
      <c r="J1351">
        <v>226</v>
      </c>
      <c r="K1351" s="1" t="s">
        <v>23</v>
      </c>
      <c r="L1351" s="1" t="s">
        <v>24</v>
      </c>
      <c r="M1351" s="1" t="s">
        <v>2875</v>
      </c>
      <c r="N1351" s="1" t="s">
        <v>2881</v>
      </c>
    </row>
    <row r="1352" spans="1:14" x14ac:dyDescent="0.35">
      <c r="A1352">
        <v>3510106</v>
      </c>
      <c r="B1352" s="1" t="s">
        <v>2856</v>
      </c>
      <c r="C1352">
        <v>42352</v>
      </c>
      <c r="D1352">
        <v>881</v>
      </c>
      <c r="E1352" s="1" t="s">
        <v>2882</v>
      </c>
      <c r="F1352" s="1" t="s">
        <v>15</v>
      </c>
      <c r="G1352" s="1" t="s">
        <v>32</v>
      </c>
      <c r="H1352">
        <v>152</v>
      </c>
      <c r="I1352">
        <v>48</v>
      </c>
      <c r="J1352">
        <v>172</v>
      </c>
      <c r="K1352" s="1" t="s">
        <v>23</v>
      </c>
      <c r="L1352" s="1" t="s">
        <v>24</v>
      </c>
      <c r="M1352" s="1" t="s">
        <v>2875</v>
      </c>
      <c r="N1352" s="1" t="s">
        <v>2883</v>
      </c>
    </row>
    <row r="1353" spans="1:14" x14ac:dyDescent="0.35">
      <c r="A1353">
        <v>3510054</v>
      </c>
      <c r="B1353" s="1" t="s">
        <v>2856</v>
      </c>
      <c r="C1353">
        <v>42352</v>
      </c>
      <c r="D1353">
        <v>881</v>
      </c>
      <c r="E1353" s="1" t="s">
        <v>2884</v>
      </c>
      <c r="F1353" s="1" t="s">
        <v>15</v>
      </c>
      <c r="G1353" s="1" t="s">
        <v>32</v>
      </c>
      <c r="H1353">
        <v>103</v>
      </c>
      <c r="I1353">
        <v>31</v>
      </c>
      <c r="J1353">
        <v>149</v>
      </c>
      <c r="K1353" s="1" t="s">
        <v>23</v>
      </c>
      <c r="L1353" s="1" t="s">
        <v>24</v>
      </c>
      <c r="M1353" s="1" t="s">
        <v>2875</v>
      </c>
      <c r="N1353" s="1" t="s">
        <v>2885</v>
      </c>
    </row>
    <row r="1354" spans="1:14" x14ac:dyDescent="0.35">
      <c r="A1354">
        <v>3510102</v>
      </c>
      <c r="B1354" s="1" t="s">
        <v>2856</v>
      </c>
      <c r="C1354">
        <v>42352</v>
      </c>
      <c r="D1354">
        <v>881</v>
      </c>
      <c r="E1354" s="1" t="s">
        <v>2886</v>
      </c>
      <c r="F1354" s="1" t="s">
        <v>15</v>
      </c>
      <c r="G1354" s="1" t="s">
        <v>32</v>
      </c>
      <c r="H1354">
        <v>120</v>
      </c>
      <c r="I1354">
        <v>34</v>
      </c>
      <c r="J1354">
        <v>139</v>
      </c>
      <c r="K1354" s="1" t="s">
        <v>23</v>
      </c>
      <c r="L1354" s="1" t="s">
        <v>24</v>
      </c>
      <c r="M1354" s="1" t="s">
        <v>2875</v>
      </c>
      <c r="N1354" s="1" t="s">
        <v>2887</v>
      </c>
    </row>
    <row r="1355" spans="1:14" x14ac:dyDescent="0.35">
      <c r="A1355">
        <v>3510076</v>
      </c>
      <c r="B1355" s="1" t="s">
        <v>2856</v>
      </c>
      <c r="C1355">
        <v>42352</v>
      </c>
      <c r="D1355">
        <v>881</v>
      </c>
      <c r="E1355" s="1" t="s">
        <v>2888</v>
      </c>
      <c r="F1355" s="1" t="s">
        <v>15</v>
      </c>
      <c r="G1355" s="1" t="s">
        <v>32</v>
      </c>
      <c r="H1355">
        <v>100</v>
      </c>
      <c r="I1355">
        <v>62</v>
      </c>
      <c r="J1355">
        <v>302</v>
      </c>
      <c r="K1355" s="1" t="s">
        <v>23</v>
      </c>
      <c r="L1355" s="1" t="s">
        <v>24</v>
      </c>
      <c r="M1355" s="1" t="s">
        <v>2875</v>
      </c>
      <c r="N1355" s="1" t="s">
        <v>2889</v>
      </c>
    </row>
    <row r="1356" spans="1:14" x14ac:dyDescent="0.35">
      <c r="A1356">
        <v>3510104</v>
      </c>
      <c r="B1356" s="1" t="s">
        <v>2856</v>
      </c>
      <c r="C1356">
        <v>42352</v>
      </c>
      <c r="D1356">
        <v>881</v>
      </c>
      <c r="E1356" s="1" t="s">
        <v>2890</v>
      </c>
      <c r="F1356" s="1" t="s">
        <v>15</v>
      </c>
      <c r="G1356" s="1" t="s">
        <v>22</v>
      </c>
      <c r="H1356">
        <v>72</v>
      </c>
      <c r="I1356">
        <v>20</v>
      </c>
      <c r="J1356">
        <v>77</v>
      </c>
      <c r="K1356" s="1" t="s">
        <v>23</v>
      </c>
      <c r="L1356" s="1" t="s">
        <v>24</v>
      </c>
      <c r="M1356" s="1" t="s">
        <v>2875</v>
      </c>
      <c r="N1356" s="1" t="s">
        <v>2891</v>
      </c>
    </row>
    <row r="1357" spans="1:14" x14ac:dyDescent="0.35">
      <c r="A1357">
        <v>3510109</v>
      </c>
      <c r="B1357" s="1" t="s">
        <v>2856</v>
      </c>
      <c r="C1357">
        <v>42352</v>
      </c>
      <c r="D1357">
        <v>881</v>
      </c>
      <c r="E1357" s="1" t="s">
        <v>2892</v>
      </c>
      <c r="F1357" s="1" t="s">
        <v>15</v>
      </c>
      <c r="G1357" s="1" t="s">
        <v>22</v>
      </c>
      <c r="H1357">
        <v>50</v>
      </c>
      <c r="I1357">
        <v>15</v>
      </c>
      <c r="J1357">
        <v>47</v>
      </c>
      <c r="K1357" s="1" t="s">
        <v>23</v>
      </c>
      <c r="L1357" s="1" t="s">
        <v>24</v>
      </c>
      <c r="M1357" s="1" t="s">
        <v>2875</v>
      </c>
      <c r="N1357" s="1" t="s">
        <v>2893</v>
      </c>
    </row>
    <row r="1358" spans="1:14" x14ac:dyDescent="0.35">
      <c r="A1358">
        <v>3510105</v>
      </c>
      <c r="B1358" s="1" t="s">
        <v>2856</v>
      </c>
      <c r="C1358">
        <v>42352</v>
      </c>
      <c r="D1358">
        <v>881</v>
      </c>
      <c r="E1358" s="1" t="s">
        <v>2894</v>
      </c>
      <c r="F1358" s="1" t="s">
        <v>15</v>
      </c>
      <c r="G1358" s="1" t="s">
        <v>22</v>
      </c>
      <c r="H1358">
        <v>55</v>
      </c>
      <c r="I1358">
        <v>25</v>
      </c>
      <c r="J1358">
        <v>34</v>
      </c>
      <c r="K1358" s="1" t="s">
        <v>23</v>
      </c>
      <c r="L1358" s="1" t="s">
        <v>24</v>
      </c>
      <c r="M1358" s="1" t="s">
        <v>2875</v>
      </c>
      <c r="N1358" s="1" t="s">
        <v>2895</v>
      </c>
    </row>
    <row r="1359" spans="1:14" x14ac:dyDescent="0.35">
      <c r="A1359">
        <v>3510108</v>
      </c>
      <c r="B1359" s="1" t="s">
        <v>2856</v>
      </c>
      <c r="C1359">
        <v>42352</v>
      </c>
      <c r="D1359">
        <v>881</v>
      </c>
      <c r="E1359" s="1" t="s">
        <v>2896</v>
      </c>
      <c r="F1359" s="1" t="s">
        <v>15</v>
      </c>
      <c r="G1359" s="1" t="s">
        <v>22</v>
      </c>
      <c r="H1359">
        <v>63</v>
      </c>
      <c r="I1359">
        <v>21</v>
      </c>
      <c r="J1359">
        <v>63</v>
      </c>
      <c r="K1359" s="1" t="s">
        <v>23</v>
      </c>
      <c r="L1359" s="1" t="s">
        <v>24</v>
      </c>
      <c r="M1359" s="1" t="s">
        <v>2875</v>
      </c>
      <c r="N1359" s="1" t="s">
        <v>2897</v>
      </c>
    </row>
    <row r="1360" spans="1:14" x14ac:dyDescent="0.35">
      <c r="A1360">
        <v>3510107</v>
      </c>
      <c r="B1360" s="1" t="s">
        <v>2856</v>
      </c>
      <c r="C1360">
        <v>42352</v>
      </c>
      <c r="D1360">
        <v>881</v>
      </c>
      <c r="E1360" s="1" t="s">
        <v>2898</v>
      </c>
      <c r="F1360" s="1" t="s">
        <v>15</v>
      </c>
      <c r="G1360" s="1" t="s">
        <v>22</v>
      </c>
      <c r="H1360">
        <v>71</v>
      </c>
      <c r="I1360">
        <v>22</v>
      </c>
      <c r="J1360">
        <v>90</v>
      </c>
      <c r="K1360" s="1" t="s">
        <v>23</v>
      </c>
      <c r="L1360" s="1" t="s">
        <v>24</v>
      </c>
      <c r="M1360" s="1" t="s">
        <v>2875</v>
      </c>
      <c r="N1360" s="1" t="s">
        <v>2899</v>
      </c>
    </row>
    <row r="1361" spans="1:14" x14ac:dyDescent="0.35">
      <c r="A1361">
        <v>3505013</v>
      </c>
      <c r="B1361" s="1" t="s">
        <v>2856</v>
      </c>
      <c r="C1361">
        <v>42352</v>
      </c>
      <c r="D1361">
        <v>881</v>
      </c>
      <c r="E1361" s="1" t="s">
        <v>2900</v>
      </c>
      <c r="F1361" s="1" t="s">
        <v>15</v>
      </c>
      <c r="G1361" s="1" t="s">
        <v>16</v>
      </c>
      <c r="H1361">
        <v>206</v>
      </c>
      <c r="I1361">
        <v>136</v>
      </c>
      <c r="J1361">
        <v>674</v>
      </c>
      <c r="K1361" s="1" t="s">
        <v>17</v>
      </c>
      <c r="L1361" s="1" t="s">
        <v>18</v>
      </c>
      <c r="M1361" s="1" t="s">
        <v>2901</v>
      </c>
      <c r="N1361" s="1" t="s">
        <v>2902</v>
      </c>
    </row>
    <row r="1362" spans="1:14" x14ac:dyDescent="0.35">
      <c r="A1362">
        <v>3505045</v>
      </c>
      <c r="B1362" s="1" t="s">
        <v>2856</v>
      </c>
      <c r="C1362">
        <v>42352</v>
      </c>
      <c r="D1362">
        <v>881</v>
      </c>
      <c r="E1362" s="1" t="s">
        <v>2903</v>
      </c>
      <c r="F1362" s="1" t="s">
        <v>15</v>
      </c>
      <c r="G1362" s="1" t="s">
        <v>32</v>
      </c>
      <c r="H1362">
        <v>152</v>
      </c>
      <c r="I1362">
        <v>24</v>
      </c>
      <c r="J1362">
        <v>210</v>
      </c>
      <c r="K1362" s="1" t="s">
        <v>17</v>
      </c>
      <c r="L1362" s="1" t="s">
        <v>18</v>
      </c>
      <c r="M1362" s="1" t="s">
        <v>2901</v>
      </c>
      <c r="N1362" s="1" t="s">
        <v>2904</v>
      </c>
    </row>
    <row r="1363" spans="1:14" x14ac:dyDescent="0.35">
      <c r="A1363">
        <v>3505035</v>
      </c>
      <c r="B1363" s="1" t="s">
        <v>2856</v>
      </c>
      <c r="C1363">
        <v>42352</v>
      </c>
      <c r="D1363">
        <v>881</v>
      </c>
      <c r="E1363" s="1" t="s">
        <v>1745</v>
      </c>
      <c r="F1363" s="1" t="s">
        <v>15</v>
      </c>
      <c r="G1363" s="1" t="s">
        <v>32</v>
      </c>
      <c r="H1363">
        <v>31</v>
      </c>
      <c r="I1363">
        <v>36</v>
      </c>
      <c r="J1363">
        <v>139</v>
      </c>
      <c r="K1363" s="1" t="s">
        <v>23</v>
      </c>
      <c r="L1363" s="1" t="s">
        <v>24</v>
      </c>
      <c r="M1363" s="1" t="s">
        <v>2901</v>
      </c>
      <c r="N1363" s="1" t="s">
        <v>2905</v>
      </c>
    </row>
    <row r="1364" spans="1:14" x14ac:dyDescent="0.35">
      <c r="A1364">
        <v>3505043</v>
      </c>
      <c r="B1364" s="1" t="s">
        <v>2856</v>
      </c>
      <c r="C1364">
        <v>42352</v>
      </c>
      <c r="D1364">
        <v>881</v>
      </c>
      <c r="E1364" s="1" t="s">
        <v>2906</v>
      </c>
      <c r="F1364" s="1" t="s">
        <v>15</v>
      </c>
      <c r="G1364" s="1" t="s">
        <v>32</v>
      </c>
      <c r="H1364">
        <v>101</v>
      </c>
      <c r="I1364">
        <v>31</v>
      </c>
      <c r="J1364">
        <v>104</v>
      </c>
      <c r="K1364" s="1" t="s">
        <v>23</v>
      </c>
      <c r="L1364" s="1" t="s">
        <v>24</v>
      </c>
      <c r="M1364" s="1" t="s">
        <v>2901</v>
      </c>
      <c r="N1364" s="1" t="s">
        <v>2907</v>
      </c>
    </row>
    <row r="1365" spans="1:14" x14ac:dyDescent="0.35">
      <c r="A1365">
        <v>3505044</v>
      </c>
      <c r="B1365" s="1" t="s">
        <v>2856</v>
      </c>
      <c r="C1365">
        <v>42352</v>
      </c>
      <c r="D1365">
        <v>881</v>
      </c>
      <c r="E1365" s="1" t="s">
        <v>2908</v>
      </c>
      <c r="F1365" s="1" t="s">
        <v>15</v>
      </c>
      <c r="G1365" s="1" t="s">
        <v>22</v>
      </c>
      <c r="H1365">
        <v>62</v>
      </c>
      <c r="I1365">
        <v>18</v>
      </c>
      <c r="J1365">
        <v>62</v>
      </c>
      <c r="K1365" s="1" t="s">
        <v>23</v>
      </c>
      <c r="L1365" s="1" t="s">
        <v>24</v>
      </c>
      <c r="M1365" s="1" t="s">
        <v>2901</v>
      </c>
      <c r="N1365" s="1" t="s">
        <v>2909</v>
      </c>
    </row>
    <row r="1366" spans="1:14" x14ac:dyDescent="0.35">
      <c r="A1366">
        <v>3505024</v>
      </c>
      <c r="B1366" s="1" t="s">
        <v>2856</v>
      </c>
      <c r="C1366">
        <v>42352</v>
      </c>
      <c r="D1366">
        <v>881</v>
      </c>
      <c r="E1366" s="1" t="s">
        <v>2910</v>
      </c>
      <c r="F1366" s="1" t="s">
        <v>15</v>
      </c>
      <c r="G1366" s="1" t="s">
        <v>22</v>
      </c>
      <c r="H1366">
        <v>100</v>
      </c>
      <c r="I1366">
        <v>29</v>
      </c>
      <c r="J1366">
        <v>162</v>
      </c>
      <c r="K1366" s="1" t="s">
        <v>23</v>
      </c>
      <c r="L1366" s="1" t="s">
        <v>24</v>
      </c>
      <c r="M1366" s="1" t="s">
        <v>2901</v>
      </c>
      <c r="N1366" s="1" t="s">
        <v>2911</v>
      </c>
    </row>
    <row r="1367" spans="1:14" x14ac:dyDescent="0.35">
      <c r="A1367">
        <v>3505054</v>
      </c>
      <c r="B1367" s="1" t="s">
        <v>2856</v>
      </c>
      <c r="C1367">
        <v>42352</v>
      </c>
      <c r="D1367">
        <v>881</v>
      </c>
      <c r="E1367" s="1" t="s">
        <v>2912</v>
      </c>
      <c r="F1367" s="1" t="s">
        <v>15</v>
      </c>
      <c r="G1367" s="1" t="s">
        <v>22</v>
      </c>
      <c r="H1367">
        <v>59</v>
      </c>
      <c r="I1367">
        <v>69</v>
      </c>
      <c r="J1367">
        <v>96</v>
      </c>
      <c r="K1367" s="1" t="s">
        <v>23</v>
      </c>
      <c r="L1367" s="1" t="s">
        <v>24</v>
      </c>
      <c r="M1367" s="1" t="s">
        <v>2901</v>
      </c>
      <c r="N1367" s="1" t="s">
        <v>2913</v>
      </c>
    </row>
    <row r="1368" spans="1:14" x14ac:dyDescent="0.35">
      <c r="A1368">
        <v>3505041</v>
      </c>
      <c r="B1368" s="1" t="s">
        <v>2856</v>
      </c>
      <c r="C1368">
        <v>42352</v>
      </c>
      <c r="D1368">
        <v>881</v>
      </c>
      <c r="E1368" s="1" t="s">
        <v>2914</v>
      </c>
      <c r="F1368" s="1" t="s">
        <v>15</v>
      </c>
      <c r="G1368" s="1" t="s">
        <v>22</v>
      </c>
      <c r="H1368">
        <v>73</v>
      </c>
      <c r="I1368">
        <v>29</v>
      </c>
      <c r="J1368">
        <v>148</v>
      </c>
      <c r="K1368" s="1" t="s">
        <v>23</v>
      </c>
      <c r="L1368" s="1" t="s">
        <v>24</v>
      </c>
      <c r="M1368" s="1" t="s">
        <v>2901</v>
      </c>
      <c r="N1368" s="1" t="s">
        <v>2915</v>
      </c>
    </row>
    <row r="1369" spans="1:14" x14ac:dyDescent="0.35">
      <c r="A1369">
        <v>3522064</v>
      </c>
      <c r="B1369" s="1" t="s">
        <v>2856</v>
      </c>
      <c r="C1369">
        <v>42352</v>
      </c>
      <c r="D1369">
        <v>881</v>
      </c>
      <c r="E1369" s="1" t="s">
        <v>2916</v>
      </c>
      <c r="F1369" s="1" t="s">
        <v>71</v>
      </c>
      <c r="G1369" s="1" t="s">
        <v>32</v>
      </c>
      <c r="H1369">
        <v>71</v>
      </c>
      <c r="I1369">
        <v>23</v>
      </c>
      <c r="J1369">
        <v>181</v>
      </c>
      <c r="K1369" s="1" t="s">
        <v>23</v>
      </c>
      <c r="L1369" s="1" t="s">
        <v>24</v>
      </c>
      <c r="M1369" s="1" t="s">
        <v>2917</v>
      </c>
      <c r="N1369" s="1" t="s">
        <v>2918</v>
      </c>
    </row>
    <row r="1370" spans="1:14" x14ac:dyDescent="0.35">
      <c r="A1370">
        <v>3522014</v>
      </c>
      <c r="B1370" s="1" t="s">
        <v>2856</v>
      </c>
      <c r="C1370">
        <v>42352</v>
      </c>
      <c r="D1370">
        <v>881</v>
      </c>
      <c r="E1370" s="1" t="s">
        <v>2919</v>
      </c>
      <c r="F1370" s="1" t="s">
        <v>15</v>
      </c>
      <c r="G1370" s="1" t="s">
        <v>16</v>
      </c>
      <c r="H1370">
        <v>500</v>
      </c>
      <c r="I1370">
        <v>86</v>
      </c>
      <c r="J1370">
        <v>635</v>
      </c>
      <c r="K1370" s="1" t="s">
        <v>17</v>
      </c>
      <c r="L1370" s="1" t="s">
        <v>18</v>
      </c>
      <c r="M1370" s="1" t="s">
        <v>2917</v>
      </c>
      <c r="N1370" s="1" t="s">
        <v>2920</v>
      </c>
    </row>
    <row r="1371" spans="1:14" x14ac:dyDescent="0.35">
      <c r="A1371">
        <v>3522025</v>
      </c>
      <c r="B1371" s="1" t="s">
        <v>2856</v>
      </c>
      <c r="C1371">
        <v>42352</v>
      </c>
      <c r="D1371">
        <v>881</v>
      </c>
      <c r="E1371" s="1" t="s">
        <v>2921</v>
      </c>
      <c r="F1371" s="1" t="s">
        <v>15</v>
      </c>
      <c r="G1371" s="1" t="s">
        <v>32</v>
      </c>
      <c r="H1371">
        <v>159</v>
      </c>
      <c r="I1371">
        <v>29</v>
      </c>
      <c r="J1371">
        <v>307</v>
      </c>
      <c r="K1371" s="1" t="s">
        <v>23</v>
      </c>
      <c r="L1371" s="1" t="s">
        <v>24</v>
      </c>
      <c r="M1371" s="1" t="s">
        <v>2917</v>
      </c>
      <c r="N1371" s="1" t="s">
        <v>2922</v>
      </c>
    </row>
    <row r="1372" spans="1:14" x14ac:dyDescent="0.35">
      <c r="A1372">
        <v>3522058</v>
      </c>
      <c r="B1372" s="1" t="s">
        <v>2856</v>
      </c>
      <c r="C1372">
        <v>42352</v>
      </c>
      <c r="D1372">
        <v>881</v>
      </c>
      <c r="E1372" s="1" t="s">
        <v>2923</v>
      </c>
      <c r="F1372" s="1" t="s">
        <v>15</v>
      </c>
      <c r="G1372" s="1" t="s">
        <v>32</v>
      </c>
      <c r="H1372">
        <v>146</v>
      </c>
      <c r="I1372">
        <v>29</v>
      </c>
      <c r="J1372">
        <v>199</v>
      </c>
      <c r="K1372" s="1" t="s">
        <v>17</v>
      </c>
      <c r="L1372" s="1" t="s">
        <v>18</v>
      </c>
      <c r="M1372" s="1" t="s">
        <v>2917</v>
      </c>
      <c r="N1372" s="1" t="s">
        <v>2924</v>
      </c>
    </row>
    <row r="1373" spans="1:14" x14ac:dyDescent="0.35">
      <c r="A1373">
        <v>3522059</v>
      </c>
      <c r="B1373" s="1" t="s">
        <v>2856</v>
      </c>
      <c r="C1373">
        <v>42352</v>
      </c>
      <c r="D1373">
        <v>881</v>
      </c>
      <c r="E1373" s="1" t="s">
        <v>2925</v>
      </c>
      <c r="F1373" s="1" t="s">
        <v>15</v>
      </c>
      <c r="G1373" s="1" t="s">
        <v>32</v>
      </c>
      <c r="H1373">
        <v>100</v>
      </c>
      <c r="I1373">
        <v>29</v>
      </c>
      <c r="J1373">
        <v>203</v>
      </c>
      <c r="K1373" s="1" t="s">
        <v>146</v>
      </c>
      <c r="L1373" s="1" t="s">
        <v>120</v>
      </c>
      <c r="M1373" s="1" t="s">
        <v>2917</v>
      </c>
      <c r="N1373" s="1" t="s">
        <v>2926</v>
      </c>
    </row>
    <row r="1374" spans="1:14" x14ac:dyDescent="0.35">
      <c r="A1374">
        <v>3522047</v>
      </c>
      <c r="B1374" s="1" t="s">
        <v>2856</v>
      </c>
      <c r="C1374">
        <v>42352</v>
      </c>
      <c r="D1374">
        <v>881</v>
      </c>
      <c r="E1374" s="1" t="s">
        <v>2927</v>
      </c>
      <c r="F1374" s="1" t="s">
        <v>15</v>
      </c>
      <c r="G1374" s="1" t="s">
        <v>32</v>
      </c>
      <c r="H1374">
        <v>103</v>
      </c>
      <c r="I1374">
        <v>31</v>
      </c>
      <c r="J1374">
        <v>104</v>
      </c>
      <c r="K1374" s="1" t="s">
        <v>17</v>
      </c>
      <c r="L1374" s="1" t="s">
        <v>18</v>
      </c>
      <c r="M1374" s="1" t="s">
        <v>2917</v>
      </c>
      <c r="N1374" s="1" t="s">
        <v>2928</v>
      </c>
    </row>
    <row r="1375" spans="1:14" x14ac:dyDescent="0.35">
      <c r="A1375">
        <v>3522036</v>
      </c>
      <c r="B1375" s="1" t="s">
        <v>2856</v>
      </c>
      <c r="C1375">
        <v>42352</v>
      </c>
      <c r="D1375">
        <v>881</v>
      </c>
      <c r="E1375" s="1" t="s">
        <v>2929</v>
      </c>
      <c r="F1375" s="1" t="s">
        <v>15</v>
      </c>
      <c r="G1375" s="1" t="s">
        <v>22</v>
      </c>
      <c r="H1375">
        <v>93</v>
      </c>
      <c r="I1375">
        <v>29</v>
      </c>
      <c r="J1375">
        <v>150</v>
      </c>
      <c r="K1375" s="1" t="s">
        <v>444</v>
      </c>
      <c r="L1375" s="1" t="s">
        <v>24</v>
      </c>
      <c r="M1375" s="1" t="s">
        <v>2917</v>
      </c>
      <c r="N1375" s="1" t="s">
        <v>2930</v>
      </c>
    </row>
    <row r="1376" spans="1:14" x14ac:dyDescent="0.35">
      <c r="A1376">
        <v>3522060</v>
      </c>
      <c r="B1376" s="1" t="s">
        <v>2856</v>
      </c>
      <c r="C1376">
        <v>42352</v>
      </c>
      <c r="D1376">
        <v>881</v>
      </c>
      <c r="E1376" s="1" t="s">
        <v>2931</v>
      </c>
      <c r="F1376" s="1" t="s">
        <v>15</v>
      </c>
      <c r="G1376" s="1" t="s">
        <v>22</v>
      </c>
      <c r="H1376">
        <v>89</v>
      </c>
      <c r="I1376">
        <v>23</v>
      </c>
      <c r="J1376">
        <v>101</v>
      </c>
      <c r="K1376" s="1" t="s">
        <v>23</v>
      </c>
      <c r="L1376" s="1" t="s">
        <v>24</v>
      </c>
      <c r="M1376" s="1" t="s">
        <v>2917</v>
      </c>
      <c r="N1376" s="1" t="s">
        <v>2932</v>
      </c>
    </row>
    <row r="1377" spans="1:14" x14ac:dyDescent="0.35">
      <c r="A1377">
        <v>3522075</v>
      </c>
      <c r="B1377" s="1" t="s">
        <v>2856</v>
      </c>
      <c r="C1377">
        <v>42352</v>
      </c>
      <c r="D1377">
        <v>881</v>
      </c>
      <c r="E1377" s="1" t="s">
        <v>2933</v>
      </c>
      <c r="F1377" s="1" t="s">
        <v>15</v>
      </c>
      <c r="G1377" s="1" t="s">
        <v>22</v>
      </c>
      <c r="H1377">
        <v>50</v>
      </c>
      <c r="I1377">
        <v>20</v>
      </c>
      <c r="K1377" s="1" t="s">
        <v>17</v>
      </c>
      <c r="L1377" s="1" t="s">
        <v>24</v>
      </c>
      <c r="M1377" s="1" t="s">
        <v>2917</v>
      </c>
      <c r="N1377" s="1" t="s">
        <v>2934</v>
      </c>
    </row>
    <row r="1378" spans="1:14" x14ac:dyDescent="0.35">
      <c r="A1378">
        <v>3522062</v>
      </c>
      <c r="B1378" s="1" t="s">
        <v>2856</v>
      </c>
      <c r="C1378">
        <v>42352</v>
      </c>
      <c r="D1378">
        <v>881</v>
      </c>
      <c r="E1378" s="1" t="s">
        <v>2935</v>
      </c>
      <c r="F1378" s="1" t="s">
        <v>15</v>
      </c>
      <c r="G1378" s="1" t="s">
        <v>22</v>
      </c>
      <c r="H1378">
        <v>43</v>
      </c>
      <c r="I1378">
        <v>32</v>
      </c>
      <c r="J1378">
        <v>76</v>
      </c>
      <c r="K1378" s="1" t="s">
        <v>444</v>
      </c>
      <c r="L1378" s="1" t="s">
        <v>24</v>
      </c>
      <c r="M1378" s="1" t="s">
        <v>2917</v>
      </c>
      <c r="N1378" s="1" t="s">
        <v>2936</v>
      </c>
    </row>
    <row r="1379" spans="1:14" x14ac:dyDescent="0.35">
      <c r="A1379">
        <v>3522061</v>
      </c>
      <c r="B1379" s="1" t="s">
        <v>2856</v>
      </c>
      <c r="C1379">
        <v>42352</v>
      </c>
      <c r="D1379">
        <v>881</v>
      </c>
      <c r="E1379" s="1" t="s">
        <v>2937</v>
      </c>
      <c r="F1379" s="1" t="s">
        <v>15</v>
      </c>
      <c r="G1379" s="1" t="s">
        <v>22</v>
      </c>
      <c r="H1379">
        <v>95</v>
      </c>
      <c r="I1379">
        <v>22</v>
      </c>
      <c r="J1379">
        <v>178</v>
      </c>
      <c r="K1379" s="1" t="s">
        <v>90</v>
      </c>
      <c r="L1379" s="1" t="s">
        <v>24</v>
      </c>
      <c r="M1379" s="1" t="s">
        <v>2917</v>
      </c>
      <c r="N1379" s="1" t="s">
        <v>2938</v>
      </c>
    </row>
    <row r="1380" spans="1:14" x14ac:dyDescent="0.35">
      <c r="A1380">
        <v>3511011</v>
      </c>
      <c r="B1380" s="1" t="s">
        <v>2856</v>
      </c>
      <c r="C1380">
        <v>42352</v>
      </c>
      <c r="D1380">
        <v>881</v>
      </c>
      <c r="E1380" s="1" t="s">
        <v>2939</v>
      </c>
      <c r="F1380" s="1" t="s">
        <v>15</v>
      </c>
      <c r="G1380" s="1" t="s">
        <v>16</v>
      </c>
      <c r="H1380">
        <v>323</v>
      </c>
      <c r="I1380">
        <v>123</v>
      </c>
      <c r="J1380">
        <v>703</v>
      </c>
      <c r="K1380" s="1" t="s">
        <v>17</v>
      </c>
      <c r="L1380" s="1" t="s">
        <v>18</v>
      </c>
      <c r="M1380" s="1" t="s">
        <v>2940</v>
      </c>
      <c r="N1380" s="1" t="s">
        <v>2941</v>
      </c>
    </row>
    <row r="1381" spans="1:14" x14ac:dyDescent="0.35">
      <c r="A1381">
        <v>3511013</v>
      </c>
      <c r="B1381" s="1" t="s">
        <v>2856</v>
      </c>
      <c r="C1381">
        <v>42352</v>
      </c>
      <c r="D1381">
        <v>881</v>
      </c>
      <c r="E1381" s="1" t="s">
        <v>2942</v>
      </c>
      <c r="F1381" s="1" t="s">
        <v>15</v>
      </c>
      <c r="G1381" s="1" t="s">
        <v>32</v>
      </c>
      <c r="H1381">
        <v>147</v>
      </c>
      <c r="I1381">
        <v>21</v>
      </c>
      <c r="J1381">
        <v>190</v>
      </c>
      <c r="K1381" s="1" t="s">
        <v>23</v>
      </c>
      <c r="L1381" s="1" t="s">
        <v>24</v>
      </c>
      <c r="M1381" s="1" t="s">
        <v>2940</v>
      </c>
      <c r="N1381" s="1" t="s">
        <v>2943</v>
      </c>
    </row>
    <row r="1382" spans="1:14" x14ac:dyDescent="0.35">
      <c r="A1382">
        <v>3511012</v>
      </c>
      <c r="B1382" s="1" t="s">
        <v>2856</v>
      </c>
      <c r="C1382">
        <v>42352</v>
      </c>
      <c r="D1382">
        <v>881</v>
      </c>
      <c r="E1382" s="1" t="s">
        <v>2944</v>
      </c>
      <c r="F1382" s="1" t="s">
        <v>15</v>
      </c>
      <c r="G1382" s="1" t="s">
        <v>32</v>
      </c>
      <c r="H1382">
        <v>134</v>
      </c>
      <c r="I1382">
        <v>71</v>
      </c>
      <c r="J1382">
        <v>308</v>
      </c>
      <c r="K1382" s="1" t="s">
        <v>146</v>
      </c>
      <c r="L1382" s="1" t="s">
        <v>120</v>
      </c>
      <c r="M1382" s="1" t="s">
        <v>2940</v>
      </c>
      <c r="N1382" s="1" t="s">
        <v>2945</v>
      </c>
    </row>
    <row r="1383" spans="1:14" x14ac:dyDescent="0.35">
      <c r="A1383">
        <v>3511024</v>
      </c>
      <c r="B1383" s="1" t="s">
        <v>2856</v>
      </c>
      <c r="C1383">
        <v>42352</v>
      </c>
      <c r="D1383">
        <v>881</v>
      </c>
      <c r="E1383" s="1" t="s">
        <v>2946</v>
      </c>
      <c r="F1383" s="1" t="s">
        <v>15</v>
      </c>
      <c r="G1383" s="1" t="s">
        <v>22</v>
      </c>
      <c r="H1383">
        <v>49</v>
      </c>
      <c r="I1383">
        <v>16</v>
      </c>
      <c r="K1383" s="1" t="s">
        <v>23</v>
      </c>
      <c r="L1383" s="1" t="s">
        <v>24</v>
      </c>
      <c r="M1383" s="1" t="s">
        <v>2940</v>
      </c>
      <c r="N1383" s="1" t="s">
        <v>2947</v>
      </c>
    </row>
    <row r="1384" spans="1:14" x14ac:dyDescent="0.35">
      <c r="A1384">
        <v>3525104</v>
      </c>
      <c r="B1384" s="1" t="s">
        <v>2856</v>
      </c>
      <c r="C1384">
        <v>42352</v>
      </c>
      <c r="D1384">
        <v>881</v>
      </c>
      <c r="E1384" s="1" t="s">
        <v>2948</v>
      </c>
      <c r="F1384" s="1" t="s">
        <v>71</v>
      </c>
      <c r="G1384" s="1" t="s">
        <v>32</v>
      </c>
      <c r="H1384">
        <v>34</v>
      </c>
      <c r="I1384">
        <v>16</v>
      </c>
      <c r="J1384">
        <v>27</v>
      </c>
      <c r="K1384" s="1" t="s">
        <v>90</v>
      </c>
      <c r="L1384" s="1" t="s">
        <v>24</v>
      </c>
      <c r="M1384" s="1" t="s">
        <v>2949</v>
      </c>
      <c r="N1384" s="1" t="s">
        <v>2950</v>
      </c>
    </row>
    <row r="1385" spans="1:14" x14ac:dyDescent="0.35">
      <c r="A1385">
        <v>3525021</v>
      </c>
      <c r="B1385" s="1" t="s">
        <v>2856</v>
      </c>
      <c r="C1385">
        <v>42352</v>
      </c>
      <c r="D1385">
        <v>881</v>
      </c>
      <c r="E1385" s="1" t="s">
        <v>2951</v>
      </c>
      <c r="F1385" s="1" t="s">
        <v>15</v>
      </c>
      <c r="G1385" s="1" t="s">
        <v>16</v>
      </c>
      <c r="H1385">
        <v>203</v>
      </c>
      <c r="I1385">
        <v>105</v>
      </c>
      <c r="J1385">
        <v>488</v>
      </c>
      <c r="K1385" s="1" t="s">
        <v>23</v>
      </c>
      <c r="L1385" s="1" t="s">
        <v>24</v>
      </c>
      <c r="M1385" s="1" t="s">
        <v>2949</v>
      </c>
      <c r="N1385" s="1" t="s">
        <v>2952</v>
      </c>
    </row>
    <row r="1386" spans="1:14" x14ac:dyDescent="0.35">
      <c r="A1386">
        <v>3525010</v>
      </c>
      <c r="B1386" s="1" t="s">
        <v>2856</v>
      </c>
      <c r="C1386">
        <v>42352</v>
      </c>
      <c r="D1386">
        <v>881</v>
      </c>
      <c r="E1386" s="1" t="s">
        <v>2953</v>
      </c>
      <c r="F1386" s="1" t="s">
        <v>15</v>
      </c>
      <c r="G1386" s="1" t="s">
        <v>16</v>
      </c>
      <c r="H1386">
        <v>340</v>
      </c>
      <c r="I1386">
        <v>59</v>
      </c>
      <c r="J1386">
        <v>863</v>
      </c>
      <c r="K1386" s="1" t="s">
        <v>17</v>
      </c>
      <c r="L1386" s="1" t="s">
        <v>18</v>
      </c>
      <c r="M1386" s="1" t="s">
        <v>2949</v>
      </c>
      <c r="N1386" s="1" t="s">
        <v>2954</v>
      </c>
    </row>
    <row r="1387" spans="1:14" x14ac:dyDescent="0.35">
      <c r="A1387">
        <v>3525043</v>
      </c>
      <c r="B1387" s="1" t="s">
        <v>2856</v>
      </c>
      <c r="C1387">
        <v>42352</v>
      </c>
      <c r="D1387">
        <v>881</v>
      </c>
      <c r="E1387" s="1" t="s">
        <v>2955</v>
      </c>
      <c r="F1387" s="1" t="s">
        <v>15</v>
      </c>
      <c r="G1387" s="1" t="s">
        <v>32</v>
      </c>
      <c r="H1387">
        <v>113</v>
      </c>
      <c r="I1387">
        <v>37</v>
      </c>
      <c r="J1387">
        <v>66</v>
      </c>
      <c r="K1387" s="1" t="s">
        <v>23</v>
      </c>
      <c r="L1387" s="1" t="s">
        <v>24</v>
      </c>
      <c r="M1387" s="1" t="s">
        <v>2949</v>
      </c>
      <c r="N1387" s="1" t="s">
        <v>2956</v>
      </c>
    </row>
    <row r="1388" spans="1:14" x14ac:dyDescent="0.35">
      <c r="A1388">
        <v>3525088</v>
      </c>
      <c r="B1388" s="1" t="s">
        <v>2856</v>
      </c>
      <c r="C1388">
        <v>42352</v>
      </c>
      <c r="D1388">
        <v>881</v>
      </c>
      <c r="E1388" s="1" t="s">
        <v>2957</v>
      </c>
      <c r="F1388" s="1" t="s">
        <v>15</v>
      </c>
      <c r="G1388" s="1" t="s">
        <v>32</v>
      </c>
      <c r="H1388">
        <v>139</v>
      </c>
      <c r="I1388">
        <v>43</v>
      </c>
      <c r="J1388">
        <v>220</v>
      </c>
      <c r="K1388" s="1" t="s">
        <v>444</v>
      </c>
      <c r="L1388" s="1" t="s">
        <v>24</v>
      </c>
      <c r="M1388" s="1" t="s">
        <v>2949</v>
      </c>
      <c r="N1388" s="1" t="s">
        <v>2958</v>
      </c>
    </row>
    <row r="1389" spans="1:14" x14ac:dyDescent="0.35">
      <c r="A1389">
        <v>3525076</v>
      </c>
      <c r="B1389" s="1" t="s">
        <v>2856</v>
      </c>
      <c r="C1389">
        <v>42352</v>
      </c>
      <c r="D1389">
        <v>881</v>
      </c>
      <c r="E1389" s="1" t="s">
        <v>2959</v>
      </c>
      <c r="F1389" s="1" t="s">
        <v>15</v>
      </c>
      <c r="G1389" s="1" t="s">
        <v>32</v>
      </c>
      <c r="H1389">
        <v>123</v>
      </c>
      <c r="I1389">
        <v>80</v>
      </c>
      <c r="J1389">
        <v>372</v>
      </c>
      <c r="K1389" s="1" t="s">
        <v>23</v>
      </c>
      <c r="L1389" s="1" t="s">
        <v>24</v>
      </c>
      <c r="M1389" s="1" t="s">
        <v>2949</v>
      </c>
      <c r="N1389" s="1" t="s">
        <v>2960</v>
      </c>
    </row>
    <row r="1390" spans="1:14" x14ac:dyDescent="0.35">
      <c r="A1390">
        <v>3525096</v>
      </c>
      <c r="B1390" s="1" t="s">
        <v>2856</v>
      </c>
      <c r="C1390">
        <v>42352</v>
      </c>
      <c r="D1390">
        <v>881</v>
      </c>
      <c r="E1390" s="1" t="s">
        <v>2961</v>
      </c>
      <c r="F1390" s="1" t="s">
        <v>15</v>
      </c>
      <c r="G1390" s="1" t="s">
        <v>32</v>
      </c>
      <c r="H1390">
        <v>101</v>
      </c>
      <c r="I1390">
        <v>49</v>
      </c>
      <c r="J1390">
        <v>160</v>
      </c>
      <c r="K1390" s="1" t="s">
        <v>23</v>
      </c>
      <c r="L1390" s="1" t="s">
        <v>24</v>
      </c>
      <c r="M1390" s="1" t="s">
        <v>2949</v>
      </c>
      <c r="N1390" s="1" t="s">
        <v>2962</v>
      </c>
    </row>
    <row r="1391" spans="1:14" x14ac:dyDescent="0.35">
      <c r="A1391">
        <v>3525093</v>
      </c>
      <c r="B1391" s="1" t="s">
        <v>2856</v>
      </c>
      <c r="C1391">
        <v>42352</v>
      </c>
      <c r="D1391">
        <v>881</v>
      </c>
      <c r="E1391" s="1" t="s">
        <v>2963</v>
      </c>
      <c r="F1391" s="1" t="s">
        <v>15</v>
      </c>
      <c r="G1391" s="1" t="s">
        <v>32</v>
      </c>
      <c r="H1391">
        <v>104</v>
      </c>
      <c r="I1391">
        <v>61</v>
      </c>
      <c r="J1391">
        <v>316</v>
      </c>
      <c r="K1391" s="1" t="s">
        <v>90</v>
      </c>
      <c r="L1391" s="1" t="s">
        <v>24</v>
      </c>
      <c r="M1391" s="1" t="s">
        <v>2949</v>
      </c>
      <c r="N1391" s="1" t="s">
        <v>2964</v>
      </c>
    </row>
    <row r="1392" spans="1:14" x14ac:dyDescent="0.35">
      <c r="A1392">
        <v>3525092</v>
      </c>
      <c r="B1392" s="1" t="s">
        <v>2856</v>
      </c>
      <c r="C1392">
        <v>42352</v>
      </c>
      <c r="D1392">
        <v>881</v>
      </c>
      <c r="E1392" s="1" t="s">
        <v>2965</v>
      </c>
      <c r="F1392" s="1" t="s">
        <v>15</v>
      </c>
      <c r="G1392" s="1" t="s">
        <v>22</v>
      </c>
      <c r="H1392">
        <v>50</v>
      </c>
      <c r="I1392">
        <v>33</v>
      </c>
      <c r="J1392">
        <v>147</v>
      </c>
      <c r="K1392" s="1" t="s">
        <v>90</v>
      </c>
      <c r="L1392" s="1" t="s">
        <v>24</v>
      </c>
      <c r="M1392" s="1" t="s">
        <v>2949</v>
      </c>
      <c r="N1392" s="1" t="s">
        <v>2966</v>
      </c>
    </row>
    <row r="1393" spans="1:14" x14ac:dyDescent="0.35">
      <c r="A1393">
        <v>3525089</v>
      </c>
      <c r="B1393" s="1" t="s">
        <v>2856</v>
      </c>
      <c r="C1393">
        <v>42352</v>
      </c>
      <c r="D1393">
        <v>881</v>
      </c>
      <c r="E1393" s="1" t="s">
        <v>2967</v>
      </c>
      <c r="F1393" s="1" t="s">
        <v>15</v>
      </c>
      <c r="G1393" s="1" t="s">
        <v>22</v>
      </c>
      <c r="H1393">
        <v>51</v>
      </c>
      <c r="I1393">
        <v>25</v>
      </c>
      <c r="J1393">
        <v>102</v>
      </c>
      <c r="K1393" s="1" t="s">
        <v>23</v>
      </c>
      <c r="L1393" s="1" t="s">
        <v>24</v>
      </c>
      <c r="M1393" s="1" t="s">
        <v>2949</v>
      </c>
      <c r="N1393" s="1" t="s">
        <v>2968</v>
      </c>
    </row>
    <row r="1394" spans="1:14" x14ac:dyDescent="0.35">
      <c r="A1394">
        <v>3525091</v>
      </c>
      <c r="B1394" s="1" t="s">
        <v>2856</v>
      </c>
      <c r="C1394">
        <v>42352</v>
      </c>
      <c r="D1394">
        <v>881</v>
      </c>
      <c r="E1394" s="1" t="s">
        <v>2969</v>
      </c>
      <c r="F1394" s="1" t="s">
        <v>15</v>
      </c>
      <c r="G1394" s="1" t="s">
        <v>22</v>
      </c>
      <c r="H1394">
        <v>60</v>
      </c>
      <c r="I1394">
        <v>33</v>
      </c>
      <c r="J1394">
        <v>74</v>
      </c>
      <c r="K1394" s="1" t="s">
        <v>90</v>
      </c>
      <c r="L1394" s="1" t="s">
        <v>24</v>
      </c>
      <c r="M1394" s="1" t="s">
        <v>2949</v>
      </c>
      <c r="N1394" s="1" t="s">
        <v>2970</v>
      </c>
    </row>
    <row r="1395" spans="1:14" x14ac:dyDescent="0.35">
      <c r="A1395">
        <v>3525098</v>
      </c>
      <c r="B1395" s="1" t="s">
        <v>2856</v>
      </c>
      <c r="C1395">
        <v>42352</v>
      </c>
      <c r="D1395">
        <v>881</v>
      </c>
      <c r="E1395" s="1" t="s">
        <v>2971</v>
      </c>
      <c r="F1395" s="1" t="s">
        <v>15</v>
      </c>
      <c r="G1395" s="1" t="s">
        <v>22</v>
      </c>
      <c r="H1395">
        <v>52</v>
      </c>
      <c r="I1395">
        <v>22</v>
      </c>
      <c r="J1395">
        <v>23</v>
      </c>
      <c r="K1395" s="1" t="s">
        <v>23</v>
      </c>
      <c r="L1395" s="1" t="s">
        <v>24</v>
      </c>
      <c r="M1395" s="1" t="s">
        <v>2949</v>
      </c>
      <c r="N1395" s="1" t="s">
        <v>2972</v>
      </c>
    </row>
    <row r="1396" spans="1:14" x14ac:dyDescent="0.35">
      <c r="A1396">
        <v>3525095</v>
      </c>
      <c r="B1396" s="1" t="s">
        <v>2856</v>
      </c>
      <c r="C1396">
        <v>42352</v>
      </c>
      <c r="D1396">
        <v>881</v>
      </c>
      <c r="E1396" s="1" t="s">
        <v>2973</v>
      </c>
      <c r="F1396" s="1" t="s">
        <v>15</v>
      </c>
      <c r="G1396" s="1" t="s">
        <v>22</v>
      </c>
      <c r="H1396">
        <v>58</v>
      </c>
      <c r="I1396">
        <v>28</v>
      </c>
      <c r="J1396">
        <v>126</v>
      </c>
      <c r="K1396" s="1" t="s">
        <v>23</v>
      </c>
      <c r="L1396" s="1" t="s">
        <v>24</v>
      </c>
      <c r="M1396" s="1" t="s">
        <v>2949</v>
      </c>
      <c r="N1396" s="1" t="s">
        <v>2974</v>
      </c>
    </row>
    <row r="1397" spans="1:14" x14ac:dyDescent="0.35">
      <c r="A1397">
        <v>3525099</v>
      </c>
      <c r="B1397" s="1" t="s">
        <v>2856</v>
      </c>
      <c r="C1397">
        <v>42352</v>
      </c>
      <c r="D1397">
        <v>881</v>
      </c>
      <c r="E1397" s="1" t="s">
        <v>2975</v>
      </c>
      <c r="F1397" s="1" t="s">
        <v>15</v>
      </c>
      <c r="G1397" s="1" t="s">
        <v>22</v>
      </c>
      <c r="H1397">
        <v>55</v>
      </c>
      <c r="I1397">
        <v>24</v>
      </c>
      <c r="J1397">
        <v>74</v>
      </c>
      <c r="K1397" s="1" t="s">
        <v>23</v>
      </c>
      <c r="L1397" s="1" t="s">
        <v>24</v>
      </c>
      <c r="M1397" s="1" t="s">
        <v>2949</v>
      </c>
      <c r="N1397" s="1" t="s">
        <v>2976</v>
      </c>
    </row>
    <row r="1398" spans="1:14" x14ac:dyDescent="0.35">
      <c r="A1398">
        <v>3525087</v>
      </c>
      <c r="B1398" s="1" t="s">
        <v>2856</v>
      </c>
      <c r="C1398">
        <v>42352</v>
      </c>
      <c r="D1398">
        <v>881</v>
      </c>
      <c r="E1398" s="1" t="s">
        <v>2977</v>
      </c>
      <c r="F1398" s="1" t="s">
        <v>15</v>
      </c>
      <c r="G1398" s="1" t="s">
        <v>22</v>
      </c>
      <c r="H1398">
        <v>46</v>
      </c>
      <c r="I1398">
        <v>36</v>
      </c>
      <c r="J1398">
        <v>100</v>
      </c>
      <c r="K1398" s="1" t="s">
        <v>23</v>
      </c>
      <c r="L1398" s="1" t="s">
        <v>24</v>
      </c>
      <c r="M1398" s="1" t="s">
        <v>2949</v>
      </c>
      <c r="N1398" s="1" t="s">
        <v>2978</v>
      </c>
    </row>
    <row r="1399" spans="1:14" x14ac:dyDescent="0.35">
      <c r="A1399">
        <v>3525101</v>
      </c>
      <c r="B1399" s="1" t="s">
        <v>2856</v>
      </c>
      <c r="C1399">
        <v>42352</v>
      </c>
      <c r="D1399">
        <v>881</v>
      </c>
      <c r="E1399" s="1" t="s">
        <v>2979</v>
      </c>
      <c r="F1399" s="1" t="s">
        <v>15</v>
      </c>
      <c r="G1399" s="1" t="s">
        <v>22</v>
      </c>
      <c r="H1399">
        <v>50</v>
      </c>
      <c r="I1399">
        <v>20</v>
      </c>
      <c r="J1399">
        <v>97</v>
      </c>
      <c r="K1399" s="1" t="s">
        <v>17</v>
      </c>
      <c r="L1399" s="1" t="s">
        <v>18</v>
      </c>
      <c r="M1399" s="1" t="s">
        <v>2949</v>
      </c>
      <c r="N1399" s="1" t="s">
        <v>2980</v>
      </c>
    </row>
    <row r="1400" spans="1:14" x14ac:dyDescent="0.35">
      <c r="A1400">
        <v>3525090</v>
      </c>
      <c r="B1400" s="1" t="s">
        <v>2856</v>
      </c>
      <c r="C1400">
        <v>42352</v>
      </c>
      <c r="D1400">
        <v>881</v>
      </c>
      <c r="E1400" s="1" t="s">
        <v>2981</v>
      </c>
      <c r="F1400" s="1" t="s">
        <v>15</v>
      </c>
      <c r="G1400" s="1" t="s">
        <v>22</v>
      </c>
      <c r="H1400">
        <v>61</v>
      </c>
      <c r="I1400">
        <v>67</v>
      </c>
      <c r="J1400">
        <v>177</v>
      </c>
      <c r="K1400" s="1" t="s">
        <v>23</v>
      </c>
      <c r="L1400" s="1" t="s">
        <v>24</v>
      </c>
      <c r="M1400" s="1" t="s">
        <v>2949</v>
      </c>
      <c r="N1400" s="1" t="s">
        <v>2982</v>
      </c>
    </row>
    <row r="1401" spans="1:14" x14ac:dyDescent="0.35">
      <c r="A1401">
        <v>3525102</v>
      </c>
      <c r="B1401" s="1" t="s">
        <v>2856</v>
      </c>
      <c r="C1401">
        <v>42352</v>
      </c>
      <c r="D1401">
        <v>881</v>
      </c>
      <c r="E1401" s="1" t="s">
        <v>2983</v>
      </c>
      <c r="F1401" s="1" t="s">
        <v>15</v>
      </c>
      <c r="G1401" s="1" t="s">
        <v>22</v>
      </c>
      <c r="H1401">
        <v>69</v>
      </c>
      <c r="I1401">
        <v>58</v>
      </c>
      <c r="J1401">
        <v>32</v>
      </c>
      <c r="K1401" s="1" t="s">
        <v>90</v>
      </c>
      <c r="L1401" s="1" t="s">
        <v>24</v>
      </c>
      <c r="M1401" s="1" t="s">
        <v>2949</v>
      </c>
      <c r="N1401" s="1" t="s">
        <v>2984</v>
      </c>
    </row>
    <row r="1402" spans="1:14" x14ac:dyDescent="0.35">
      <c r="A1402">
        <v>3525097</v>
      </c>
      <c r="B1402" s="1" t="s">
        <v>2856</v>
      </c>
      <c r="C1402">
        <v>42352</v>
      </c>
      <c r="D1402">
        <v>881</v>
      </c>
      <c r="E1402" s="1" t="s">
        <v>2985</v>
      </c>
      <c r="F1402" s="1" t="s">
        <v>15</v>
      </c>
      <c r="G1402" s="1" t="s">
        <v>22</v>
      </c>
      <c r="H1402">
        <v>106</v>
      </c>
      <c r="I1402">
        <v>45</v>
      </c>
      <c r="J1402">
        <v>94</v>
      </c>
      <c r="K1402" s="1" t="s">
        <v>23</v>
      </c>
      <c r="L1402" s="1" t="s">
        <v>24</v>
      </c>
      <c r="M1402" s="1" t="s">
        <v>2949</v>
      </c>
      <c r="N1402" s="1" t="s">
        <v>2986</v>
      </c>
    </row>
    <row r="1403" spans="1:14" x14ac:dyDescent="0.35">
      <c r="A1403">
        <v>3509112</v>
      </c>
      <c r="B1403" s="1" t="s">
        <v>2856</v>
      </c>
      <c r="C1403">
        <v>42352</v>
      </c>
      <c r="D1403">
        <v>881</v>
      </c>
      <c r="E1403" s="1" t="s">
        <v>2987</v>
      </c>
      <c r="F1403" s="1" t="s">
        <v>119</v>
      </c>
      <c r="G1403" s="1" t="s">
        <v>32</v>
      </c>
      <c r="H1403">
        <v>21</v>
      </c>
      <c r="I1403">
        <v>21</v>
      </c>
      <c r="J1403">
        <v>112</v>
      </c>
      <c r="K1403" s="1" t="s">
        <v>49</v>
      </c>
      <c r="L1403" s="1" t="s">
        <v>120</v>
      </c>
      <c r="M1403" s="1" t="s">
        <v>2988</v>
      </c>
      <c r="N1403" s="1" t="s">
        <v>2989</v>
      </c>
    </row>
    <row r="1404" spans="1:14" x14ac:dyDescent="0.35">
      <c r="A1404">
        <v>3509043</v>
      </c>
      <c r="B1404" s="1" t="s">
        <v>2856</v>
      </c>
      <c r="C1404">
        <v>42352</v>
      </c>
      <c r="D1404">
        <v>881</v>
      </c>
      <c r="E1404" s="1" t="s">
        <v>2990</v>
      </c>
      <c r="F1404" s="1" t="s">
        <v>1431</v>
      </c>
      <c r="G1404" s="1" t="s">
        <v>16</v>
      </c>
      <c r="H1404">
        <v>102</v>
      </c>
      <c r="I1404">
        <v>44</v>
      </c>
      <c r="J1404">
        <v>166</v>
      </c>
      <c r="K1404" s="1" t="s">
        <v>124</v>
      </c>
      <c r="L1404" s="1" t="s">
        <v>18</v>
      </c>
      <c r="M1404" s="1" t="s">
        <v>2988</v>
      </c>
      <c r="N1404" s="1" t="s">
        <v>2991</v>
      </c>
    </row>
    <row r="1405" spans="1:14" x14ac:dyDescent="0.35">
      <c r="A1405">
        <v>3509010</v>
      </c>
      <c r="B1405" s="1" t="s">
        <v>2856</v>
      </c>
      <c r="C1405">
        <v>42352</v>
      </c>
      <c r="D1405">
        <v>881</v>
      </c>
      <c r="E1405" s="1" t="s">
        <v>2992</v>
      </c>
      <c r="F1405" s="1" t="s">
        <v>15</v>
      </c>
      <c r="G1405" s="1" t="s">
        <v>16</v>
      </c>
      <c r="H1405">
        <v>389</v>
      </c>
      <c r="I1405">
        <v>90</v>
      </c>
      <c r="J1405">
        <v>1196</v>
      </c>
      <c r="K1405" s="1" t="s">
        <v>17</v>
      </c>
      <c r="L1405" s="1" t="s">
        <v>18</v>
      </c>
      <c r="M1405" s="1" t="s">
        <v>2988</v>
      </c>
      <c r="N1405" s="1" t="s">
        <v>2993</v>
      </c>
    </row>
    <row r="1406" spans="1:14" x14ac:dyDescent="0.35">
      <c r="A1406">
        <v>3509140</v>
      </c>
      <c r="B1406" s="1" t="s">
        <v>2856</v>
      </c>
      <c r="C1406">
        <v>42352</v>
      </c>
      <c r="D1406">
        <v>881</v>
      </c>
      <c r="E1406" s="1" t="s">
        <v>2994</v>
      </c>
      <c r="F1406" s="1" t="s">
        <v>15</v>
      </c>
      <c r="G1406" s="1" t="s">
        <v>32</v>
      </c>
      <c r="H1406">
        <v>100</v>
      </c>
      <c r="I1406">
        <v>33</v>
      </c>
      <c r="J1406">
        <v>157</v>
      </c>
      <c r="K1406" s="1" t="s">
        <v>23</v>
      </c>
      <c r="L1406" s="1" t="s">
        <v>24</v>
      </c>
      <c r="M1406" s="1" t="s">
        <v>2988</v>
      </c>
      <c r="N1406" s="1" t="s">
        <v>2995</v>
      </c>
    </row>
    <row r="1407" spans="1:14" x14ac:dyDescent="0.35">
      <c r="A1407">
        <v>3509136</v>
      </c>
      <c r="B1407" s="1" t="s">
        <v>2856</v>
      </c>
      <c r="C1407">
        <v>42352</v>
      </c>
      <c r="D1407">
        <v>881</v>
      </c>
      <c r="E1407" s="1" t="s">
        <v>2996</v>
      </c>
      <c r="F1407" s="1" t="s">
        <v>15</v>
      </c>
      <c r="G1407" s="1" t="s">
        <v>32</v>
      </c>
      <c r="H1407">
        <v>125</v>
      </c>
      <c r="I1407">
        <v>34</v>
      </c>
      <c r="J1407">
        <v>287</v>
      </c>
      <c r="K1407" s="1" t="s">
        <v>23</v>
      </c>
      <c r="L1407" s="1" t="s">
        <v>24</v>
      </c>
      <c r="M1407" s="1" t="s">
        <v>2988</v>
      </c>
      <c r="N1407" s="1" t="s">
        <v>2997</v>
      </c>
    </row>
    <row r="1408" spans="1:14" x14ac:dyDescent="0.35">
      <c r="A1408">
        <v>3509021</v>
      </c>
      <c r="B1408" s="1" t="s">
        <v>2856</v>
      </c>
      <c r="C1408">
        <v>42352</v>
      </c>
      <c r="D1408">
        <v>881</v>
      </c>
      <c r="E1408" s="1" t="s">
        <v>2998</v>
      </c>
      <c r="F1408" s="1" t="s">
        <v>15</v>
      </c>
      <c r="G1408" s="1" t="s">
        <v>32</v>
      </c>
      <c r="H1408">
        <v>167</v>
      </c>
      <c r="I1408">
        <v>48</v>
      </c>
      <c r="J1408">
        <v>359</v>
      </c>
      <c r="K1408" s="1" t="s">
        <v>61</v>
      </c>
      <c r="L1408" s="1" t="s">
        <v>24</v>
      </c>
      <c r="M1408" s="1" t="s">
        <v>2988</v>
      </c>
      <c r="N1408" s="1" t="s">
        <v>2999</v>
      </c>
    </row>
    <row r="1409" spans="1:14" x14ac:dyDescent="0.35">
      <c r="A1409">
        <v>3509135</v>
      </c>
      <c r="B1409" s="1" t="s">
        <v>2856</v>
      </c>
      <c r="C1409">
        <v>42352</v>
      </c>
      <c r="D1409">
        <v>881</v>
      </c>
      <c r="E1409" s="1" t="s">
        <v>3000</v>
      </c>
      <c r="F1409" s="1" t="s">
        <v>15</v>
      </c>
      <c r="G1409" s="1" t="s">
        <v>32</v>
      </c>
      <c r="H1409">
        <v>190</v>
      </c>
      <c r="I1409">
        <v>112</v>
      </c>
      <c r="J1409">
        <v>797</v>
      </c>
      <c r="K1409" s="1" t="s">
        <v>23</v>
      </c>
      <c r="L1409" s="1" t="s">
        <v>24</v>
      </c>
      <c r="M1409" s="1" t="s">
        <v>2988</v>
      </c>
      <c r="N1409" s="1" t="s">
        <v>3001</v>
      </c>
    </row>
    <row r="1410" spans="1:14" x14ac:dyDescent="0.35">
      <c r="A1410">
        <v>3509138</v>
      </c>
      <c r="B1410" s="1" t="s">
        <v>2856</v>
      </c>
      <c r="C1410">
        <v>42352</v>
      </c>
      <c r="D1410">
        <v>881</v>
      </c>
      <c r="E1410" s="1" t="s">
        <v>3002</v>
      </c>
      <c r="F1410" s="1" t="s">
        <v>15</v>
      </c>
      <c r="G1410" s="1" t="s">
        <v>32</v>
      </c>
      <c r="H1410">
        <v>140</v>
      </c>
      <c r="I1410">
        <v>81</v>
      </c>
      <c r="J1410">
        <v>358</v>
      </c>
      <c r="K1410" s="1" t="s">
        <v>90</v>
      </c>
      <c r="L1410" s="1" t="s">
        <v>24</v>
      </c>
      <c r="M1410" s="1" t="s">
        <v>2988</v>
      </c>
      <c r="N1410" s="1" t="s">
        <v>3003</v>
      </c>
    </row>
    <row r="1411" spans="1:14" x14ac:dyDescent="0.35">
      <c r="A1411">
        <v>3509123</v>
      </c>
      <c r="B1411" s="1" t="s">
        <v>2856</v>
      </c>
      <c r="C1411">
        <v>42352</v>
      </c>
      <c r="D1411">
        <v>881</v>
      </c>
      <c r="E1411" s="1" t="s">
        <v>3004</v>
      </c>
      <c r="F1411" s="1" t="s">
        <v>15</v>
      </c>
      <c r="G1411" s="1" t="s">
        <v>32</v>
      </c>
      <c r="H1411">
        <v>116</v>
      </c>
      <c r="I1411">
        <v>31</v>
      </c>
      <c r="J1411">
        <v>275</v>
      </c>
      <c r="K1411" s="1" t="s">
        <v>17</v>
      </c>
      <c r="L1411" s="1" t="s">
        <v>18</v>
      </c>
      <c r="M1411" s="1" t="s">
        <v>2988</v>
      </c>
      <c r="N1411" s="1" t="s">
        <v>3005</v>
      </c>
    </row>
    <row r="1412" spans="1:14" x14ac:dyDescent="0.35">
      <c r="A1412">
        <v>3509134</v>
      </c>
      <c r="B1412" s="1" t="s">
        <v>2856</v>
      </c>
      <c r="C1412">
        <v>42352</v>
      </c>
      <c r="D1412">
        <v>881</v>
      </c>
      <c r="E1412" s="1" t="s">
        <v>3006</v>
      </c>
      <c r="F1412" s="1" t="s">
        <v>15</v>
      </c>
      <c r="G1412" s="1" t="s">
        <v>32</v>
      </c>
      <c r="H1412">
        <v>150</v>
      </c>
      <c r="I1412">
        <v>44</v>
      </c>
      <c r="J1412">
        <v>353</v>
      </c>
      <c r="K1412" s="1" t="s">
        <v>17</v>
      </c>
      <c r="L1412" s="1" t="s">
        <v>18</v>
      </c>
      <c r="M1412" s="1" t="s">
        <v>2988</v>
      </c>
      <c r="N1412" s="1" t="s">
        <v>3007</v>
      </c>
    </row>
    <row r="1413" spans="1:14" x14ac:dyDescent="0.35">
      <c r="A1413">
        <v>3509137</v>
      </c>
      <c r="B1413" s="1" t="s">
        <v>2856</v>
      </c>
      <c r="C1413">
        <v>42352</v>
      </c>
      <c r="D1413">
        <v>881</v>
      </c>
      <c r="E1413" s="1" t="s">
        <v>3008</v>
      </c>
      <c r="F1413" s="1" t="s">
        <v>15</v>
      </c>
      <c r="G1413" s="1" t="s">
        <v>32</v>
      </c>
      <c r="H1413">
        <v>100</v>
      </c>
      <c r="I1413">
        <v>16</v>
      </c>
      <c r="J1413">
        <v>155</v>
      </c>
      <c r="K1413" s="1" t="s">
        <v>84</v>
      </c>
      <c r="L1413" s="1" t="s">
        <v>24</v>
      </c>
      <c r="M1413" s="1" t="s">
        <v>2988</v>
      </c>
      <c r="N1413" s="1" t="s">
        <v>3009</v>
      </c>
    </row>
    <row r="1414" spans="1:14" x14ac:dyDescent="0.35">
      <c r="A1414">
        <v>3509032</v>
      </c>
      <c r="B1414" s="1" t="s">
        <v>2856</v>
      </c>
      <c r="C1414">
        <v>42352</v>
      </c>
      <c r="D1414">
        <v>881</v>
      </c>
      <c r="E1414" s="1" t="s">
        <v>3010</v>
      </c>
      <c r="F1414" s="1" t="s">
        <v>15</v>
      </c>
      <c r="G1414" s="1" t="s">
        <v>32</v>
      </c>
      <c r="H1414">
        <v>151</v>
      </c>
      <c r="I1414">
        <v>34</v>
      </c>
      <c r="J1414">
        <v>437</v>
      </c>
      <c r="K1414" s="1" t="s">
        <v>27</v>
      </c>
      <c r="L1414" s="1" t="s">
        <v>24</v>
      </c>
      <c r="M1414" s="1" t="s">
        <v>2988</v>
      </c>
      <c r="N1414" s="1" t="s">
        <v>3011</v>
      </c>
    </row>
    <row r="1415" spans="1:14" x14ac:dyDescent="0.35">
      <c r="A1415">
        <v>3509151</v>
      </c>
      <c r="B1415" s="1" t="s">
        <v>2856</v>
      </c>
      <c r="C1415">
        <v>42352</v>
      </c>
      <c r="D1415">
        <v>881</v>
      </c>
      <c r="E1415" s="1" t="s">
        <v>3012</v>
      </c>
      <c r="F1415" s="1" t="s">
        <v>15</v>
      </c>
      <c r="G1415" s="1" t="s">
        <v>32</v>
      </c>
      <c r="H1415">
        <v>101</v>
      </c>
      <c r="I1415">
        <v>27</v>
      </c>
      <c r="K1415" s="1" t="s">
        <v>23</v>
      </c>
      <c r="L1415" s="1" t="s">
        <v>24</v>
      </c>
      <c r="M1415" s="1" t="s">
        <v>2988</v>
      </c>
      <c r="N1415" s="1" t="s">
        <v>3013</v>
      </c>
    </row>
    <row r="1416" spans="1:14" x14ac:dyDescent="0.35">
      <c r="A1416">
        <v>3509101</v>
      </c>
      <c r="B1416" s="1" t="s">
        <v>2856</v>
      </c>
      <c r="C1416">
        <v>42352</v>
      </c>
      <c r="D1416">
        <v>881</v>
      </c>
      <c r="E1416" s="1" t="s">
        <v>3014</v>
      </c>
      <c r="F1416" s="1" t="s">
        <v>15</v>
      </c>
      <c r="G1416" s="1" t="s">
        <v>22</v>
      </c>
      <c r="H1416">
        <v>50</v>
      </c>
      <c r="I1416">
        <v>17</v>
      </c>
      <c r="J1416">
        <v>58</v>
      </c>
      <c r="K1416" s="1" t="s">
        <v>23</v>
      </c>
      <c r="L1416" s="1" t="s">
        <v>24</v>
      </c>
      <c r="M1416" s="1" t="s">
        <v>2988</v>
      </c>
      <c r="N1416" s="1" t="s">
        <v>3015</v>
      </c>
    </row>
    <row r="1417" spans="1:14" x14ac:dyDescent="0.35">
      <c r="A1417">
        <v>3517098</v>
      </c>
      <c r="B1417" s="1" t="s">
        <v>2856</v>
      </c>
      <c r="C1417">
        <v>42352</v>
      </c>
      <c r="D1417">
        <v>881</v>
      </c>
      <c r="E1417" s="1" t="s">
        <v>3016</v>
      </c>
      <c r="F1417" s="1" t="s">
        <v>220</v>
      </c>
      <c r="G1417" s="1" t="s">
        <v>32</v>
      </c>
      <c r="H1417">
        <v>26</v>
      </c>
      <c r="I1417">
        <v>11</v>
      </c>
      <c r="J1417">
        <v>29</v>
      </c>
      <c r="K1417" s="1" t="s">
        <v>23</v>
      </c>
      <c r="L1417" s="1" t="s">
        <v>24</v>
      </c>
      <c r="M1417" s="1" t="s">
        <v>3017</v>
      </c>
      <c r="N1417" s="1" t="s">
        <v>3018</v>
      </c>
    </row>
    <row r="1418" spans="1:14" x14ac:dyDescent="0.35">
      <c r="A1418">
        <v>3517043</v>
      </c>
      <c r="B1418" s="1" t="s">
        <v>2856</v>
      </c>
      <c r="C1418">
        <v>42352</v>
      </c>
      <c r="D1418">
        <v>881</v>
      </c>
      <c r="E1418" s="1" t="s">
        <v>3019</v>
      </c>
      <c r="F1418" s="1" t="s">
        <v>71</v>
      </c>
      <c r="G1418" s="1" t="s">
        <v>32</v>
      </c>
      <c r="H1418">
        <v>54</v>
      </c>
      <c r="I1418">
        <v>23</v>
      </c>
      <c r="J1418">
        <v>208</v>
      </c>
      <c r="K1418" s="1" t="s">
        <v>23</v>
      </c>
      <c r="L1418" s="1" t="s">
        <v>24</v>
      </c>
      <c r="M1418" s="1" t="s">
        <v>3017</v>
      </c>
      <c r="N1418" s="1" t="s">
        <v>3020</v>
      </c>
    </row>
    <row r="1419" spans="1:14" x14ac:dyDescent="0.35">
      <c r="A1419">
        <v>3517010</v>
      </c>
      <c r="B1419" s="1" t="s">
        <v>2856</v>
      </c>
      <c r="C1419">
        <v>42352</v>
      </c>
      <c r="D1419">
        <v>881</v>
      </c>
      <c r="E1419" s="1" t="s">
        <v>3021</v>
      </c>
      <c r="F1419" s="1" t="s">
        <v>15</v>
      </c>
      <c r="G1419" s="1" t="s">
        <v>16</v>
      </c>
      <c r="H1419">
        <v>501</v>
      </c>
      <c r="I1419">
        <v>75</v>
      </c>
      <c r="J1419">
        <v>1621</v>
      </c>
      <c r="K1419" s="1" t="s">
        <v>17</v>
      </c>
      <c r="L1419" s="1" t="s">
        <v>18</v>
      </c>
      <c r="M1419" s="1" t="s">
        <v>3017</v>
      </c>
      <c r="N1419" s="1" t="s">
        <v>3022</v>
      </c>
    </row>
    <row r="1420" spans="1:14" x14ac:dyDescent="0.35">
      <c r="A1420">
        <v>3517021</v>
      </c>
      <c r="B1420" s="1" t="s">
        <v>2856</v>
      </c>
      <c r="C1420">
        <v>42352</v>
      </c>
      <c r="D1420">
        <v>881</v>
      </c>
      <c r="E1420" s="1" t="s">
        <v>3023</v>
      </c>
      <c r="F1420" s="1" t="s">
        <v>15</v>
      </c>
      <c r="G1420" s="1" t="s">
        <v>32</v>
      </c>
      <c r="H1420">
        <v>126</v>
      </c>
      <c r="I1420">
        <v>46</v>
      </c>
      <c r="J1420">
        <v>187</v>
      </c>
      <c r="K1420" s="1" t="s">
        <v>819</v>
      </c>
      <c r="L1420" s="1" t="s">
        <v>24</v>
      </c>
      <c r="M1420" s="1" t="s">
        <v>3017</v>
      </c>
      <c r="N1420" s="1" t="s">
        <v>3024</v>
      </c>
    </row>
    <row r="1421" spans="1:14" x14ac:dyDescent="0.35">
      <c r="A1421">
        <v>3517095</v>
      </c>
      <c r="B1421" s="1" t="s">
        <v>2856</v>
      </c>
      <c r="C1421">
        <v>42352</v>
      </c>
      <c r="D1421">
        <v>881</v>
      </c>
      <c r="E1421" s="1" t="s">
        <v>3025</v>
      </c>
      <c r="F1421" s="1" t="s">
        <v>15</v>
      </c>
      <c r="G1421" s="1" t="s">
        <v>22</v>
      </c>
      <c r="H1421">
        <v>100</v>
      </c>
      <c r="I1421">
        <v>36</v>
      </c>
      <c r="J1421">
        <v>34</v>
      </c>
      <c r="K1421" s="1" t="s">
        <v>90</v>
      </c>
      <c r="L1421" s="1" t="s">
        <v>24</v>
      </c>
      <c r="M1421" s="1" t="s">
        <v>3017</v>
      </c>
      <c r="N1421" s="1" t="s">
        <v>3026</v>
      </c>
    </row>
    <row r="1422" spans="1:14" x14ac:dyDescent="0.35">
      <c r="A1422">
        <v>3517076</v>
      </c>
      <c r="B1422" s="1" t="s">
        <v>2856</v>
      </c>
      <c r="C1422">
        <v>42352</v>
      </c>
      <c r="D1422">
        <v>881</v>
      </c>
      <c r="E1422" s="1" t="s">
        <v>3027</v>
      </c>
      <c r="F1422" s="1" t="s">
        <v>15</v>
      </c>
      <c r="G1422" s="1" t="s">
        <v>22</v>
      </c>
      <c r="H1422">
        <v>66</v>
      </c>
      <c r="I1422">
        <v>63</v>
      </c>
      <c r="J1422">
        <v>261</v>
      </c>
      <c r="K1422" s="1" t="s">
        <v>23</v>
      </c>
      <c r="L1422" s="1" t="s">
        <v>24</v>
      </c>
      <c r="M1422" s="1" t="s">
        <v>3017</v>
      </c>
      <c r="N1422" s="1" t="s">
        <v>3028</v>
      </c>
    </row>
    <row r="1423" spans="1:14" x14ac:dyDescent="0.35">
      <c r="A1423">
        <v>3517111</v>
      </c>
      <c r="B1423" s="1" t="s">
        <v>2856</v>
      </c>
      <c r="C1423">
        <v>42352</v>
      </c>
      <c r="D1423">
        <v>881</v>
      </c>
      <c r="E1423" s="1" t="s">
        <v>3029</v>
      </c>
      <c r="F1423" s="1" t="s">
        <v>15</v>
      </c>
      <c r="G1423" s="1" t="s">
        <v>22</v>
      </c>
      <c r="H1423">
        <v>50</v>
      </c>
      <c r="I1423">
        <v>27</v>
      </c>
      <c r="K1423" s="1" t="s">
        <v>23</v>
      </c>
      <c r="L1423" s="1" t="s">
        <v>24</v>
      </c>
      <c r="M1423" s="1" t="s">
        <v>3017</v>
      </c>
      <c r="N1423" s="1" t="s">
        <v>3030</v>
      </c>
    </row>
    <row r="1424" spans="1:14" x14ac:dyDescent="0.35">
      <c r="A1424">
        <v>3517087</v>
      </c>
      <c r="B1424" s="1" t="s">
        <v>2856</v>
      </c>
      <c r="C1424">
        <v>42352</v>
      </c>
      <c r="D1424">
        <v>881</v>
      </c>
      <c r="E1424" s="1" t="s">
        <v>3031</v>
      </c>
      <c r="F1424" s="1" t="s">
        <v>15</v>
      </c>
      <c r="G1424" s="1" t="s">
        <v>22</v>
      </c>
      <c r="H1424">
        <v>51</v>
      </c>
      <c r="I1424">
        <v>17</v>
      </c>
      <c r="J1424">
        <v>98</v>
      </c>
      <c r="K1424" s="1" t="s">
        <v>23</v>
      </c>
      <c r="L1424" s="1" t="s">
        <v>24</v>
      </c>
      <c r="M1424" s="1" t="s">
        <v>3017</v>
      </c>
      <c r="N1424" s="1" t="s">
        <v>3032</v>
      </c>
    </row>
    <row r="1425" spans="1:14" x14ac:dyDescent="0.35">
      <c r="A1425">
        <v>3517089</v>
      </c>
      <c r="B1425" s="1" t="s">
        <v>2856</v>
      </c>
      <c r="C1425">
        <v>42352</v>
      </c>
      <c r="D1425">
        <v>881</v>
      </c>
      <c r="E1425" s="1" t="s">
        <v>3033</v>
      </c>
      <c r="F1425" s="1" t="s">
        <v>15</v>
      </c>
      <c r="G1425" s="1" t="s">
        <v>22</v>
      </c>
      <c r="H1425">
        <v>126</v>
      </c>
      <c r="I1425">
        <v>32</v>
      </c>
      <c r="J1425">
        <v>265</v>
      </c>
      <c r="K1425" s="1" t="s">
        <v>17</v>
      </c>
      <c r="L1425" s="1" t="s">
        <v>18</v>
      </c>
      <c r="M1425" s="1" t="s">
        <v>3017</v>
      </c>
      <c r="N1425" s="1" t="s">
        <v>3034</v>
      </c>
    </row>
    <row r="1426" spans="1:14" x14ac:dyDescent="0.35">
      <c r="A1426">
        <v>3517091</v>
      </c>
      <c r="B1426" s="1" t="s">
        <v>2856</v>
      </c>
      <c r="C1426">
        <v>42352</v>
      </c>
      <c r="D1426">
        <v>881</v>
      </c>
      <c r="E1426" s="1" t="s">
        <v>3035</v>
      </c>
      <c r="F1426" s="1" t="s">
        <v>15</v>
      </c>
      <c r="G1426" s="1" t="s">
        <v>22</v>
      </c>
      <c r="H1426">
        <v>58</v>
      </c>
      <c r="I1426">
        <v>20</v>
      </c>
      <c r="J1426">
        <v>106</v>
      </c>
      <c r="K1426" s="1" t="s">
        <v>90</v>
      </c>
      <c r="L1426" s="1" t="s">
        <v>24</v>
      </c>
      <c r="M1426" s="1" t="s">
        <v>3017</v>
      </c>
      <c r="N1426" s="1" t="s">
        <v>3036</v>
      </c>
    </row>
    <row r="1427" spans="1:14" x14ac:dyDescent="0.35">
      <c r="A1427">
        <v>3517092</v>
      </c>
      <c r="B1427" s="1" t="s">
        <v>2856</v>
      </c>
      <c r="C1427">
        <v>42352</v>
      </c>
      <c r="D1427">
        <v>881</v>
      </c>
      <c r="E1427" s="1" t="s">
        <v>3037</v>
      </c>
      <c r="F1427" s="1" t="s">
        <v>15</v>
      </c>
      <c r="G1427" s="1" t="s">
        <v>22</v>
      </c>
      <c r="H1427">
        <v>54</v>
      </c>
      <c r="I1427">
        <v>29</v>
      </c>
      <c r="J1427">
        <v>106</v>
      </c>
      <c r="K1427" s="1" t="s">
        <v>444</v>
      </c>
      <c r="L1427" s="1" t="s">
        <v>24</v>
      </c>
      <c r="M1427" s="1" t="s">
        <v>3017</v>
      </c>
      <c r="N1427" s="1" t="s">
        <v>3038</v>
      </c>
    </row>
    <row r="1428" spans="1:14" x14ac:dyDescent="0.35">
      <c r="A1428">
        <v>3517094</v>
      </c>
      <c r="B1428" s="1" t="s">
        <v>2856</v>
      </c>
      <c r="C1428">
        <v>42352</v>
      </c>
      <c r="D1428">
        <v>881</v>
      </c>
      <c r="E1428" s="1" t="s">
        <v>3039</v>
      </c>
      <c r="F1428" s="1" t="s">
        <v>15</v>
      </c>
      <c r="G1428" s="1" t="s">
        <v>22</v>
      </c>
      <c r="H1428">
        <v>115</v>
      </c>
      <c r="I1428">
        <v>25</v>
      </c>
      <c r="J1428">
        <v>23</v>
      </c>
      <c r="K1428" s="1" t="s">
        <v>23</v>
      </c>
      <c r="L1428" s="1" t="s">
        <v>24</v>
      </c>
      <c r="M1428" s="1" t="s">
        <v>3017</v>
      </c>
      <c r="N1428" s="1" t="s">
        <v>3040</v>
      </c>
    </row>
    <row r="1429" spans="1:14" x14ac:dyDescent="0.35">
      <c r="A1429">
        <v>3517109</v>
      </c>
      <c r="B1429" s="1" t="s">
        <v>2856</v>
      </c>
      <c r="C1429">
        <v>42352</v>
      </c>
      <c r="D1429">
        <v>881</v>
      </c>
      <c r="E1429" s="1" t="s">
        <v>3041</v>
      </c>
      <c r="F1429" s="1" t="s">
        <v>15</v>
      </c>
      <c r="G1429" s="1" t="s">
        <v>22</v>
      </c>
      <c r="H1429">
        <v>101</v>
      </c>
      <c r="I1429">
        <v>35</v>
      </c>
      <c r="K1429" s="1" t="s">
        <v>444</v>
      </c>
      <c r="L1429" s="1" t="s">
        <v>24</v>
      </c>
      <c r="M1429" s="1" t="s">
        <v>3017</v>
      </c>
      <c r="N1429" s="1" t="s">
        <v>3042</v>
      </c>
    </row>
    <row r="1430" spans="1:14" x14ac:dyDescent="0.35">
      <c r="A1430">
        <v>3517025</v>
      </c>
      <c r="B1430" s="1" t="s">
        <v>2856</v>
      </c>
      <c r="C1430">
        <v>42352</v>
      </c>
      <c r="D1430">
        <v>881</v>
      </c>
      <c r="E1430" s="1" t="s">
        <v>3043</v>
      </c>
      <c r="F1430" s="1" t="s">
        <v>15</v>
      </c>
      <c r="G1430" s="1" t="s">
        <v>22</v>
      </c>
      <c r="H1430">
        <v>57</v>
      </c>
      <c r="I1430">
        <v>26</v>
      </c>
      <c r="J1430">
        <v>83</v>
      </c>
      <c r="K1430" s="1" t="s">
        <v>23</v>
      </c>
      <c r="L1430" s="1" t="s">
        <v>24</v>
      </c>
      <c r="M1430" s="1" t="s">
        <v>3017</v>
      </c>
      <c r="N1430" s="1" t="s">
        <v>3044</v>
      </c>
    </row>
    <row r="1431" spans="1:14" x14ac:dyDescent="0.35">
      <c r="A1431">
        <v>3517093</v>
      </c>
      <c r="B1431" s="1" t="s">
        <v>2856</v>
      </c>
      <c r="C1431">
        <v>42352</v>
      </c>
      <c r="D1431">
        <v>881</v>
      </c>
      <c r="E1431" s="1" t="s">
        <v>3045</v>
      </c>
      <c r="F1431" s="1" t="s">
        <v>15</v>
      </c>
      <c r="G1431" s="1" t="s">
        <v>22</v>
      </c>
      <c r="H1431">
        <v>70</v>
      </c>
      <c r="I1431">
        <v>23</v>
      </c>
      <c r="J1431">
        <v>150</v>
      </c>
      <c r="K1431" s="1" t="s">
        <v>444</v>
      </c>
      <c r="L1431" s="1" t="s">
        <v>24</v>
      </c>
      <c r="M1431" s="1" t="s">
        <v>3017</v>
      </c>
      <c r="N1431" s="1" t="s">
        <v>3046</v>
      </c>
    </row>
    <row r="1432" spans="1:14" x14ac:dyDescent="0.35">
      <c r="A1432">
        <v>3506064</v>
      </c>
      <c r="B1432" s="1" t="s">
        <v>2856</v>
      </c>
      <c r="C1432">
        <v>42352</v>
      </c>
      <c r="D1432">
        <v>881</v>
      </c>
      <c r="E1432" s="1" t="s">
        <v>3047</v>
      </c>
      <c r="F1432" s="1" t="s">
        <v>71</v>
      </c>
      <c r="G1432" s="1" t="s">
        <v>32</v>
      </c>
      <c r="H1432">
        <v>30</v>
      </c>
      <c r="I1432">
        <v>14</v>
      </c>
      <c r="J1432">
        <v>71</v>
      </c>
      <c r="K1432" s="1" t="s">
        <v>23</v>
      </c>
      <c r="L1432" s="1" t="s">
        <v>24</v>
      </c>
      <c r="M1432" s="1" t="s">
        <v>3048</v>
      </c>
      <c r="N1432" s="1" t="s">
        <v>3049</v>
      </c>
    </row>
    <row r="1433" spans="1:14" x14ac:dyDescent="0.35">
      <c r="A1433">
        <v>3506060</v>
      </c>
      <c r="B1433" s="1" t="s">
        <v>2856</v>
      </c>
      <c r="C1433">
        <v>42352</v>
      </c>
      <c r="D1433">
        <v>881</v>
      </c>
      <c r="E1433" s="1" t="s">
        <v>3050</v>
      </c>
      <c r="F1433" s="1" t="s">
        <v>71</v>
      </c>
      <c r="G1433" s="1" t="s">
        <v>32</v>
      </c>
      <c r="H1433">
        <v>42</v>
      </c>
      <c r="I1433">
        <v>16</v>
      </c>
      <c r="J1433">
        <v>49</v>
      </c>
      <c r="K1433" s="1" t="s">
        <v>23</v>
      </c>
      <c r="L1433" s="1" t="s">
        <v>24</v>
      </c>
      <c r="M1433" s="1" t="s">
        <v>3048</v>
      </c>
      <c r="N1433" s="1" t="s">
        <v>3051</v>
      </c>
    </row>
    <row r="1434" spans="1:14" x14ac:dyDescent="0.35">
      <c r="A1434">
        <v>3506014</v>
      </c>
      <c r="B1434" s="1" t="s">
        <v>2856</v>
      </c>
      <c r="C1434">
        <v>42352</v>
      </c>
      <c r="D1434">
        <v>881</v>
      </c>
      <c r="E1434" s="1" t="s">
        <v>3052</v>
      </c>
      <c r="F1434" s="1" t="s">
        <v>15</v>
      </c>
      <c r="G1434" s="1" t="s">
        <v>16</v>
      </c>
      <c r="H1434">
        <v>298</v>
      </c>
      <c r="I1434">
        <v>99</v>
      </c>
      <c r="J1434">
        <v>885</v>
      </c>
      <c r="K1434" s="1" t="s">
        <v>17</v>
      </c>
      <c r="L1434" s="1" t="s">
        <v>18</v>
      </c>
      <c r="M1434" s="1" t="s">
        <v>3048</v>
      </c>
      <c r="N1434" s="1" t="s">
        <v>3053</v>
      </c>
    </row>
    <row r="1435" spans="1:14" x14ac:dyDescent="0.35">
      <c r="A1435">
        <v>3506062</v>
      </c>
      <c r="B1435" s="1" t="s">
        <v>2856</v>
      </c>
      <c r="C1435">
        <v>42352</v>
      </c>
      <c r="D1435">
        <v>881</v>
      </c>
      <c r="E1435" s="1" t="s">
        <v>3054</v>
      </c>
      <c r="F1435" s="1" t="s">
        <v>15</v>
      </c>
      <c r="G1435" s="1" t="s">
        <v>32</v>
      </c>
      <c r="H1435">
        <v>120</v>
      </c>
      <c r="I1435">
        <v>60</v>
      </c>
      <c r="J1435">
        <v>294</v>
      </c>
      <c r="K1435" s="1" t="s">
        <v>90</v>
      </c>
      <c r="L1435" s="1" t="s">
        <v>24</v>
      </c>
      <c r="M1435" s="1" t="s">
        <v>3048</v>
      </c>
      <c r="N1435" s="1" t="s">
        <v>3055</v>
      </c>
    </row>
    <row r="1436" spans="1:14" x14ac:dyDescent="0.35">
      <c r="A1436">
        <v>3506066</v>
      </c>
      <c r="B1436" s="1" t="s">
        <v>2856</v>
      </c>
      <c r="C1436">
        <v>42352</v>
      </c>
      <c r="D1436">
        <v>881</v>
      </c>
      <c r="E1436" s="1" t="s">
        <v>3056</v>
      </c>
      <c r="F1436" s="1" t="s">
        <v>15</v>
      </c>
      <c r="G1436" s="1" t="s">
        <v>32</v>
      </c>
      <c r="H1436">
        <v>237</v>
      </c>
      <c r="I1436">
        <v>50</v>
      </c>
      <c r="J1436">
        <v>455</v>
      </c>
      <c r="K1436" s="1" t="s">
        <v>17</v>
      </c>
      <c r="L1436" s="1" t="s">
        <v>24</v>
      </c>
      <c r="M1436" s="1" t="s">
        <v>3048</v>
      </c>
      <c r="N1436" s="1" t="s">
        <v>3057</v>
      </c>
    </row>
    <row r="1437" spans="1:14" x14ac:dyDescent="0.35">
      <c r="A1437">
        <v>3506025</v>
      </c>
      <c r="B1437" s="1" t="s">
        <v>2856</v>
      </c>
      <c r="C1437">
        <v>42352</v>
      </c>
      <c r="D1437">
        <v>881</v>
      </c>
      <c r="E1437" s="1" t="s">
        <v>3058</v>
      </c>
      <c r="F1437" s="1" t="s">
        <v>15</v>
      </c>
      <c r="G1437" s="1" t="s">
        <v>32</v>
      </c>
      <c r="H1437">
        <v>170</v>
      </c>
      <c r="I1437">
        <v>53</v>
      </c>
      <c r="J1437">
        <v>381</v>
      </c>
      <c r="K1437" s="1" t="s">
        <v>23</v>
      </c>
      <c r="L1437" s="1" t="s">
        <v>24</v>
      </c>
      <c r="M1437" s="1" t="s">
        <v>3048</v>
      </c>
      <c r="N1437" s="1" t="s">
        <v>3059</v>
      </c>
    </row>
    <row r="1438" spans="1:14" x14ac:dyDescent="0.35">
      <c r="A1438">
        <v>3506063</v>
      </c>
      <c r="B1438" s="1" t="s">
        <v>2856</v>
      </c>
      <c r="C1438">
        <v>42352</v>
      </c>
      <c r="D1438">
        <v>881</v>
      </c>
      <c r="E1438" s="1" t="s">
        <v>3060</v>
      </c>
      <c r="F1438" s="1" t="s">
        <v>15</v>
      </c>
      <c r="G1438" s="1" t="s">
        <v>22</v>
      </c>
      <c r="H1438">
        <v>106</v>
      </c>
      <c r="I1438">
        <v>31</v>
      </c>
      <c r="J1438">
        <v>83</v>
      </c>
      <c r="K1438" s="1" t="s">
        <v>23</v>
      </c>
      <c r="L1438" s="1" t="s">
        <v>24</v>
      </c>
      <c r="M1438" s="1" t="s">
        <v>3048</v>
      </c>
      <c r="N1438" s="1" t="s">
        <v>3061</v>
      </c>
    </row>
    <row r="1439" spans="1:14" x14ac:dyDescent="0.35">
      <c r="A1439">
        <v>3506036</v>
      </c>
      <c r="B1439" s="1" t="s">
        <v>2856</v>
      </c>
      <c r="C1439">
        <v>42352</v>
      </c>
      <c r="D1439">
        <v>881</v>
      </c>
      <c r="E1439" s="1" t="s">
        <v>3062</v>
      </c>
      <c r="F1439" s="1" t="s">
        <v>15</v>
      </c>
      <c r="G1439" s="1" t="s">
        <v>22</v>
      </c>
      <c r="H1439">
        <v>93</v>
      </c>
      <c r="I1439">
        <v>30</v>
      </c>
      <c r="J1439">
        <v>203</v>
      </c>
      <c r="K1439" s="1" t="s">
        <v>23</v>
      </c>
      <c r="L1439" s="1" t="s">
        <v>24</v>
      </c>
      <c r="M1439" s="1" t="s">
        <v>3048</v>
      </c>
      <c r="N1439" s="1" t="s">
        <v>3063</v>
      </c>
    </row>
    <row r="1440" spans="1:14" x14ac:dyDescent="0.35">
      <c r="A1440">
        <v>3506047</v>
      </c>
      <c r="B1440" s="1" t="s">
        <v>2856</v>
      </c>
      <c r="C1440">
        <v>42352</v>
      </c>
      <c r="D1440">
        <v>881</v>
      </c>
      <c r="E1440" s="1" t="s">
        <v>3064</v>
      </c>
      <c r="F1440" s="1" t="s">
        <v>15</v>
      </c>
      <c r="G1440" s="1" t="s">
        <v>22</v>
      </c>
      <c r="H1440">
        <v>59</v>
      </c>
      <c r="I1440">
        <v>24</v>
      </c>
      <c r="J1440">
        <v>115</v>
      </c>
      <c r="K1440" s="1" t="s">
        <v>23</v>
      </c>
      <c r="L1440" s="1" t="s">
        <v>24</v>
      </c>
      <c r="M1440" s="1" t="s">
        <v>3048</v>
      </c>
      <c r="N1440" s="1" t="s">
        <v>3065</v>
      </c>
    </row>
    <row r="1441" spans="1:14" x14ac:dyDescent="0.35">
      <c r="A1441">
        <v>3506058</v>
      </c>
      <c r="B1441" s="1" t="s">
        <v>2856</v>
      </c>
      <c r="C1441">
        <v>42352</v>
      </c>
      <c r="D1441">
        <v>881</v>
      </c>
      <c r="E1441" s="1" t="s">
        <v>3066</v>
      </c>
      <c r="F1441" s="1" t="s">
        <v>15</v>
      </c>
      <c r="G1441" s="1" t="s">
        <v>22</v>
      </c>
      <c r="H1441">
        <v>100</v>
      </c>
      <c r="I1441">
        <v>28</v>
      </c>
      <c r="J1441">
        <v>51</v>
      </c>
      <c r="K1441" s="1" t="s">
        <v>84</v>
      </c>
      <c r="L1441" s="1" t="s">
        <v>24</v>
      </c>
      <c r="M1441" s="1" t="s">
        <v>3048</v>
      </c>
      <c r="N1441" s="1" t="s">
        <v>3067</v>
      </c>
    </row>
    <row r="1442" spans="1:14" x14ac:dyDescent="0.35">
      <c r="A1442">
        <v>3506059</v>
      </c>
      <c r="B1442" s="1" t="s">
        <v>2856</v>
      </c>
      <c r="C1442">
        <v>42352</v>
      </c>
      <c r="D1442">
        <v>881</v>
      </c>
      <c r="E1442" s="1" t="s">
        <v>3068</v>
      </c>
      <c r="F1442" s="1" t="s">
        <v>15</v>
      </c>
      <c r="G1442" s="1" t="s">
        <v>22</v>
      </c>
      <c r="H1442">
        <v>100</v>
      </c>
      <c r="I1442">
        <v>35</v>
      </c>
      <c r="J1442">
        <v>209</v>
      </c>
      <c r="K1442" s="1" t="s">
        <v>23</v>
      </c>
      <c r="L1442" s="1" t="s">
        <v>24</v>
      </c>
      <c r="M1442" s="1" t="s">
        <v>3048</v>
      </c>
      <c r="N1442" s="1" t="s">
        <v>3069</v>
      </c>
    </row>
    <row r="1443" spans="1:14" x14ac:dyDescent="0.35">
      <c r="A1443">
        <v>3579005</v>
      </c>
      <c r="B1443" s="1" t="s">
        <v>2856</v>
      </c>
      <c r="C1443">
        <v>42352</v>
      </c>
      <c r="D1443">
        <v>881</v>
      </c>
      <c r="E1443" s="1" t="s">
        <v>3070</v>
      </c>
      <c r="F1443" s="1" t="s">
        <v>71</v>
      </c>
      <c r="G1443" s="1" t="s">
        <v>32</v>
      </c>
      <c r="H1443">
        <v>36</v>
      </c>
      <c r="I1443">
        <v>17</v>
      </c>
      <c r="J1443">
        <v>90</v>
      </c>
      <c r="K1443" s="1" t="s">
        <v>23</v>
      </c>
      <c r="L1443" s="1" t="s">
        <v>24</v>
      </c>
      <c r="M1443" s="1" t="s">
        <v>3071</v>
      </c>
      <c r="N1443" s="1" t="s">
        <v>3072</v>
      </c>
    </row>
    <row r="1444" spans="1:14" x14ac:dyDescent="0.35">
      <c r="A1444">
        <v>3579030</v>
      </c>
      <c r="B1444" s="1" t="s">
        <v>2856</v>
      </c>
      <c r="C1444">
        <v>42352</v>
      </c>
      <c r="D1444">
        <v>881</v>
      </c>
      <c r="E1444" s="1" t="s">
        <v>3073</v>
      </c>
      <c r="F1444" s="1" t="s">
        <v>15</v>
      </c>
      <c r="G1444" s="1" t="s">
        <v>16</v>
      </c>
      <c r="H1444">
        <v>250</v>
      </c>
      <c r="I1444">
        <v>74</v>
      </c>
      <c r="J1444">
        <v>523</v>
      </c>
      <c r="K1444" s="1" t="s">
        <v>124</v>
      </c>
      <c r="L1444" s="1" t="s">
        <v>18</v>
      </c>
      <c r="M1444" s="1" t="s">
        <v>3071</v>
      </c>
      <c r="N1444" s="1" t="s">
        <v>3074</v>
      </c>
    </row>
    <row r="1445" spans="1:14" x14ac:dyDescent="0.35">
      <c r="A1445">
        <v>3579074</v>
      </c>
      <c r="B1445" s="1" t="s">
        <v>2856</v>
      </c>
      <c r="C1445">
        <v>42352</v>
      </c>
      <c r="D1445">
        <v>881</v>
      </c>
      <c r="E1445" s="1" t="s">
        <v>3075</v>
      </c>
      <c r="F1445" s="1" t="s">
        <v>15</v>
      </c>
      <c r="G1445" s="1" t="s">
        <v>32</v>
      </c>
      <c r="H1445">
        <v>107</v>
      </c>
      <c r="I1445">
        <v>36</v>
      </c>
      <c r="J1445">
        <v>254</v>
      </c>
      <c r="K1445" s="1" t="s">
        <v>572</v>
      </c>
      <c r="L1445" s="1" t="s">
        <v>24</v>
      </c>
      <c r="M1445" s="1" t="s">
        <v>3071</v>
      </c>
      <c r="N1445" s="1" t="s">
        <v>3076</v>
      </c>
    </row>
    <row r="1446" spans="1:14" x14ac:dyDescent="0.35">
      <c r="A1446">
        <v>3579003</v>
      </c>
      <c r="B1446" s="1" t="s">
        <v>2856</v>
      </c>
      <c r="C1446">
        <v>42352</v>
      </c>
      <c r="D1446">
        <v>881</v>
      </c>
      <c r="E1446" s="1" t="s">
        <v>3077</v>
      </c>
      <c r="F1446" s="1" t="s">
        <v>15</v>
      </c>
      <c r="G1446" s="1" t="s">
        <v>32</v>
      </c>
      <c r="H1446">
        <v>143</v>
      </c>
      <c r="I1446">
        <v>32</v>
      </c>
      <c r="J1446">
        <v>145</v>
      </c>
      <c r="K1446" s="1" t="s">
        <v>146</v>
      </c>
      <c r="L1446" s="1" t="s">
        <v>120</v>
      </c>
      <c r="M1446" s="1" t="s">
        <v>3071</v>
      </c>
      <c r="N1446" s="1" t="s">
        <v>3078</v>
      </c>
    </row>
    <row r="1447" spans="1:14" x14ac:dyDescent="0.35">
      <c r="A1447">
        <v>3579002</v>
      </c>
      <c r="B1447" s="1" t="s">
        <v>2856</v>
      </c>
      <c r="C1447">
        <v>42352</v>
      </c>
      <c r="D1447">
        <v>881</v>
      </c>
      <c r="E1447" s="1" t="s">
        <v>3079</v>
      </c>
      <c r="F1447" s="1" t="s">
        <v>15</v>
      </c>
      <c r="G1447" s="1" t="s">
        <v>22</v>
      </c>
      <c r="H1447">
        <v>54</v>
      </c>
      <c r="I1447">
        <v>25</v>
      </c>
      <c r="J1447">
        <v>89</v>
      </c>
      <c r="K1447" s="1" t="s">
        <v>23</v>
      </c>
      <c r="L1447" s="1" t="s">
        <v>24</v>
      </c>
      <c r="M1447" s="1" t="s">
        <v>3071</v>
      </c>
      <c r="N1447" s="1" t="s">
        <v>3080</v>
      </c>
    </row>
    <row r="1448" spans="1:14" x14ac:dyDescent="0.35">
      <c r="A1448">
        <v>3579004</v>
      </c>
      <c r="B1448" s="1" t="s">
        <v>2856</v>
      </c>
      <c r="C1448">
        <v>42352</v>
      </c>
      <c r="D1448">
        <v>881</v>
      </c>
      <c r="E1448" s="1" t="s">
        <v>3081</v>
      </c>
      <c r="F1448" s="1" t="s">
        <v>15</v>
      </c>
      <c r="G1448" s="1" t="s">
        <v>22</v>
      </c>
      <c r="H1448">
        <v>56</v>
      </c>
      <c r="I1448">
        <v>28</v>
      </c>
      <c r="J1448">
        <v>63</v>
      </c>
      <c r="K1448" s="1" t="s">
        <v>23</v>
      </c>
      <c r="L1448" s="1" t="s">
        <v>24</v>
      </c>
      <c r="M1448" s="1" t="s">
        <v>3071</v>
      </c>
      <c r="N1448" s="1" t="s">
        <v>3082</v>
      </c>
    </row>
    <row r="1449" spans="1:14" x14ac:dyDescent="0.35">
      <c r="A1449">
        <v>3572072</v>
      </c>
      <c r="B1449" s="1" t="s">
        <v>2856</v>
      </c>
      <c r="C1449">
        <v>42352</v>
      </c>
      <c r="D1449">
        <v>881</v>
      </c>
      <c r="E1449" s="1" t="s">
        <v>3083</v>
      </c>
      <c r="F1449" s="1" t="s">
        <v>71</v>
      </c>
      <c r="G1449" s="1" t="s">
        <v>32</v>
      </c>
      <c r="H1449">
        <v>29</v>
      </c>
      <c r="I1449">
        <v>14</v>
      </c>
      <c r="J1449">
        <v>48</v>
      </c>
      <c r="K1449" s="1" t="s">
        <v>23</v>
      </c>
      <c r="L1449" s="1" t="s">
        <v>24</v>
      </c>
      <c r="M1449" s="1" t="s">
        <v>3084</v>
      </c>
      <c r="N1449" s="1" t="s">
        <v>3085</v>
      </c>
    </row>
    <row r="1450" spans="1:14" x14ac:dyDescent="0.35">
      <c r="A1450">
        <v>3572010</v>
      </c>
      <c r="B1450" s="1" t="s">
        <v>2856</v>
      </c>
      <c r="C1450">
        <v>42352</v>
      </c>
      <c r="D1450">
        <v>881</v>
      </c>
      <c r="E1450" s="1" t="s">
        <v>3086</v>
      </c>
      <c r="F1450" s="1" t="s">
        <v>15</v>
      </c>
      <c r="G1450" s="1" t="s">
        <v>16</v>
      </c>
      <c r="H1450">
        <v>206</v>
      </c>
      <c r="I1450">
        <v>47</v>
      </c>
      <c r="J1450">
        <v>720</v>
      </c>
      <c r="K1450" s="1" t="s">
        <v>137</v>
      </c>
      <c r="L1450" s="1" t="s">
        <v>18</v>
      </c>
      <c r="M1450" s="1" t="s">
        <v>3084</v>
      </c>
      <c r="N1450" s="1" t="s">
        <v>3087</v>
      </c>
    </row>
    <row r="1451" spans="1:14" x14ac:dyDescent="0.35">
      <c r="A1451">
        <v>3572073</v>
      </c>
      <c r="B1451" s="1" t="s">
        <v>2856</v>
      </c>
      <c r="C1451">
        <v>42352</v>
      </c>
      <c r="D1451">
        <v>881</v>
      </c>
      <c r="E1451" s="1" t="s">
        <v>3088</v>
      </c>
      <c r="F1451" s="1" t="s">
        <v>15</v>
      </c>
      <c r="G1451" s="1" t="s">
        <v>32</v>
      </c>
      <c r="H1451">
        <v>90</v>
      </c>
      <c r="I1451">
        <v>48</v>
      </c>
      <c r="J1451">
        <v>90</v>
      </c>
      <c r="K1451" s="1" t="s">
        <v>444</v>
      </c>
      <c r="L1451" s="1" t="s">
        <v>24</v>
      </c>
      <c r="M1451" s="1" t="s">
        <v>3084</v>
      </c>
      <c r="N1451" s="1" t="s">
        <v>3089</v>
      </c>
    </row>
    <row r="1452" spans="1:14" x14ac:dyDescent="0.35">
      <c r="A1452">
        <v>3572065</v>
      </c>
      <c r="B1452" s="1" t="s">
        <v>2856</v>
      </c>
      <c r="C1452">
        <v>42352</v>
      </c>
      <c r="D1452">
        <v>881</v>
      </c>
      <c r="E1452" s="1" t="s">
        <v>3090</v>
      </c>
      <c r="F1452" s="1" t="s">
        <v>15</v>
      </c>
      <c r="G1452" s="1" t="s">
        <v>32</v>
      </c>
      <c r="H1452">
        <v>147</v>
      </c>
      <c r="I1452">
        <v>24</v>
      </c>
      <c r="J1452">
        <v>295</v>
      </c>
      <c r="K1452" s="1" t="s">
        <v>444</v>
      </c>
      <c r="L1452" s="1" t="s">
        <v>24</v>
      </c>
      <c r="M1452" s="1" t="s">
        <v>3084</v>
      </c>
      <c r="N1452" s="1" t="s">
        <v>3091</v>
      </c>
    </row>
    <row r="1453" spans="1:14" x14ac:dyDescent="0.35">
      <c r="A1453">
        <v>3572043</v>
      </c>
      <c r="B1453" s="1" t="s">
        <v>2856</v>
      </c>
      <c r="C1453">
        <v>42352</v>
      </c>
      <c r="D1453">
        <v>881</v>
      </c>
      <c r="E1453" s="1" t="s">
        <v>3092</v>
      </c>
      <c r="F1453" s="1" t="s">
        <v>15</v>
      </c>
      <c r="G1453" s="1" t="s">
        <v>32</v>
      </c>
      <c r="H1453">
        <v>109</v>
      </c>
      <c r="I1453">
        <v>61</v>
      </c>
      <c r="J1453">
        <v>170</v>
      </c>
      <c r="K1453" s="1" t="s">
        <v>23</v>
      </c>
      <c r="L1453" s="1" t="s">
        <v>24</v>
      </c>
      <c r="M1453" s="1" t="s">
        <v>3084</v>
      </c>
      <c r="N1453" s="1" t="s">
        <v>3093</v>
      </c>
    </row>
    <row r="1454" spans="1:14" x14ac:dyDescent="0.35">
      <c r="A1454">
        <v>3572021</v>
      </c>
      <c r="B1454" s="1" t="s">
        <v>2856</v>
      </c>
      <c r="C1454">
        <v>42352</v>
      </c>
      <c r="D1454">
        <v>881</v>
      </c>
      <c r="E1454" s="1" t="s">
        <v>3094</v>
      </c>
      <c r="F1454" s="1" t="s">
        <v>15</v>
      </c>
      <c r="G1454" s="1" t="s">
        <v>32</v>
      </c>
      <c r="H1454">
        <v>103</v>
      </c>
      <c r="I1454">
        <v>32</v>
      </c>
      <c r="J1454">
        <v>313</v>
      </c>
      <c r="K1454" s="1" t="s">
        <v>84</v>
      </c>
      <c r="L1454" s="1" t="s">
        <v>24</v>
      </c>
      <c r="M1454" s="1" t="s">
        <v>3084</v>
      </c>
      <c r="N1454" s="1" t="s">
        <v>3095</v>
      </c>
    </row>
    <row r="1455" spans="1:14" x14ac:dyDescent="0.35">
      <c r="A1455">
        <v>3506065</v>
      </c>
      <c r="B1455" s="1" t="s">
        <v>2856</v>
      </c>
      <c r="C1455">
        <v>42352</v>
      </c>
      <c r="D1455">
        <v>881</v>
      </c>
      <c r="E1455" s="1" t="s">
        <v>3096</v>
      </c>
      <c r="F1455" s="1" t="s">
        <v>119</v>
      </c>
      <c r="G1455" s="1" t="s">
        <v>32</v>
      </c>
      <c r="H1455">
        <v>13</v>
      </c>
      <c r="I1455">
        <v>21</v>
      </c>
      <c r="J1455">
        <v>193</v>
      </c>
      <c r="K1455" s="1" t="s">
        <v>23</v>
      </c>
      <c r="L1455" s="1" t="s">
        <v>24</v>
      </c>
      <c r="M1455" s="1" t="s">
        <v>3097</v>
      </c>
      <c r="N1455" s="1" t="s">
        <v>3098</v>
      </c>
    </row>
    <row r="1456" spans="1:14" x14ac:dyDescent="0.35">
      <c r="A1456">
        <v>3571145</v>
      </c>
      <c r="B1456" s="1" t="s">
        <v>2856</v>
      </c>
      <c r="C1456">
        <v>42352</v>
      </c>
      <c r="D1456">
        <v>881</v>
      </c>
      <c r="E1456" s="1" t="s">
        <v>3099</v>
      </c>
      <c r="F1456" s="1" t="s">
        <v>71</v>
      </c>
      <c r="G1456" s="1" t="s">
        <v>32</v>
      </c>
      <c r="H1456">
        <v>33</v>
      </c>
      <c r="I1456">
        <v>14</v>
      </c>
      <c r="J1456">
        <v>22</v>
      </c>
      <c r="K1456" s="1" t="s">
        <v>23</v>
      </c>
      <c r="L1456" s="1" t="s">
        <v>24</v>
      </c>
      <c r="M1456" s="1" t="s">
        <v>3097</v>
      </c>
      <c r="N1456" s="1" t="s">
        <v>3100</v>
      </c>
    </row>
    <row r="1457" spans="1:14" x14ac:dyDescent="0.35">
      <c r="A1457">
        <v>3571148</v>
      </c>
      <c r="B1457" s="1" t="s">
        <v>2856</v>
      </c>
      <c r="C1457">
        <v>42352</v>
      </c>
      <c r="D1457">
        <v>881</v>
      </c>
      <c r="E1457" s="1" t="s">
        <v>3101</v>
      </c>
      <c r="F1457" s="1" t="s">
        <v>71</v>
      </c>
      <c r="G1457" s="1" t="s">
        <v>32</v>
      </c>
      <c r="H1457">
        <v>31</v>
      </c>
      <c r="I1457">
        <v>19</v>
      </c>
      <c r="J1457">
        <v>46</v>
      </c>
      <c r="K1457" s="1" t="s">
        <v>23</v>
      </c>
      <c r="L1457" s="1" t="s">
        <v>24</v>
      </c>
      <c r="M1457" s="1" t="s">
        <v>3097</v>
      </c>
      <c r="N1457" s="1" t="s">
        <v>3102</v>
      </c>
    </row>
    <row r="1458" spans="1:14" x14ac:dyDescent="0.35">
      <c r="A1458">
        <v>3571111</v>
      </c>
      <c r="B1458" s="1" t="s">
        <v>2856</v>
      </c>
      <c r="C1458">
        <v>42352</v>
      </c>
      <c r="D1458">
        <v>881</v>
      </c>
      <c r="E1458" s="1" t="s">
        <v>3103</v>
      </c>
      <c r="F1458" s="1" t="s">
        <v>71</v>
      </c>
      <c r="G1458" s="1" t="s">
        <v>32</v>
      </c>
      <c r="H1458">
        <v>46</v>
      </c>
      <c r="I1458">
        <v>15</v>
      </c>
      <c r="J1458">
        <v>47</v>
      </c>
      <c r="K1458" s="1" t="s">
        <v>23</v>
      </c>
      <c r="L1458" s="1" t="s">
        <v>24</v>
      </c>
      <c r="M1458" s="1" t="s">
        <v>3097</v>
      </c>
      <c r="N1458" s="1" t="s">
        <v>3104</v>
      </c>
    </row>
    <row r="1459" spans="1:14" x14ac:dyDescent="0.35">
      <c r="A1459">
        <v>3571031</v>
      </c>
      <c r="B1459" s="1" t="s">
        <v>2856</v>
      </c>
      <c r="C1459">
        <v>42352</v>
      </c>
      <c r="D1459">
        <v>881</v>
      </c>
      <c r="E1459" s="1" t="s">
        <v>3105</v>
      </c>
      <c r="F1459" s="1" t="s">
        <v>15</v>
      </c>
      <c r="G1459" s="1" t="s">
        <v>16</v>
      </c>
      <c r="H1459">
        <v>331</v>
      </c>
      <c r="I1459">
        <v>49</v>
      </c>
      <c r="J1459">
        <v>759</v>
      </c>
      <c r="K1459" s="1" t="s">
        <v>146</v>
      </c>
      <c r="L1459" s="1" t="s">
        <v>120</v>
      </c>
      <c r="M1459" s="1" t="s">
        <v>3097</v>
      </c>
      <c r="N1459" s="1" t="s">
        <v>3106</v>
      </c>
    </row>
    <row r="1460" spans="1:14" x14ac:dyDescent="0.35">
      <c r="A1460">
        <v>3571016</v>
      </c>
      <c r="B1460" s="1" t="s">
        <v>2856</v>
      </c>
      <c r="C1460">
        <v>42352</v>
      </c>
      <c r="D1460">
        <v>881</v>
      </c>
      <c r="E1460" s="1" t="s">
        <v>3107</v>
      </c>
      <c r="F1460" s="1" t="s">
        <v>15</v>
      </c>
      <c r="G1460" s="1" t="s">
        <v>16</v>
      </c>
      <c r="H1460">
        <v>314</v>
      </c>
      <c r="I1460">
        <v>81</v>
      </c>
      <c r="J1460">
        <v>1415</v>
      </c>
      <c r="K1460" s="1" t="s">
        <v>137</v>
      </c>
      <c r="L1460" s="1" t="s">
        <v>18</v>
      </c>
      <c r="M1460" s="1" t="s">
        <v>3097</v>
      </c>
      <c r="N1460" s="1" t="s">
        <v>3108</v>
      </c>
    </row>
    <row r="1461" spans="1:14" x14ac:dyDescent="0.35">
      <c r="A1461">
        <v>3571042</v>
      </c>
      <c r="B1461" s="1" t="s">
        <v>2856</v>
      </c>
      <c r="C1461">
        <v>42352</v>
      </c>
      <c r="D1461">
        <v>881</v>
      </c>
      <c r="E1461" s="1" t="s">
        <v>3109</v>
      </c>
      <c r="F1461" s="1" t="s">
        <v>15</v>
      </c>
      <c r="G1461" s="1" t="s">
        <v>16</v>
      </c>
      <c r="H1461">
        <v>201</v>
      </c>
      <c r="I1461">
        <v>98</v>
      </c>
      <c r="J1461">
        <v>635</v>
      </c>
      <c r="K1461" s="1" t="s">
        <v>819</v>
      </c>
      <c r="L1461" s="1" t="s">
        <v>24</v>
      </c>
      <c r="M1461" s="1" t="s">
        <v>3097</v>
      </c>
      <c r="N1461" s="1" t="s">
        <v>3110</v>
      </c>
    </row>
    <row r="1462" spans="1:14" x14ac:dyDescent="0.35">
      <c r="A1462">
        <v>3571150</v>
      </c>
      <c r="B1462" s="1" t="s">
        <v>2856</v>
      </c>
      <c r="C1462">
        <v>42352</v>
      </c>
      <c r="D1462">
        <v>881</v>
      </c>
      <c r="E1462" s="1" t="s">
        <v>3111</v>
      </c>
      <c r="F1462" s="1" t="s">
        <v>15</v>
      </c>
      <c r="G1462" s="1" t="s">
        <v>32</v>
      </c>
      <c r="H1462">
        <v>74</v>
      </c>
      <c r="I1462">
        <v>25</v>
      </c>
      <c r="K1462" s="1" t="s">
        <v>137</v>
      </c>
      <c r="L1462" s="1" t="s">
        <v>24</v>
      </c>
      <c r="M1462" s="1" t="s">
        <v>3097</v>
      </c>
      <c r="N1462" s="1" t="s">
        <v>3112</v>
      </c>
    </row>
    <row r="1463" spans="1:14" x14ac:dyDescent="0.35">
      <c r="A1463">
        <v>3571122</v>
      </c>
      <c r="B1463" s="1" t="s">
        <v>2856</v>
      </c>
      <c r="C1463">
        <v>42352</v>
      </c>
      <c r="D1463">
        <v>881</v>
      </c>
      <c r="E1463" s="1" t="s">
        <v>3113</v>
      </c>
      <c r="F1463" s="1" t="s">
        <v>15</v>
      </c>
      <c r="G1463" s="1" t="s">
        <v>32</v>
      </c>
      <c r="H1463">
        <v>218</v>
      </c>
      <c r="I1463">
        <v>62</v>
      </c>
      <c r="J1463">
        <v>312</v>
      </c>
      <c r="K1463" s="1" t="s">
        <v>444</v>
      </c>
      <c r="L1463" s="1" t="s">
        <v>24</v>
      </c>
      <c r="M1463" s="1" t="s">
        <v>3097</v>
      </c>
      <c r="N1463" s="1" t="s">
        <v>3114</v>
      </c>
    </row>
    <row r="1464" spans="1:14" x14ac:dyDescent="0.35">
      <c r="A1464">
        <v>3571020</v>
      </c>
      <c r="B1464" s="1" t="s">
        <v>2856</v>
      </c>
      <c r="C1464">
        <v>42352</v>
      </c>
      <c r="D1464">
        <v>881</v>
      </c>
      <c r="E1464" s="1" t="s">
        <v>3115</v>
      </c>
      <c r="F1464" s="1" t="s">
        <v>15</v>
      </c>
      <c r="G1464" s="1" t="s">
        <v>32</v>
      </c>
      <c r="H1464">
        <v>136</v>
      </c>
      <c r="I1464">
        <v>31</v>
      </c>
      <c r="J1464">
        <v>99</v>
      </c>
      <c r="K1464" s="1" t="s">
        <v>27</v>
      </c>
      <c r="L1464" s="1" t="s">
        <v>24</v>
      </c>
      <c r="M1464" s="1" t="s">
        <v>3097</v>
      </c>
      <c r="N1464" s="1" t="s">
        <v>3116</v>
      </c>
    </row>
    <row r="1465" spans="1:14" x14ac:dyDescent="0.35">
      <c r="A1465">
        <v>3571147</v>
      </c>
      <c r="B1465" s="1" t="s">
        <v>2856</v>
      </c>
      <c r="C1465">
        <v>42352</v>
      </c>
      <c r="D1465">
        <v>881</v>
      </c>
      <c r="E1465" s="1" t="s">
        <v>3117</v>
      </c>
      <c r="F1465" s="1" t="s">
        <v>15</v>
      </c>
      <c r="G1465" s="1" t="s">
        <v>22</v>
      </c>
      <c r="H1465">
        <v>90</v>
      </c>
      <c r="I1465">
        <v>18</v>
      </c>
      <c r="J1465">
        <v>68</v>
      </c>
      <c r="K1465" s="1" t="s">
        <v>23</v>
      </c>
      <c r="L1465" s="1" t="s">
        <v>24</v>
      </c>
      <c r="M1465" s="1" t="s">
        <v>3097</v>
      </c>
      <c r="N1465" s="1" t="s">
        <v>3118</v>
      </c>
    </row>
    <row r="1466" spans="1:14" x14ac:dyDescent="0.35">
      <c r="A1466">
        <v>3571146</v>
      </c>
      <c r="B1466" s="1" t="s">
        <v>2856</v>
      </c>
      <c r="C1466">
        <v>42352</v>
      </c>
      <c r="D1466">
        <v>881</v>
      </c>
      <c r="E1466" s="1" t="s">
        <v>3119</v>
      </c>
      <c r="F1466" s="1" t="s">
        <v>15</v>
      </c>
      <c r="G1466" s="1" t="s">
        <v>22</v>
      </c>
      <c r="H1466">
        <v>101</v>
      </c>
      <c r="I1466">
        <v>55</v>
      </c>
      <c r="J1466">
        <v>96</v>
      </c>
      <c r="K1466" s="1" t="s">
        <v>23</v>
      </c>
      <c r="L1466" s="1" t="s">
        <v>24</v>
      </c>
      <c r="M1466" s="1" t="s">
        <v>3097</v>
      </c>
      <c r="N1466" s="1" t="s">
        <v>3120</v>
      </c>
    </row>
    <row r="1467" spans="1:14" x14ac:dyDescent="0.35">
      <c r="A1467">
        <v>3571053</v>
      </c>
      <c r="B1467" s="1" t="s">
        <v>2856</v>
      </c>
      <c r="C1467">
        <v>42352</v>
      </c>
      <c r="D1467">
        <v>881</v>
      </c>
      <c r="E1467" s="1" t="s">
        <v>3121</v>
      </c>
      <c r="F1467" s="1" t="s">
        <v>15</v>
      </c>
      <c r="G1467" s="1" t="s">
        <v>22</v>
      </c>
      <c r="H1467">
        <v>55</v>
      </c>
      <c r="I1467">
        <v>53</v>
      </c>
      <c r="J1467">
        <v>154</v>
      </c>
      <c r="K1467" s="1" t="s">
        <v>124</v>
      </c>
      <c r="L1467" s="1" t="s">
        <v>18</v>
      </c>
      <c r="M1467" s="1" t="s">
        <v>3097</v>
      </c>
      <c r="N1467" s="1" t="s">
        <v>3122</v>
      </c>
    </row>
    <row r="1468" spans="1:14" x14ac:dyDescent="0.35">
      <c r="A1468">
        <v>3577052</v>
      </c>
      <c r="B1468" s="1" t="s">
        <v>2856</v>
      </c>
      <c r="C1468">
        <v>42352</v>
      </c>
      <c r="D1468">
        <v>881</v>
      </c>
      <c r="E1468" s="1" t="s">
        <v>3123</v>
      </c>
      <c r="F1468" s="1" t="s">
        <v>71</v>
      </c>
      <c r="G1468" s="1" t="s">
        <v>32</v>
      </c>
      <c r="H1468">
        <v>27</v>
      </c>
      <c r="I1468">
        <v>19</v>
      </c>
      <c r="J1468">
        <v>76</v>
      </c>
      <c r="K1468" s="1" t="s">
        <v>23</v>
      </c>
      <c r="L1468" s="1" t="s">
        <v>24</v>
      </c>
      <c r="M1468" s="1" t="s">
        <v>3124</v>
      </c>
      <c r="N1468" s="1" t="s">
        <v>3125</v>
      </c>
    </row>
    <row r="1469" spans="1:14" x14ac:dyDescent="0.35">
      <c r="A1469">
        <v>3519026</v>
      </c>
      <c r="B1469" s="1" t="s">
        <v>2856</v>
      </c>
      <c r="C1469">
        <v>42352</v>
      </c>
      <c r="D1469">
        <v>881</v>
      </c>
      <c r="E1469" s="1" t="s">
        <v>3126</v>
      </c>
      <c r="F1469" s="1" t="s">
        <v>1431</v>
      </c>
      <c r="G1469" s="1" t="s">
        <v>32</v>
      </c>
      <c r="H1469">
        <v>47</v>
      </c>
      <c r="I1469">
        <v>67</v>
      </c>
      <c r="J1469">
        <v>152</v>
      </c>
      <c r="K1469" s="1" t="s">
        <v>124</v>
      </c>
      <c r="L1469" s="1" t="s">
        <v>18</v>
      </c>
      <c r="M1469" s="1" t="s">
        <v>3124</v>
      </c>
      <c r="N1469" s="1" t="s">
        <v>3127</v>
      </c>
    </row>
    <row r="1470" spans="1:14" x14ac:dyDescent="0.35">
      <c r="A1470">
        <v>3577015</v>
      </c>
      <c r="B1470" s="1" t="s">
        <v>2856</v>
      </c>
      <c r="C1470">
        <v>42352</v>
      </c>
      <c r="D1470">
        <v>881</v>
      </c>
      <c r="E1470" s="1" t="s">
        <v>3128</v>
      </c>
      <c r="F1470" s="1" t="s">
        <v>15</v>
      </c>
      <c r="G1470" s="1" t="s">
        <v>16</v>
      </c>
      <c r="H1470">
        <v>355</v>
      </c>
      <c r="I1470">
        <v>135</v>
      </c>
      <c r="J1470">
        <v>693</v>
      </c>
      <c r="K1470" s="1" t="s">
        <v>124</v>
      </c>
      <c r="L1470" s="1" t="s">
        <v>18</v>
      </c>
      <c r="M1470" s="1" t="s">
        <v>3124</v>
      </c>
      <c r="N1470" s="1" t="s">
        <v>3129</v>
      </c>
    </row>
    <row r="1471" spans="1:14" x14ac:dyDescent="0.35">
      <c r="A1471">
        <v>3577074</v>
      </c>
      <c r="B1471" s="1" t="s">
        <v>2856</v>
      </c>
      <c r="C1471">
        <v>42352</v>
      </c>
      <c r="D1471">
        <v>881</v>
      </c>
      <c r="E1471" s="1" t="s">
        <v>3130</v>
      </c>
      <c r="F1471" s="1" t="s">
        <v>15</v>
      </c>
      <c r="G1471" s="1" t="s">
        <v>32</v>
      </c>
      <c r="H1471">
        <v>153</v>
      </c>
      <c r="I1471">
        <v>29</v>
      </c>
      <c r="J1471">
        <v>409</v>
      </c>
      <c r="K1471" s="1" t="s">
        <v>23</v>
      </c>
      <c r="L1471" s="1" t="s">
        <v>24</v>
      </c>
      <c r="M1471" s="1" t="s">
        <v>3124</v>
      </c>
      <c r="N1471" s="1" t="s">
        <v>3131</v>
      </c>
    </row>
    <row r="1472" spans="1:14" x14ac:dyDescent="0.35">
      <c r="A1472">
        <v>3577086</v>
      </c>
      <c r="B1472" s="1" t="s">
        <v>2856</v>
      </c>
      <c r="C1472">
        <v>42352</v>
      </c>
      <c r="D1472">
        <v>881</v>
      </c>
      <c r="E1472" s="1" t="s">
        <v>3132</v>
      </c>
      <c r="F1472" s="1" t="s">
        <v>15</v>
      </c>
      <c r="G1472" s="1" t="s">
        <v>32</v>
      </c>
      <c r="H1472">
        <v>117</v>
      </c>
      <c r="I1472">
        <v>55</v>
      </c>
      <c r="J1472">
        <v>128</v>
      </c>
      <c r="K1472" s="1" t="s">
        <v>23</v>
      </c>
      <c r="L1472" s="1" t="s">
        <v>24</v>
      </c>
      <c r="M1472" s="1" t="s">
        <v>3124</v>
      </c>
      <c r="N1472" s="1" t="s">
        <v>3133</v>
      </c>
    </row>
    <row r="1473" spans="1:14" x14ac:dyDescent="0.35">
      <c r="A1473">
        <v>3577026</v>
      </c>
      <c r="B1473" s="1" t="s">
        <v>2856</v>
      </c>
      <c r="C1473">
        <v>42352</v>
      </c>
      <c r="D1473">
        <v>881</v>
      </c>
      <c r="E1473" s="1" t="s">
        <v>3134</v>
      </c>
      <c r="F1473" s="1" t="s">
        <v>15</v>
      </c>
      <c r="G1473" s="1" t="s">
        <v>32</v>
      </c>
      <c r="H1473">
        <v>109</v>
      </c>
      <c r="I1473">
        <v>50</v>
      </c>
      <c r="J1473">
        <v>90</v>
      </c>
      <c r="K1473" s="1" t="s">
        <v>23</v>
      </c>
      <c r="L1473" s="1" t="s">
        <v>24</v>
      </c>
      <c r="M1473" s="1" t="s">
        <v>3124</v>
      </c>
      <c r="N1473" s="1" t="s">
        <v>3135</v>
      </c>
    </row>
    <row r="1474" spans="1:14" x14ac:dyDescent="0.35">
      <c r="A1474">
        <v>3577098</v>
      </c>
      <c r="B1474" s="1" t="s">
        <v>2856</v>
      </c>
      <c r="C1474">
        <v>42352</v>
      </c>
      <c r="D1474">
        <v>881</v>
      </c>
      <c r="E1474" s="1" t="s">
        <v>3136</v>
      </c>
      <c r="F1474" s="1" t="s">
        <v>15</v>
      </c>
      <c r="G1474" s="1" t="s">
        <v>32</v>
      </c>
      <c r="H1474">
        <v>128</v>
      </c>
      <c r="I1474">
        <v>37</v>
      </c>
      <c r="K1474" s="1" t="s">
        <v>23</v>
      </c>
      <c r="L1474" s="1" t="s">
        <v>24</v>
      </c>
      <c r="M1474" s="1" t="s">
        <v>3124</v>
      </c>
      <c r="N1474" s="1" t="s">
        <v>3137</v>
      </c>
    </row>
    <row r="1475" spans="1:14" x14ac:dyDescent="0.35">
      <c r="A1475">
        <v>3577085</v>
      </c>
      <c r="B1475" s="1" t="s">
        <v>2856</v>
      </c>
      <c r="C1475">
        <v>42352</v>
      </c>
      <c r="D1475">
        <v>881</v>
      </c>
      <c r="E1475" s="1" t="s">
        <v>3138</v>
      </c>
      <c r="F1475" s="1" t="s">
        <v>15</v>
      </c>
      <c r="G1475" s="1" t="s">
        <v>32</v>
      </c>
      <c r="H1475">
        <v>194</v>
      </c>
      <c r="I1475">
        <v>33</v>
      </c>
      <c r="J1475">
        <v>411</v>
      </c>
      <c r="K1475" s="1" t="s">
        <v>137</v>
      </c>
      <c r="L1475" s="1" t="s">
        <v>18</v>
      </c>
      <c r="M1475" s="1" t="s">
        <v>3124</v>
      </c>
      <c r="N1475" s="1" t="s">
        <v>3139</v>
      </c>
    </row>
    <row r="1476" spans="1:14" x14ac:dyDescent="0.35">
      <c r="A1476">
        <v>3577099</v>
      </c>
      <c r="B1476" s="1" t="s">
        <v>2856</v>
      </c>
      <c r="C1476">
        <v>42352</v>
      </c>
      <c r="D1476">
        <v>881</v>
      </c>
      <c r="E1476" s="1" t="s">
        <v>3140</v>
      </c>
      <c r="F1476" s="1" t="s">
        <v>15</v>
      </c>
      <c r="G1476" s="1" t="s">
        <v>32</v>
      </c>
      <c r="H1476">
        <v>110</v>
      </c>
      <c r="I1476">
        <v>130</v>
      </c>
      <c r="K1476" s="1" t="s">
        <v>90</v>
      </c>
      <c r="L1476" s="1" t="s">
        <v>24</v>
      </c>
      <c r="M1476" s="1" t="s">
        <v>3124</v>
      </c>
      <c r="N1476" s="1" t="s">
        <v>3141</v>
      </c>
    </row>
    <row r="1477" spans="1:14" x14ac:dyDescent="0.35">
      <c r="A1477">
        <v>3577030</v>
      </c>
      <c r="B1477" s="1" t="s">
        <v>2856</v>
      </c>
      <c r="C1477">
        <v>42352</v>
      </c>
      <c r="D1477">
        <v>881</v>
      </c>
      <c r="E1477" s="1" t="s">
        <v>3142</v>
      </c>
      <c r="F1477" s="1" t="s">
        <v>15</v>
      </c>
      <c r="G1477" s="1" t="s">
        <v>22</v>
      </c>
      <c r="H1477">
        <v>67</v>
      </c>
      <c r="I1477">
        <v>24</v>
      </c>
      <c r="J1477">
        <v>169</v>
      </c>
      <c r="K1477" s="1" t="s">
        <v>27</v>
      </c>
      <c r="L1477" s="1" t="s">
        <v>24</v>
      </c>
      <c r="M1477" s="1" t="s">
        <v>3124</v>
      </c>
      <c r="N1477" s="1" t="s">
        <v>3143</v>
      </c>
    </row>
    <row r="1478" spans="1:14" x14ac:dyDescent="0.35">
      <c r="A1478">
        <v>3573264</v>
      </c>
      <c r="B1478" s="1" t="s">
        <v>2856</v>
      </c>
      <c r="C1478">
        <v>42352</v>
      </c>
      <c r="D1478">
        <v>881</v>
      </c>
      <c r="E1478" s="1" t="s">
        <v>3144</v>
      </c>
      <c r="F1478" s="1" t="s">
        <v>71</v>
      </c>
      <c r="G1478" s="1" t="s">
        <v>32</v>
      </c>
      <c r="H1478">
        <v>25</v>
      </c>
      <c r="I1478">
        <v>16</v>
      </c>
      <c r="J1478">
        <v>19</v>
      </c>
      <c r="K1478" s="1" t="s">
        <v>23</v>
      </c>
      <c r="L1478" s="1" t="s">
        <v>24</v>
      </c>
      <c r="M1478" s="1" t="s">
        <v>3145</v>
      </c>
      <c r="N1478" s="1" t="s">
        <v>3146</v>
      </c>
    </row>
    <row r="1479" spans="1:14" x14ac:dyDescent="0.35">
      <c r="A1479">
        <v>3573277</v>
      </c>
      <c r="B1479" s="1" t="s">
        <v>2856</v>
      </c>
      <c r="C1479">
        <v>42352</v>
      </c>
      <c r="D1479">
        <v>881</v>
      </c>
      <c r="E1479" s="1" t="s">
        <v>3147</v>
      </c>
      <c r="F1479" s="1" t="s">
        <v>71</v>
      </c>
      <c r="G1479" s="1" t="s">
        <v>32</v>
      </c>
      <c r="H1479">
        <v>41</v>
      </c>
      <c r="I1479">
        <v>11</v>
      </c>
      <c r="K1479" s="1" t="s">
        <v>95</v>
      </c>
      <c r="L1479" s="1" t="s">
        <v>24</v>
      </c>
      <c r="M1479" s="1" t="s">
        <v>3145</v>
      </c>
      <c r="N1479" s="1" t="s">
        <v>3148</v>
      </c>
    </row>
    <row r="1480" spans="1:14" x14ac:dyDescent="0.35">
      <c r="A1480">
        <v>3573243</v>
      </c>
      <c r="B1480" s="1" t="s">
        <v>2856</v>
      </c>
      <c r="C1480">
        <v>42352</v>
      </c>
      <c r="D1480">
        <v>881</v>
      </c>
      <c r="E1480" s="1" t="s">
        <v>3149</v>
      </c>
      <c r="F1480" s="1" t="s">
        <v>71</v>
      </c>
      <c r="G1480" s="1" t="s">
        <v>32</v>
      </c>
      <c r="H1480">
        <v>26</v>
      </c>
      <c r="I1480">
        <v>17</v>
      </c>
      <c r="J1480">
        <v>92</v>
      </c>
      <c r="K1480" s="1" t="s">
        <v>23</v>
      </c>
      <c r="L1480" s="1" t="s">
        <v>24</v>
      </c>
      <c r="M1480" s="1" t="s">
        <v>3145</v>
      </c>
      <c r="N1480" s="1" t="s">
        <v>3150</v>
      </c>
    </row>
    <row r="1481" spans="1:14" x14ac:dyDescent="0.35">
      <c r="A1481">
        <v>3573254</v>
      </c>
      <c r="B1481" s="1" t="s">
        <v>2856</v>
      </c>
      <c r="C1481">
        <v>42352</v>
      </c>
      <c r="D1481">
        <v>881</v>
      </c>
      <c r="E1481" s="1" t="s">
        <v>3151</v>
      </c>
      <c r="F1481" s="1" t="s">
        <v>71</v>
      </c>
      <c r="G1481" s="1" t="s">
        <v>32</v>
      </c>
      <c r="H1481">
        <v>62</v>
      </c>
      <c r="I1481">
        <v>22</v>
      </c>
      <c r="J1481">
        <v>66</v>
      </c>
      <c r="K1481" s="1" t="s">
        <v>23</v>
      </c>
      <c r="L1481" s="1" t="s">
        <v>24</v>
      </c>
      <c r="M1481" s="1" t="s">
        <v>3145</v>
      </c>
      <c r="N1481" s="1" t="s">
        <v>3152</v>
      </c>
    </row>
    <row r="1482" spans="1:14" x14ac:dyDescent="0.35">
      <c r="A1482">
        <v>3573260</v>
      </c>
      <c r="B1482" s="1" t="s">
        <v>2856</v>
      </c>
      <c r="C1482">
        <v>42352</v>
      </c>
      <c r="D1482">
        <v>881</v>
      </c>
      <c r="E1482" s="1" t="s">
        <v>3153</v>
      </c>
      <c r="F1482" s="1" t="s">
        <v>71</v>
      </c>
      <c r="G1482" s="1" t="s">
        <v>32</v>
      </c>
      <c r="H1482">
        <v>100</v>
      </c>
      <c r="I1482">
        <v>19</v>
      </c>
      <c r="J1482">
        <v>93</v>
      </c>
      <c r="K1482" s="1" t="s">
        <v>95</v>
      </c>
      <c r="L1482" s="1" t="s">
        <v>24</v>
      </c>
      <c r="M1482" s="1" t="s">
        <v>3145</v>
      </c>
      <c r="N1482" s="1" t="s">
        <v>3154</v>
      </c>
    </row>
    <row r="1483" spans="1:14" x14ac:dyDescent="0.35">
      <c r="A1483">
        <v>3573244</v>
      </c>
      <c r="B1483" s="1" t="s">
        <v>2856</v>
      </c>
      <c r="C1483">
        <v>42352</v>
      </c>
      <c r="D1483">
        <v>881</v>
      </c>
      <c r="E1483" s="1" t="s">
        <v>3155</v>
      </c>
      <c r="F1483" s="1" t="s">
        <v>71</v>
      </c>
      <c r="G1483" s="1" t="s">
        <v>32</v>
      </c>
      <c r="H1483">
        <v>30</v>
      </c>
      <c r="I1483">
        <v>31</v>
      </c>
      <c r="J1483">
        <v>83</v>
      </c>
      <c r="K1483" s="1" t="s">
        <v>23</v>
      </c>
      <c r="L1483" s="1" t="s">
        <v>24</v>
      </c>
      <c r="M1483" s="1" t="s">
        <v>3145</v>
      </c>
      <c r="N1483" s="1" t="s">
        <v>3156</v>
      </c>
    </row>
    <row r="1484" spans="1:14" x14ac:dyDescent="0.35">
      <c r="A1484">
        <v>3573252</v>
      </c>
      <c r="B1484" s="1" t="s">
        <v>2856</v>
      </c>
      <c r="C1484">
        <v>42352</v>
      </c>
      <c r="D1484">
        <v>881</v>
      </c>
      <c r="E1484" s="1" t="s">
        <v>390</v>
      </c>
      <c r="F1484" s="1" t="s">
        <v>71</v>
      </c>
      <c r="G1484" s="1" t="s">
        <v>32</v>
      </c>
      <c r="H1484">
        <v>27</v>
      </c>
      <c r="I1484">
        <v>23</v>
      </c>
      <c r="J1484">
        <v>139</v>
      </c>
      <c r="K1484" s="1" t="s">
        <v>23</v>
      </c>
      <c r="L1484" s="1" t="s">
        <v>24</v>
      </c>
      <c r="M1484" s="1" t="s">
        <v>3145</v>
      </c>
      <c r="N1484" s="1" t="s">
        <v>3157</v>
      </c>
    </row>
    <row r="1485" spans="1:14" x14ac:dyDescent="0.35">
      <c r="A1485">
        <v>3573250</v>
      </c>
      <c r="B1485" s="1" t="s">
        <v>2856</v>
      </c>
      <c r="C1485">
        <v>42352</v>
      </c>
      <c r="D1485">
        <v>881</v>
      </c>
      <c r="E1485" s="1" t="s">
        <v>325</v>
      </c>
      <c r="F1485" s="1" t="s">
        <v>71</v>
      </c>
      <c r="G1485" s="1" t="s">
        <v>32</v>
      </c>
      <c r="H1485">
        <v>63</v>
      </c>
      <c r="I1485">
        <v>32</v>
      </c>
      <c r="J1485">
        <v>259</v>
      </c>
      <c r="K1485" s="1" t="s">
        <v>23</v>
      </c>
      <c r="L1485" s="1" t="s">
        <v>24</v>
      </c>
      <c r="M1485" s="1" t="s">
        <v>3145</v>
      </c>
      <c r="N1485" s="1" t="s">
        <v>3158</v>
      </c>
    </row>
    <row r="1486" spans="1:14" x14ac:dyDescent="0.35">
      <c r="A1486">
        <v>3573247</v>
      </c>
      <c r="B1486" s="1" t="s">
        <v>2856</v>
      </c>
      <c r="C1486">
        <v>42352</v>
      </c>
      <c r="D1486">
        <v>881</v>
      </c>
      <c r="E1486" s="1" t="s">
        <v>2594</v>
      </c>
      <c r="F1486" s="1" t="s">
        <v>71</v>
      </c>
      <c r="G1486" s="1" t="s">
        <v>32</v>
      </c>
      <c r="H1486">
        <v>28</v>
      </c>
      <c r="I1486">
        <v>15</v>
      </c>
      <c r="J1486">
        <v>38</v>
      </c>
      <c r="K1486" s="1" t="s">
        <v>23</v>
      </c>
      <c r="L1486" s="1" t="s">
        <v>24</v>
      </c>
      <c r="M1486" s="1" t="s">
        <v>3145</v>
      </c>
      <c r="N1486" s="1" t="s">
        <v>3159</v>
      </c>
    </row>
    <row r="1487" spans="1:14" x14ac:dyDescent="0.35">
      <c r="A1487">
        <v>3573135</v>
      </c>
      <c r="B1487" s="1" t="s">
        <v>2856</v>
      </c>
      <c r="C1487">
        <v>42352</v>
      </c>
      <c r="D1487">
        <v>881</v>
      </c>
      <c r="E1487" s="1" t="s">
        <v>3160</v>
      </c>
      <c r="F1487" s="1" t="s">
        <v>71</v>
      </c>
      <c r="G1487" s="1" t="s">
        <v>32</v>
      </c>
      <c r="H1487">
        <v>30</v>
      </c>
      <c r="I1487">
        <v>24</v>
      </c>
      <c r="J1487">
        <v>81</v>
      </c>
      <c r="K1487" s="1" t="s">
        <v>23</v>
      </c>
      <c r="L1487" s="1" t="s">
        <v>24</v>
      </c>
      <c r="M1487" s="1" t="s">
        <v>3145</v>
      </c>
      <c r="N1487" s="1" t="s">
        <v>3161</v>
      </c>
    </row>
    <row r="1488" spans="1:14" x14ac:dyDescent="0.35">
      <c r="A1488">
        <v>3573097</v>
      </c>
      <c r="B1488" s="1" t="s">
        <v>2856</v>
      </c>
      <c r="C1488">
        <v>42352</v>
      </c>
      <c r="D1488">
        <v>881</v>
      </c>
      <c r="E1488" s="1" t="s">
        <v>3162</v>
      </c>
      <c r="F1488" s="1" t="s">
        <v>71</v>
      </c>
      <c r="G1488" s="1" t="s">
        <v>32</v>
      </c>
      <c r="H1488">
        <v>30</v>
      </c>
      <c r="I1488">
        <v>19</v>
      </c>
      <c r="J1488">
        <v>116</v>
      </c>
      <c r="K1488" s="1" t="s">
        <v>23</v>
      </c>
      <c r="L1488" s="1" t="s">
        <v>24</v>
      </c>
      <c r="M1488" s="1" t="s">
        <v>3145</v>
      </c>
      <c r="N1488" s="1" t="s">
        <v>3163</v>
      </c>
    </row>
    <row r="1489" spans="1:14" x14ac:dyDescent="0.35">
      <c r="A1489">
        <v>3573251</v>
      </c>
      <c r="B1489" s="1" t="s">
        <v>2856</v>
      </c>
      <c r="C1489">
        <v>42352</v>
      </c>
      <c r="D1489">
        <v>881</v>
      </c>
      <c r="E1489" s="1" t="s">
        <v>3164</v>
      </c>
      <c r="F1489" s="1" t="s">
        <v>71</v>
      </c>
      <c r="G1489" s="1" t="s">
        <v>32</v>
      </c>
      <c r="H1489">
        <v>25</v>
      </c>
      <c r="I1489">
        <v>15</v>
      </c>
      <c r="J1489">
        <v>65</v>
      </c>
      <c r="K1489" s="1" t="s">
        <v>23</v>
      </c>
      <c r="L1489" s="1" t="s">
        <v>24</v>
      </c>
      <c r="M1489" s="1" t="s">
        <v>3145</v>
      </c>
      <c r="N1489" s="1" t="s">
        <v>3165</v>
      </c>
    </row>
    <row r="1490" spans="1:14" x14ac:dyDescent="0.35">
      <c r="A1490">
        <v>3573011</v>
      </c>
      <c r="B1490" s="1" t="s">
        <v>2856</v>
      </c>
      <c r="C1490">
        <v>42352</v>
      </c>
      <c r="D1490">
        <v>881</v>
      </c>
      <c r="E1490" s="1" t="s">
        <v>3166</v>
      </c>
      <c r="F1490" s="1" t="s">
        <v>15</v>
      </c>
      <c r="G1490" s="1" t="s">
        <v>130</v>
      </c>
      <c r="H1490">
        <v>935</v>
      </c>
      <c r="I1490">
        <v>157</v>
      </c>
      <c r="J1490">
        <v>2983</v>
      </c>
      <c r="K1490" s="1" t="s">
        <v>124</v>
      </c>
      <c r="L1490" s="1" t="s">
        <v>18</v>
      </c>
      <c r="M1490" s="1" t="s">
        <v>3145</v>
      </c>
      <c r="N1490" s="1" t="s">
        <v>3167</v>
      </c>
    </row>
    <row r="1491" spans="1:14" x14ac:dyDescent="0.35">
      <c r="A1491">
        <v>3573257</v>
      </c>
      <c r="B1491" s="1" t="s">
        <v>2856</v>
      </c>
      <c r="C1491">
        <v>42352</v>
      </c>
      <c r="D1491">
        <v>881</v>
      </c>
      <c r="E1491" s="1" t="s">
        <v>3168</v>
      </c>
      <c r="F1491" s="1" t="s">
        <v>15</v>
      </c>
      <c r="G1491" s="1" t="s">
        <v>16</v>
      </c>
      <c r="H1491">
        <v>202</v>
      </c>
      <c r="I1491">
        <v>99</v>
      </c>
      <c r="J1491">
        <v>556</v>
      </c>
      <c r="K1491" s="1" t="s">
        <v>23</v>
      </c>
      <c r="L1491" s="1" t="s">
        <v>24</v>
      </c>
      <c r="M1491" s="1" t="s">
        <v>3145</v>
      </c>
      <c r="N1491" s="1" t="s">
        <v>3169</v>
      </c>
    </row>
    <row r="1492" spans="1:14" x14ac:dyDescent="0.35">
      <c r="A1492">
        <v>3573044</v>
      </c>
      <c r="B1492" s="1" t="s">
        <v>2856</v>
      </c>
      <c r="C1492">
        <v>42352</v>
      </c>
      <c r="D1492">
        <v>881</v>
      </c>
      <c r="E1492" s="1" t="s">
        <v>3170</v>
      </c>
      <c r="F1492" s="1" t="s">
        <v>15</v>
      </c>
      <c r="G1492" s="1" t="s">
        <v>16</v>
      </c>
      <c r="H1492">
        <v>200</v>
      </c>
      <c r="I1492">
        <v>63</v>
      </c>
      <c r="J1492">
        <v>763</v>
      </c>
      <c r="K1492" s="1" t="s">
        <v>23</v>
      </c>
      <c r="L1492" s="1" t="s">
        <v>24</v>
      </c>
      <c r="M1492" s="1" t="s">
        <v>3145</v>
      </c>
      <c r="N1492" s="1" t="s">
        <v>3171</v>
      </c>
    </row>
    <row r="1493" spans="1:14" x14ac:dyDescent="0.35">
      <c r="A1493">
        <v>3573055</v>
      </c>
      <c r="B1493" s="1" t="s">
        <v>2856</v>
      </c>
      <c r="C1493">
        <v>42352</v>
      </c>
      <c r="D1493">
        <v>881</v>
      </c>
      <c r="E1493" s="1" t="s">
        <v>3172</v>
      </c>
      <c r="F1493" s="1" t="s">
        <v>15</v>
      </c>
      <c r="G1493" s="1" t="s">
        <v>16</v>
      </c>
      <c r="H1493">
        <v>200</v>
      </c>
      <c r="I1493">
        <v>94</v>
      </c>
      <c r="J1493">
        <v>771</v>
      </c>
      <c r="K1493" s="1" t="s">
        <v>23</v>
      </c>
      <c r="L1493" s="1" t="s">
        <v>24</v>
      </c>
      <c r="M1493" s="1" t="s">
        <v>3145</v>
      </c>
      <c r="N1493" s="1" t="s">
        <v>3173</v>
      </c>
    </row>
    <row r="1494" spans="1:14" x14ac:dyDescent="0.35">
      <c r="A1494">
        <v>3573022</v>
      </c>
      <c r="B1494" s="1" t="s">
        <v>2856</v>
      </c>
      <c r="C1494">
        <v>42352</v>
      </c>
      <c r="D1494">
        <v>881</v>
      </c>
      <c r="E1494" s="1" t="s">
        <v>3174</v>
      </c>
      <c r="F1494" s="1" t="s">
        <v>15</v>
      </c>
      <c r="G1494" s="1" t="s">
        <v>16</v>
      </c>
      <c r="H1494">
        <v>228</v>
      </c>
      <c r="I1494">
        <v>56</v>
      </c>
      <c r="J1494">
        <v>827</v>
      </c>
      <c r="K1494" s="1" t="s">
        <v>27</v>
      </c>
      <c r="L1494" s="1" t="s">
        <v>120</v>
      </c>
      <c r="M1494" s="1" t="s">
        <v>3145</v>
      </c>
      <c r="N1494" s="1" t="s">
        <v>3175</v>
      </c>
    </row>
    <row r="1495" spans="1:14" x14ac:dyDescent="0.35">
      <c r="A1495">
        <v>3573066</v>
      </c>
      <c r="B1495" s="1" t="s">
        <v>2856</v>
      </c>
      <c r="C1495">
        <v>42352</v>
      </c>
      <c r="D1495">
        <v>881</v>
      </c>
      <c r="E1495" s="1" t="s">
        <v>3176</v>
      </c>
      <c r="F1495" s="1" t="s">
        <v>15</v>
      </c>
      <c r="G1495" s="1" t="s">
        <v>16</v>
      </c>
      <c r="H1495">
        <v>200</v>
      </c>
      <c r="I1495">
        <v>104</v>
      </c>
      <c r="J1495">
        <v>410</v>
      </c>
      <c r="K1495" s="1" t="s">
        <v>23</v>
      </c>
      <c r="L1495" s="1" t="s">
        <v>24</v>
      </c>
      <c r="M1495" s="1" t="s">
        <v>3145</v>
      </c>
      <c r="N1495" s="1" t="s">
        <v>3177</v>
      </c>
    </row>
    <row r="1496" spans="1:14" x14ac:dyDescent="0.35">
      <c r="A1496">
        <v>3573246</v>
      </c>
      <c r="B1496" s="1" t="s">
        <v>2856</v>
      </c>
      <c r="C1496">
        <v>42352</v>
      </c>
      <c r="D1496">
        <v>881</v>
      </c>
      <c r="E1496" s="1" t="s">
        <v>3178</v>
      </c>
      <c r="F1496" s="1" t="s">
        <v>15</v>
      </c>
      <c r="G1496" s="1" t="s">
        <v>32</v>
      </c>
      <c r="H1496">
        <v>135</v>
      </c>
      <c r="I1496">
        <v>55</v>
      </c>
      <c r="J1496">
        <v>348</v>
      </c>
      <c r="K1496" s="1" t="s">
        <v>23</v>
      </c>
      <c r="L1496" s="1" t="s">
        <v>24</v>
      </c>
      <c r="M1496" s="1" t="s">
        <v>3145</v>
      </c>
      <c r="N1496" s="1" t="s">
        <v>3179</v>
      </c>
    </row>
    <row r="1497" spans="1:14" x14ac:dyDescent="0.35">
      <c r="A1497">
        <v>3573215</v>
      </c>
      <c r="B1497" s="1" t="s">
        <v>2856</v>
      </c>
      <c r="C1497">
        <v>42352</v>
      </c>
      <c r="D1497">
        <v>881</v>
      </c>
      <c r="E1497" s="1" t="s">
        <v>3180</v>
      </c>
      <c r="F1497" s="1" t="s">
        <v>15</v>
      </c>
      <c r="G1497" s="1" t="s">
        <v>32</v>
      </c>
      <c r="H1497">
        <v>165</v>
      </c>
      <c r="I1497">
        <v>87</v>
      </c>
      <c r="J1497">
        <v>504</v>
      </c>
      <c r="K1497" s="1" t="s">
        <v>23</v>
      </c>
      <c r="L1497" s="1" t="s">
        <v>24</v>
      </c>
      <c r="M1497" s="1" t="s">
        <v>3145</v>
      </c>
      <c r="N1497" s="1" t="s">
        <v>3181</v>
      </c>
    </row>
    <row r="1498" spans="1:14" x14ac:dyDescent="0.35">
      <c r="A1498">
        <v>3573258</v>
      </c>
      <c r="B1498" s="1" t="s">
        <v>2856</v>
      </c>
      <c r="C1498">
        <v>42352</v>
      </c>
      <c r="D1498">
        <v>881</v>
      </c>
      <c r="E1498" s="1" t="s">
        <v>3182</v>
      </c>
      <c r="F1498" s="1" t="s">
        <v>15</v>
      </c>
      <c r="G1498" s="1" t="s">
        <v>32</v>
      </c>
      <c r="H1498">
        <v>100</v>
      </c>
      <c r="I1498">
        <v>38</v>
      </c>
      <c r="J1498">
        <v>268</v>
      </c>
      <c r="K1498" s="1" t="s">
        <v>137</v>
      </c>
      <c r="L1498" s="1" t="s">
        <v>18</v>
      </c>
      <c r="M1498" s="1" t="s">
        <v>3145</v>
      </c>
      <c r="N1498" s="1" t="s">
        <v>3183</v>
      </c>
    </row>
    <row r="1499" spans="1:14" x14ac:dyDescent="0.35">
      <c r="A1499">
        <v>3573226</v>
      </c>
      <c r="B1499" s="1" t="s">
        <v>2856</v>
      </c>
      <c r="C1499">
        <v>42352</v>
      </c>
      <c r="D1499">
        <v>881</v>
      </c>
      <c r="E1499" s="1" t="s">
        <v>3184</v>
      </c>
      <c r="F1499" s="1" t="s">
        <v>15</v>
      </c>
      <c r="G1499" s="1" t="s">
        <v>32</v>
      </c>
      <c r="H1499">
        <v>117</v>
      </c>
      <c r="I1499">
        <v>116</v>
      </c>
      <c r="J1499">
        <v>499</v>
      </c>
      <c r="K1499" s="1" t="s">
        <v>23</v>
      </c>
      <c r="L1499" s="1" t="s">
        <v>24</v>
      </c>
      <c r="M1499" s="1" t="s">
        <v>3145</v>
      </c>
      <c r="N1499" s="1" t="s">
        <v>3185</v>
      </c>
    </row>
    <row r="1500" spans="1:14" x14ac:dyDescent="0.35">
      <c r="A1500">
        <v>3573262</v>
      </c>
      <c r="B1500" s="1" t="s">
        <v>2856</v>
      </c>
      <c r="C1500">
        <v>42352</v>
      </c>
      <c r="D1500">
        <v>881</v>
      </c>
      <c r="E1500" s="1" t="s">
        <v>3186</v>
      </c>
      <c r="F1500" s="1" t="s">
        <v>15</v>
      </c>
      <c r="G1500" s="1" t="s">
        <v>32</v>
      </c>
      <c r="H1500">
        <v>100</v>
      </c>
      <c r="I1500">
        <v>96</v>
      </c>
      <c r="J1500">
        <v>363</v>
      </c>
      <c r="K1500" s="1" t="s">
        <v>49</v>
      </c>
      <c r="L1500" s="1" t="s">
        <v>24</v>
      </c>
      <c r="M1500" s="1" t="s">
        <v>3145</v>
      </c>
      <c r="N1500" s="1" t="s">
        <v>3187</v>
      </c>
    </row>
    <row r="1501" spans="1:14" x14ac:dyDescent="0.35">
      <c r="A1501">
        <v>3573276</v>
      </c>
      <c r="B1501" s="1" t="s">
        <v>2856</v>
      </c>
      <c r="C1501">
        <v>42352</v>
      </c>
      <c r="D1501">
        <v>881</v>
      </c>
      <c r="E1501" s="1" t="s">
        <v>3188</v>
      </c>
      <c r="F1501" s="1" t="s">
        <v>15</v>
      </c>
      <c r="G1501" s="1" t="s">
        <v>22</v>
      </c>
      <c r="H1501">
        <v>52</v>
      </c>
      <c r="I1501">
        <v>56</v>
      </c>
      <c r="K1501" s="1" t="s">
        <v>23</v>
      </c>
      <c r="L1501" s="1" t="s">
        <v>24</v>
      </c>
      <c r="M1501" s="1" t="s">
        <v>3145</v>
      </c>
      <c r="N1501" s="1" t="s">
        <v>3189</v>
      </c>
    </row>
    <row r="1502" spans="1:14" x14ac:dyDescent="0.35">
      <c r="A1502">
        <v>3573249</v>
      </c>
      <c r="B1502" s="1" t="s">
        <v>2856</v>
      </c>
      <c r="C1502">
        <v>42352</v>
      </c>
      <c r="D1502">
        <v>881</v>
      </c>
      <c r="E1502" s="1" t="s">
        <v>1495</v>
      </c>
      <c r="F1502" s="1" t="s">
        <v>15</v>
      </c>
      <c r="G1502" s="1" t="s">
        <v>22</v>
      </c>
      <c r="H1502">
        <v>50</v>
      </c>
      <c r="I1502">
        <v>39</v>
      </c>
      <c r="J1502">
        <v>169</v>
      </c>
      <c r="K1502" s="1" t="s">
        <v>90</v>
      </c>
      <c r="L1502" s="1" t="s">
        <v>24</v>
      </c>
      <c r="M1502" s="1" t="s">
        <v>3145</v>
      </c>
      <c r="N1502" s="1" t="s">
        <v>3190</v>
      </c>
    </row>
    <row r="1503" spans="1:14" x14ac:dyDescent="0.35">
      <c r="A1503">
        <v>3573261</v>
      </c>
      <c r="B1503" s="1" t="s">
        <v>2856</v>
      </c>
      <c r="C1503">
        <v>42352</v>
      </c>
      <c r="D1503">
        <v>881</v>
      </c>
      <c r="E1503" s="1" t="s">
        <v>3191</v>
      </c>
      <c r="F1503" s="1" t="s">
        <v>15</v>
      </c>
      <c r="G1503" s="1" t="s">
        <v>22</v>
      </c>
      <c r="H1503">
        <v>51</v>
      </c>
      <c r="I1503">
        <v>26</v>
      </c>
      <c r="J1503">
        <v>66</v>
      </c>
      <c r="K1503" s="1" t="s">
        <v>27</v>
      </c>
      <c r="L1503" s="1" t="s">
        <v>24</v>
      </c>
      <c r="M1503" s="1" t="s">
        <v>3145</v>
      </c>
      <c r="N1503" s="1" t="s">
        <v>3192</v>
      </c>
    </row>
    <row r="1504" spans="1:14" x14ac:dyDescent="0.35">
      <c r="A1504">
        <v>3576014</v>
      </c>
      <c r="B1504" s="1" t="s">
        <v>2856</v>
      </c>
      <c r="C1504">
        <v>42352</v>
      </c>
      <c r="D1504">
        <v>881</v>
      </c>
      <c r="E1504" s="1" t="s">
        <v>3193</v>
      </c>
      <c r="F1504" s="1" t="s">
        <v>15</v>
      </c>
      <c r="G1504" s="1" t="s">
        <v>16</v>
      </c>
      <c r="H1504">
        <v>202</v>
      </c>
      <c r="I1504">
        <v>42</v>
      </c>
      <c r="J1504">
        <v>801</v>
      </c>
      <c r="K1504" s="1" t="s">
        <v>137</v>
      </c>
      <c r="L1504" s="1" t="s">
        <v>18</v>
      </c>
      <c r="M1504" s="1" t="s">
        <v>3194</v>
      </c>
      <c r="N1504" s="1" t="s">
        <v>3195</v>
      </c>
    </row>
    <row r="1505" spans="1:14" x14ac:dyDescent="0.35">
      <c r="A1505">
        <v>3576036</v>
      </c>
      <c r="B1505" s="1" t="s">
        <v>2856</v>
      </c>
      <c r="C1505">
        <v>42352</v>
      </c>
      <c r="D1505">
        <v>881</v>
      </c>
      <c r="E1505" s="1" t="s">
        <v>3196</v>
      </c>
      <c r="F1505" s="1" t="s">
        <v>15</v>
      </c>
      <c r="G1505" s="1" t="s">
        <v>32</v>
      </c>
      <c r="H1505">
        <v>125</v>
      </c>
      <c r="I1505">
        <v>37</v>
      </c>
      <c r="J1505">
        <v>393</v>
      </c>
      <c r="K1505" s="1" t="s">
        <v>23</v>
      </c>
      <c r="L1505" s="1" t="s">
        <v>24</v>
      </c>
      <c r="M1505" s="1" t="s">
        <v>3194</v>
      </c>
      <c r="N1505" s="1" t="s">
        <v>3197</v>
      </c>
    </row>
    <row r="1506" spans="1:14" x14ac:dyDescent="0.35">
      <c r="A1506">
        <v>3576076</v>
      </c>
      <c r="B1506" s="1" t="s">
        <v>2856</v>
      </c>
      <c r="C1506">
        <v>42352</v>
      </c>
      <c r="D1506">
        <v>881</v>
      </c>
      <c r="E1506" s="1" t="s">
        <v>3198</v>
      </c>
      <c r="F1506" s="1" t="s">
        <v>15</v>
      </c>
      <c r="G1506" s="1" t="s">
        <v>32</v>
      </c>
      <c r="H1506">
        <v>103</v>
      </c>
      <c r="I1506">
        <v>37</v>
      </c>
      <c r="J1506">
        <v>153</v>
      </c>
      <c r="K1506" s="1" t="s">
        <v>84</v>
      </c>
      <c r="L1506" s="1" t="s">
        <v>24</v>
      </c>
      <c r="M1506" s="1" t="s">
        <v>3194</v>
      </c>
      <c r="N1506" s="1" t="s">
        <v>3199</v>
      </c>
    </row>
    <row r="1507" spans="1:14" x14ac:dyDescent="0.35">
      <c r="A1507">
        <v>3576051</v>
      </c>
      <c r="B1507" s="1" t="s">
        <v>2856</v>
      </c>
      <c r="C1507">
        <v>42352</v>
      </c>
      <c r="D1507">
        <v>881</v>
      </c>
      <c r="E1507" s="1" t="s">
        <v>3200</v>
      </c>
      <c r="F1507" s="1" t="s">
        <v>15</v>
      </c>
      <c r="G1507" s="1" t="s">
        <v>32</v>
      </c>
      <c r="H1507">
        <v>102</v>
      </c>
      <c r="I1507">
        <v>46</v>
      </c>
      <c r="J1507">
        <v>188</v>
      </c>
      <c r="K1507" s="1" t="s">
        <v>444</v>
      </c>
      <c r="L1507" s="1" t="s">
        <v>24</v>
      </c>
      <c r="M1507" s="1" t="s">
        <v>3194</v>
      </c>
      <c r="N1507" s="1" t="s">
        <v>3201</v>
      </c>
    </row>
    <row r="1508" spans="1:14" x14ac:dyDescent="0.35">
      <c r="A1508">
        <v>3576040</v>
      </c>
      <c r="B1508" s="1" t="s">
        <v>2856</v>
      </c>
      <c r="C1508">
        <v>42352</v>
      </c>
      <c r="D1508">
        <v>881</v>
      </c>
      <c r="E1508" s="1" t="s">
        <v>3202</v>
      </c>
      <c r="F1508" s="1" t="s">
        <v>15</v>
      </c>
      <c r="G1508" s="1" t="s">
        <v>32</v>
      </c>
      <c r="H1508">
        <v>105</v>
      </c>
      <c r="I1508">
        <v>88</v>
      </c>
      <c r="J1508">
        <v>251</v>
      </c>
      <c r="K1508" s="1" t="s">
        <v>84</v>
      </c>
      <c r="L1508" s="1" t="s">
        <v>24</v>
      </c>
      <c r="M1508" s="1" t="s">
        <v>3194</v>
      </c>
      <c r="N1508" s="1" t="s">
        <v>3203</v>
      </c>
    </row>
    <row r="1509" spans="1:14" x14ac:dyDescent="0.35">
      <c r="A1509">
        <v>3576074</v>
      </c>
      <c r="B1509" s="1" t="s">
        <v>2856</v>
      </c>
      <c r="C1509">
        <v>42352</v>
      </c>
      <c r="D1509">
        <v>881</v>
      </c>
      <c r="E1509" s="1" t="s">
        <v>3204</v>
      </c>
      <c r="F1509" s="1" t="s">
        <v>15</v>
      </c>
      <c r="G1509" s="1" t="s">
        <v>22</v>
      </c>
      <c r="H1509">
        <v>73</v>
      </c>
      <c r="I1509">
        <v>27</v>
      </c>
      <c r="J1509">
        <v>154</v>
      </c>
      <c r="K1509" s="1" t="s">
        <v>90</v>
      </c>
      <c r="L1509" s="1" t="s">
        <v>24</v>
      </c>
      <c r="M1509" s="1" t="s">
        <v>3194</v>
      </c>
      <c r="N1509" s="1" t="s">
        <v>3205</v>
      </c>
    </row>
    <row r="1510" spans="1:14" x14ac:dyDescent="0.35">
      <c r="A1510">
        <v>3575013</v>
      </c>
      <c r="B1510" s="1" t="s">
        <v>2856</v>
      </c>
      <c r="C1510">
        <v>42352</v>
      </c>
      <c r="D1510">
        <v>881</v>
      </c>
      <c r="E1510" s="1" t="s">
        <v>3206</v>
      </c>
      <c r="F1510" s="1" t="s">
        <v>15</v>
      </c>
      <c r="G1510" s="1" t="s">
        <v>32</v>
      </c>
      <c r="H1510">
        <v>211</v>
      </c>
      <c r="I1510">
        <v>80</v>
      </c>
      <c r="J1510">
        <v>400</v>
      </c>
      <c r="K1510" s="1" t="s">
        <v>137</v>
      </c>
      <c r="L1510" s="1" t="s">
        <v>18</v>
      </c>
      <c r="M1510" s="1" t="s">
        <v>3207</v>
      </c>
      <c r="N1510" s="1" t="s">
        <v>3208</v>
      </c>
    </row>
    <row r="1511" spans="1:14" x14ac:dyDescent="0.35">
      <c r="A1511">
        <v>3514057</v>
      </c>
      <c r="B1511" s="1" t="s">
        <v>2856</v>
      </c>
      <c r="C1511">
        <v>42352</v>
      </c>
      <c r="D1511">
        <v>881</v>
      </c>
      <c r="E1511" s="1" t="s">
        <v>3209</v>
      </c>
      <c r="F1511" s="1" t="s">
        <v>15</v>
      </c>
      <c r="G1511" s="1" t="s">
        <v>22</v>
      </c>
      <c r="H1511">
        <v>85</v>
      </c>
      <c r="I1511">
        <v>24</v>
      </c>
      <c r="J1511">
        <v>111</v>
      </c>
      <c r="K1511" s="1" t="s">
        <v>23</v>
      </c>
      <c r="L1511" s="1" t="s">
        <v>24</v>
      </c>
      <c r="M1511" s="1" t="s">
        <v>3207</v>
      </c>
      <c r="N1511" s="1" t="s">
        <v>3210</v>
      </c>
    </row>
    <row r="1512" spans="1:14" x14ac:dyDescent="0.35">
      <c r="A1512">
        <v>3574069</v>
      </c>
      <c r="B1512" s="1" t="s">
        <v>2856</v>
      </c>
      <c r="C1512">
        <v>42352</v>
      </c>
      <c r="D1512">
        <v>881</v>
      </c>
      <c r="E1512" s="1" t="s">
        <v>3211</v>
      </c>
      <c r="F1512" s="1" t="s">
        <v>71</v>
      </c>
      <c r="G1512" s="1" t="s">
        <v>32</v>
      </c>
      <c r="H1512">
        <v>82</v>
      </c>
      <c r="I1512">
        <v>16</v>
      </c>
      <c r="J1512">
        <v>160</v>
      </c>
      <c r="K1512" s="1" t="s">
        <v>23</v>
      </c>
      <c r="L1512" s="1" t="s">
        <v>24</v>
      </c>
      <c r="M1512" s="1" t="s">
        <v>3212</v>
      </c>
      <c r="N1512" s="1" t="s">
        <v>3213</v>
      </c>
    </row>
    <row r="1513" spans="1:14" x14ac:dyDescent="0.35">
      <c r="A1513">
        <v>3574068</v>
      </c>
      <c r="B1513" s="1" t="s">
        <v>2856</v>
      </c>
      <c r="C1513">
        <v>42352</v>
      </c>
      <c r="D1513">
        <v>881</v>
      </c>
      <c r="E1513" s="1" t="s">
        <v>3214</v>
      </c>
      <c r="F1513" s="1" t="s">
        <v>71</v>
      </c>
      <c r="G1513" s="1" t="s">
        <v>32</v>
      </c>
      <c r="H1513">
        <v>96</v>
      </c>
      <c r="I1513">
        <v>17</v>
      </c>
      <c r="J1513">
        <v>108</v>
      </c>
      <c r="K1513" s="1" t="s">
        <v>90</v>
      </c>
      <c r="L1513" s="1" t="s">
        <v>24</v>
      </c>
      <c r="M1513" s="1" t="s">
        <v>3212</v>
      </c>
      <c r="N1513" s="1" t="s">
        <v>3215</v>
      </c>
    </row>
    <row r="1514" spans="1:14" x14ac:dyDescent="0.35">
      <c r="A1514">
        <v>3574012</v>
      </c>
      <c r="B1514" s="1" t="s">
        <v>2856</v>
      </c>
      <c r="C1514">
        <v>42352</v>
      </c>
      <c r="D1514">
        <v>881</v>
      </c>
      <c r="E1514" s="1" t="s">
        <v>3216</v>
      </c>
      <c r="F1514" s="1" t="s">
        <v>15</v>
      </c>
      <c r="G1514" s="1" t="s">
        <v>16</v>
      </c>
      <c r="H1514">
        <v>211</v>
      </c>
      <c r="I1514">
        <v>61</v>
      </c>
      <c r="J1514">
        <v>1010</v>
      </c>
      <c r="K1514" s="1" t="s">
        <v>137</v>
      </c>
      <c r="L1514" s="1" t="s">
        <v>18</v>
      </c>
      <c r="M1514" s="1" t="s">
        <v>3212</v>
      </c>
      <c r="N1514" s="1" t="s">
        <v>3217</v>
      </c>
    </row>
    <row r="1515" spans="1:14" x14ac:dyDescent="0.35">
      <c r="A1515">
        <v>3574080</v>
      </c>
      <c r="B1515" s="1" t="s">
        <v>2856</v>
      </c>
      <c r="C1515">
        <v>42352</v>
      </c>
      <c r="D1515">
        <v>881</v>
      </c>
      <c r="E1515" s="1" t="s">
        <v>3218</v>
      </c>
      <c r="F1515" s="1" t="s">
        <v>15</v>
      </c>
      <c r="G1515" s="1" t="s">
        <v>32</v>
      </c>
      <c r="H1515">
        <v>106</v>
      </c>
      <c r="I1515">
        <v>35</v>
      </c>
      <c r="K1515" s="1" t="s">
        <v>17</v>
      </c>
      <c r="L1515" s="1" t="s">
        <v>24</v>
      </c>
      <c r="M1515" s="1" t="s">
        <v>3212</v>
      </c>
      <c r="N1515" s="1" t="s">
        <v>3219</v>
      </c>
    </row>
    <row r="1516" spans="1:14" x14ac:dyDescent="0.35">
      <c r="A1516">
        <v>3574023</v>
      </c>
      <c r="B1516" s="1" t="s">
        <v>2856</v>
      </c>
      <c r="C1516">
        <v>42352</v>
      </c>
      <c r="D1516">
        <v>881</v>
      </c>
      <c r="E1516" s="1" t="s">
        <v>3220</v>
      </c>
      <c r="F1516" s="1" t="s">
        <v>15</v>
      </c>
      <c r="G1516" s="1" t="s">
        <v>22</v>
      </c>
      <c r="H1516">
        <v>68</v>
      </c>
      <c r="I1516">
        <v>25</v>
      </c>
      <c r="J1516">
        <v>60</v>
      </c>
      <c r="K1516" s="1" t="s">
        <v>23</v>
      </c>
      <c r="L1516" s="1" t="s">
        <v>24</v>
      </c>
      <c r="M1516" s="1" t="s">
        <v>3212</v>
      </c>
      <c r="N1516" s="1" t="s">
        <v>3221</v>
      </c>
    </row>
    <row r="1517" spans="1:14" x14ac:dyDescent="0.35">
      <c r="A1517">
        <v>3578731</v>
      </c>
      <c r="B1517" s="1" t="s">
        <v>2856</v>
      </c>
      <c r="C1517">
        <v>42352</v>
      </c>
      <c r="D1517">
        <v>881</v>
      </c>
      <c r="E1517" s="1" t="s">
        <v>3222</v>
      </c>
      <c r="F1517" s="1" t="s">
        <v>119</v>
      </c>
      <c r="G1517" s="1" t="s">
        <v>16</v>
      </c>
      <c r="H1517">
        <v>12</v>
      </c>
      <c r="I1517">
        <v>17</v>
      </c>
      <c r="J1517">
        <v>109</v>
      </c>
      <c r="K1517" s="1" t="s">
        <v>84</v>
      </c>
      <c r="L1517" s="1" t="s">
        <v>24</v>
      </c>
      <c r="M1517" s="1" t="s">
        <v>3223</v>
      </c>
      <c r="N1517" s="1" t="s">
        <v>3224</v>
      </c>
    </row>
    <row r="1518" spans="1:14" x14ac:dyDescent="0.35">
      <c r="A1518">
        <v>3578625</v>
      </c>
      <c r="B1518" s="1" t="s">
        <v>2856</v>
      </c>
      <c r="C1518">
        <v>42352</v>
      </c>
      <c r="D1518">
        <v>881</v>
      </c>
      <c r="E1518" s="1" t="s">
        <v>3225</v>
      </c>
      <c r="F1518" s="1" t="s">
        <v>119</v>
      </c>
      <c r="G1518" s="1" t="s">
        <v>16</v>
      </c>
      <c r="H1518">
        <v>16</v>
      </c>
      <c r="I1518">
        <v>14</v>
      </c>
      <c r="J1518">
        <v>280</v>
      </c>
      <c r="K1518" s="1" t="s">
        <v>49</v>
      </c>
      <c r="L1518" s="1" t="s">
        <v>24</v>
      </c>
      <c r="M1518" s="1" t="s">
        <v>3223</v>
      </c>
      <c r="N1518" s="1" t="s">
        <v>3226</v>
      </c>
    </row>
    <row r="1519" spans="1:14" x14ac:dyDescent="0.35">
      <c r="A1519">
        <v>3578769</v>
      </c>
      <c r="B1519" s="1" t="s">
        <v>2856</v>
      </c>
      <c r="C1519">
        <v>42352</v>
      </c>
      <c r="D1519">
        <v>881</v>
      </c>
      <c r="E1519" s="1" t="s">
        <v>3227</v>
      </c>
      <c r="F1519" s="1" t="s">
        <v>71</v>
      </c>
      <c r="G1519" s="1" t="s">
        <v>32</v>
      </c>
      <c r="H1519">
        <v>30</v>
      </c>
      <c r="I1519">
        <v>20</v>
      </c>
      <c r="J1519">
        <v>143</v>
      </c>
      <c r="K1519" s="1" t="s">
        <v>23</v>
      </c>
      <c r="L1519" s="1" t="s">
        <v>24</v>
      </c>
      <c r="M1519" s="1" t="s">
        <v>3223</v>
      </c>
      <c r="N1519" s="1" t="s">
        <v>3228</v>
      </c>
    </row>
    <row r="1520" spans="1:14" x14ac:dyDescent="0.35">
      <c r="A1520">
        <v>3578771</v>
      </c>
      <c r="B1520" s="1" t="s">
        <v>2856</v>
      </c>
      <c r="C1520">
        <v>42352</v>
      </c>
      <c r="D1520">
        <v>881</v>
      </c>
      <c r="E1520" s="1" t="s">
        <v>3229</v>
      </c>
      <c r="F1520" s="1" t="s">
        <v>71</v>
      </c>
      <c r="G1520" s="1" t="s">
        <v>32</v>
      </c>
      <c r="H1520">
        <v>49</v>
      </c>
      <c r="I1520">
        <v>21</v>
      </c>
      <c r="J1520">
        <v>186</v>
      </c>
      <c r="K1520" s="1" t="s">
        <v>23</v>
      </c>
      <c r="L1520" s="1" t="s">
        <v>24</v>
      </c>
      <c r="M1520" s="1" t="s">
        <v>3223</v>
      </c>
      <c r="N1520" s="1" t="s">
        <v>3230</v>
      </c>
    </row>
    <row r="1521" spans="1:14" x14ac:dyDescent="0.35">
      <c r="A1521">
        <v>3578767</v>
      </c>
      <c r="B1521" s="1" t="s">
        <v>2856</v>
      </c>
      <c r="C1521">
        <v>42352</v>
      </c>
      <c r="D1521">
        <v>881</v>
      </c>
      <c r="E1521" s="1" t="s">
        <v>3231</v>
      </c>
      <c r="F1521" s="1" t="s">
        <v>71</v>
      </c>
      <c r="G1521" s="1" t="s">
        <v>32</v>
      </c>
      <c r="H1521">
        <v>27</v>
      </c>
      <c r="I1521">
        <v>31</v>
      </c>
      <c r="J1521">
        <v>65</v>
      </c>
      <c r="K1521" s="1" t="s">
        <v>90</v>
      </c>
      <c r="L1521" s="1" t="s">
        <v>24</v>
      </c>
      <c r="M1521" s="1" t="s">
        <v>3223</v>
      </c>
      <c r="N1521" s="1" t="s">
        <v>3232</v>
      </c>
    </row>
    <row r="1522" spans="1:14" x14ac:dyDescent="0.35">
      <c r="A1522">
        <v>3578812</v>
      </c>
      <c r="B1522" s="1" t="s">
        <v>2856</v>
      </c>
      <c r="C1522">
        <v>42352</v>
      </c>
      <c r="D1522">
        <v>881</v>
      </c>
      <c r="E1522" s="1" t="s">
        <v>3233</v>
      </c>
      <c r="F1522" s="1" t="s">
        <v>71</v>
      </c>
      <c r="G1522" s="1" t="s">
        <v>32</v>
      </c>
      <c r="H1522">
        <v>25</v>
      </c>
      <c r="I1522">
        <v>17</v>
      </c>
      <c r="K1522" s="1" t="s">
        <v>95</v>
      </c>
      <c r="L1522" s="1" t="s">
        <v>24</v>
      </c>
      <c r="M1522" s="1" t="s">
        <v>3223</v>
      </c>
      <c r="N1522" s="1" t="s">
        <v>3234</v>
      </c>
    </row>
    <row r="1523" spans="1:14" x14ac:dyDescent="0.35">
      <c r="A1523">
        <v>3578816</v>
      </c>
      <c r="B1523" s="1" t="s">
        <v>2856</v>
      </c>
      <c r="C1523">
        <v>42352</v>
      </c>
      <c r="D1523">
        <v>881</v>
      </c>
      <c r="E1523" s="1" t="s">
        <v>3235</v>
      </c>
      <c r="F1523" s="1" t="s">
        <v>71</v>
      </c>
      <c r="G1523" s="1" t="s">
        <v>32</v>
      </c>
      <c r="H1523">
        <v>18</v>
      </c>
      <c r="I1523">
        <v>28</v>
      </c>
      <c r="K1523" s="1" t="s">
        <v>23</v>
      </c>
      <c r="L1523" s="1" t="s">
        <v>24</v>
      </c>
      <c r="M1523" s="1" t="s">
        <v>3223</v>
      </c>
      <c r="N1523" s="1" t="s">
        <v>3236</v>
      </c>
    </row>
    <row r="1524" spans="1:14" x14ac:dyDescent="0.35">
      <c r="A1524">
        <v>3578794</v>
      </c>
      <c r="B1524" s="1" t="s">
        <v>2856</v>
      </c>
      <c r="C1524">
        <v>42352</v>
      </c>
      <c r="D1524">
        <v>881</v>
      </c>
      <c r="E1524" s="1" t="s">
        <v>3237</v>
      </c>
      <c r="F1524" s="1" t="s">
        <v>71</v>
      </c>
      <c r="G1524" s="1" t="s">
        <v>32</v>
      </c>
      <c r="H1524">
        <v>25</v>
      </c>
      <c r="I1524">
        <v>17</v>
      </c>
      <c r="J1524">
        <v>22</v>
      </c>
      <c r="K1524" s="1" t="s">
        <v>23</v>
      </c>
      <c r="L1524" s="1" t="s">
        <v>24</v>
      </c>
      <c r="M1524" s="1" t="s">
        <v>3223</v>
      </c>
      <c r="N1524" s="1" t="s">
        <v>3238</v>
      </c>
    </row>
    <row r="1525" spans="1:14" x14ac:dyDescent="0.35">
      <c r="A1525">
        <v>3578791</v>
      </c>
      <c r="B1525" s="1" t="s">
        <v>2856</v>
      </c>
      <c r="C1525">
        <v>42352</v>
      </c>
      <c r="D1525">
        <v>881</v>
      </c>
      <c r="E1525" s="1" t="s">
        <v>3239</v>
      </c>
      <c r="F1525" s="1" t="s">
        <v>71</v>
      </c>
      <c r="G1525" s="1" t="s">
        <v>32</v>
      </c>
      <c r="H1525">
        <v>39</v>
      </c>
      <c r="I1525">
        <v>23</v>
      </c>
      <c r="J1525">
        <v>101</v>
      </c>
      <c r="K1525" s="1" t="s">
        <v>90</v>
      </c>
      <c r="L1525" s="1" t="s">
        <v>24</v>
      </c>
      <c r="M1525" s="1" t="s">
        <v>3223</v>
      </c>
      <c r="N1525" s="1" t="s">
        <v>3240</v>
      </c>
    </row>
    <row r="1526" spans="1:14" x14ac:dyDescent="0.35">
      <c r="A1526">
        <v>3578768</v>
      </c>
      <c r="B1526" s="1" t="s">
        <v>2856</v>
      </c>
      <c r="C1526">
        <v>42352</v>
      </c>
      <c r="D1526">
        <v>881</v>
      </c>
      <c r="E1526" s="1" t="s">
        <v>3241</v>
      </c>
      <c r="F1526" s="1" t="s">
        <v>71</v>
      </c>
      <c r="G1526" s="1" t="s">
        <v>32</v>
      </c>
      <c r="H1526">
        <v>28</v>
      </c>
      <c r="I1526">
        <v>16</v>
      </c>
      <c r="J1526">
        <v>83</v>
      </c>
      <c r="K1526" s="1" t="s">
        <v>90</v>
      </c>
      <c r="L1526" s="1" t="s">
        <v>24</v>
      </c>
      <c r="M1526" s="1" t="s">
        <v>3223</v>
      </c>
      <c r="N1526" s="1" t="s">
        <v>3242</v>
      </c>
    </row>
    <row r="1527" spans="1:14" x14ac:dyDescent="0.35">
      <c r="A1527">
        <v>3578779</v>
      </c>
      <c r="B1527" s="1" t="s">
        <v>2856</v>
      </c>
      <c r="C1527">
        <v>42352</v>
      </c>
      <c r="D1527">
        <v>881</v>
      </c>
      <c r="E1527" s="1" t="s">
        <v>3243</v>
      </c>
      <c r="F1527" s="1" t="s">
        <v>71</v>
      </c>
      <c r="G1527" s="1" t="s">
        <v>32</v>
      </c>
      <c r="H1527">
        <v>41</v>
      </c>
      <c r="I1527">
        <v>21</v>
      </c>
      <c r="J1527">
        <v>70</v>
      </c>
      <c r="K1527" s="1" t="s">
        <v>90</v>
      </c>
      <c r="L1527" s="1" t="s">
        <v>24</v>
      </c>
      <c r="M1527" s="1" t="s">
        <v>3223</v>
      </c>
      <c r="N1527" s="1" t="s">
        <v>3244</v>
      </c>
    </row>
    <row r="1528" spans="1:14" x14ac:dyDescent="0.35">
      <c r="A1528">
        <v>3578784</v>
      </c>
      <c r="B1528" s="1" t="s">
        <v>2856</v>
      </c>
      <c r="C1528">
        <v>42352</v>
      </c>
      <c r="D1528">
        <v>881</v>
      </c>
      <c r="E1528" s="1" t="s">
        <v>3245</v>
      </c>
      <c r="F1528" s="1" t="s">
        <v>71</v>
      </c>
      <c r="G1528" s="1" t="s">
        <v>32</v>
      </c>
      <c r="H1528">
        <v>27</v>
      </c>
      <c r="I1528">
        <v>20</v>
      </c>
      <c r="J1528">
        <v>50</v>
      </c>
      <c r="K1528" s="1" t="s">
        <v>90</v>
      </c>
      <c r="L1528" s="1" t="s">
        <v>24</v>
      </c>
      <c r="M1528" s="1" t="s">
        <v>3223</v>
      </c>
      <c r="N1528" s="1" t="s">
        <v>3246</v>
      </c>
    </row>
    <row r="1529" spans="1:14" x14ac:dyDescent="0.35">
      <c r="A1529">
        <v>3578789</v>
      </c>
      <c r="B1529" s="1" t="s">
        <v>2856</v>
      </c>
      <c r="C1529">
        <v>42352</v>
      </c>
      <c r="D1529">
        <v>881</v>
      </c>
      <c r="E1529" s="1" t="s">
        <v>3247</v>
      </c>
      <c r="F1529" s="1" t="s">
        <v>71</v>
      </c>
      <c r="G1529" s="1" t="s">
        <v>32</v>
      </c>
      <c r="H1529">
        <v>20</v>
      </c>
      <c r="I1529">
        <v>32</v>
      </c>
      <c r="J1529">
        <v>210</v>
      </c>
      <c r="K1529" s="1" t="s">
        <v>23</v>
      </c>
      <c r="L1529" s="1" t="s">
        <v>24</v>
      </c>
      <c r="M1529" s="1" t="s">
        <v>3223</v>
      </c>
      <c r="N1529" s="1" t="s">
        <v>3248</v>
      </c>
    </row>
    <row r="1530" spans="1:14" x14ac:dyDescent="0.35">
      <c r="A1530">
        <v>3578593</v>
      </c>
      <c r="B1530" s="1" t="s">
        <v>2856</v>
      </c>
      <c r="C1530">
        <v>42352</v>
      </c>
      <c r="D1530">
        <v>881</v>
      </c>
      <c r="E1530" s="1" t="s">
        <v>3249</v>
      </c>
      <c r="F1530" s="1" t="s">
        <v>71</v>
      </c>
      <c r="G1530" s="1" t="s">
        <v>32</v>
      </c>
      <c r="H1530">
        <v>72</v>
      </c>
      <c r="I1530">
        <v>19</v>
      </c>
      <c r="J1530">
        <v>175</v>
      </c>
      <c r="K1530" s="1" t="s">
        <v>84</v>
      </c>
      <c r="L1530" s="1" t="s">
        <v>24</v>
      </c>
      <c r="M1530" s="1" t="s">
        <v>3223</v>
      </c>
      <c r="N1530" s="1" t="s">
        <v>3250</v>
      </c>
    </row>
    <row r="1531" spans="1:14" x14ac:dyDescent="0.35">
      <c r="A1531">
        <v>3578795</v>
      </c>
      <c r="B1531" s="1" t="s">
        <v>2856</v>
      </c>
      <c r="C1531">
        <v>42352</v>
      </c>
      <c r="D1531">
        <v>881</v>
      </c>
      <c r="E1531" s="1" t="s">
        <v>3251</v>
      </c>
      <c r="F1531" s="1" t="s">
        <v>71</v>
      </c>
      <c r="G1531" s="1" t="s">
        <v>32</v>
      </c>
      <c r="H1531">
        <v>25</v>
      </c>
      <c r="I1531">
        <v>15</v>
      </c>
      <c r="J1531">
        <v>129</v>
      </c>
      <c r="K1531" s="1" t="s">
        <v>90</v>
      </c>
      <c r="L1531" s="1" t="s">
        <v>24</v>
      </c>
      <c r="M1531" s="1" t="s">
        <v>3223</v>
      </c>
      <c r="N1531" s="1" t="s">
        <v>3252</v>
      </c>
    </row>
    <row r="1532" spans="1:14" x14ac:dyDescent="0.35">
      <c r="A1532">
        <v>3578773</v>
      </c>
      <c r="B1532" s="1" t="s">
        <v>2856</v>
      </c>
      <c r="C1532">
        <v>42352</v>
      </c>
      <c r="D1532">
        <v>881</v>
      </c>
      <c r="E1532" s="1" t="s">
        <v>3253</v>
      </c>
      <c r="F1532" s="1" t="s">
        <v>71</v>
      </c>
      <c r="G1532" s="1" t="s">
        <v>32</v>
      </c>
      <c r="H1532">
        <v>64</v>
      </c>
      <c r="I1532">
        <v>19</v>
      </c>
      <c r="J1532">
        <v>66</v>
      </c>
      <c r="K1532" s="1" t="s">
        <v>27</v>
      </c>
      <c r="L1532" s="1" t="s">
        <v>24</v>
      </c>
      <c r="M1532" s="1" t="s">
        <v>3223</v>
      </c>
      <c r="N1532" s="1" t="s">
        <v>3254</v>
      </c>
    </row>
    <row r="1533" spans="1:14" x14ac:dyDescent="0.35">
      <c r="A1533">
        <v>3578261</v>
      </c>
      <c r="B1533" s="1" t="s">
        <v>2856</v>
      </c>
      <c r="C1533">
        <v>42352</v>
      </c>
      <c r="D1533">
        <v>881</v>
      </c>
      <c r="E1533" s="1" t="s">
        <v>3255</v>
      </c>
      <c r="F1533" s="1" t="s">
        <v>71</v>
      </c>
      <c r="G1533" s="1" t="s">
        <v>32</v>
      </c>
      <c r="H1533">
        <v>31</v>
      </c>
      <c r="I1533">
        <v>13</v>
      </c>
      <c r="J1533">
        <v>87</v>
      </c>
      <c r="K1533" s="1" t="s">
        <v>84</v>
      </c>
      <c r="L1533" s="1" t="s">
        <v>24</v>
      </c>
      <c r="M1533" s="1" t="s">
        <v>3223</v>
      </c>
      <c r="N1533" s="1" t="s">
        <v>3256</v>
      </c>
    </row>
    <row r="1534" spans="1:14" x14ac:dyDescent="0.35">
      <c r="A1534">
        <v>3578774</v>
      </c>
      <c r="B1534" s="1" t="s">
        <v>2856</v>
      </c>
      <c r="C1534">
        <v>42352</v>
      </c>
      <c r="D1534">
        <v>881</v>
      </c>
      <c r="E1534" s="1" t="s">
        <v>3257</v>
      </c>
      <c r="F1534" s="1" t="s">
        <v>71</v>
      </c>
      <c r="G1534" s="1" t="s">
        <v>32</v>
      </c>
      <c r="H1534">
        <v>40</v>
      </c>
      <c r="I1534">
        <v>16</v>
      </c>
      <c r="J1534">
        <v>49</v>
      </c>
      <c r="K1534" s="1" t="s">
        <v>90</v>
      </c>
      <c r="L1534" s="1" t="s">
        <v>24</v>
      </c>
      <c r="M1534" s="1" t="s">
        <v>3223</v>
      </c>
      <c r="N1534" s="1" t="s">
        <v>3258</v>
      </c>
    </row>
    <row r="1535" spans="1:14" x14ac:dyDescent="0.35">
      <c r="A1535">
        <v>3578192</v>
      </c>
      <c r="B1535" s="1" t="s">
        <v>2856</v>
      </c>
      <c r="C1535">
        <v>42352</v>
      </c>
      <c r="D1535">
        <v>881</v>
      </c>
      <c r="E1535" s="1" t="s">
        <v>3259</v>
      </c>
      <c r="F1535" s="1" t="s">
        <v>129</v>
      </c>
      <c r="G1535" s="1" t="s">
        <v>130</v>
      </c>
      <c r="H1535">
        <v>390</v>
      </c>
      <c r="I1535">
        <v>75</v>
      </c>
      <c r="J1535">
        <v>287</v>
      </c>
      <c r="K1535" s="1" t="s">
        <v>124</v>
      </c>
      <c r="L1535" s="1" t="s">
        <v>18</v>
      </c>
      <c r="M1535" s="1" t="s">
        <v>3223</v>
      </c>
      <c r="N1535" s="1" t="s">
        <v>3260</v>
      </c>
    </row>
    <row r="1536" spans="1:14" x14ac:dyDescent="0.35">
      <c r="A1536">
        <v>3578753</v>
      </c>
      <c r="B1536" s="1" t="s">
        <v>2856</v>
      </c>
      <c r="C1536">
        <v>42352</v>
      </c>
      <c r="D1536">
        <v>881</v>
      </c>
      <c r="E1536" s="1" t="s">
        <v>3261</v>
      </c>
      <c r="F1536" s="1" t="s">
        <v>743</v>
      </c>
      <c r="G1536" s="1" t="s">
        <v>32</v>
      </c>
      <c r="H1536">
        <v>25</v>
      </c>
      <c r="I1536">
        <v>18</v>
      </c>
      <c r="J1536">
        <v>99</v>
      </c>
      <c r="K1536" s="1" t="s">
        <v>23</v>
      </c>
      <c r="L1536" s="1" t="s">
        <v>24</v>
      </c>
      <c r="M1536" s="1" t="s">
        <v>3223</v>
      </c>
      <c r="N1536" s="1" t="s">
        <v>3262</v>
      </c>
    </row>
    <row r="1537" spans="1:14" x14ac:dyDescent="0.35">
      <c r="A1537">
        <v>3578202</v>
      </c>
      <c r="B1537" s="1" t="s">
        <v>2856</v>
      </c>
      <c r="C1537">
        <v>42352</v>
      </c>
      <c r="D1537">
        <v>881</v>
      </c>
      <c r="E1537" s="1" t="s">
        <v>3263</v>
      </c>
      <c r="F1537" s="1" t="s">
        <v>334</v>
      </c>
      <c r="G1537" s="1" t="s">
        <v>16</v>
      </c>
      <c r="H1537">
        <v>48</v>
      </c>
      <c r="I1537">
        <v>26</v>
      </c>
      <c r="J1537">
        <v>266</v>
      </c>
      <c r="K1537" s="1" t="s">
        <v>84</v>
      </c>
      <c r="L1537" s="1" t="s">
        <v>24</v>
      </c>
      <c r="M1537" s="1" t="s">
        <v>3223</v>
      </c>
      <c r="N1537" s="1" t="s">
        <v>3264</v>
      </c>
    </row>
    <row r="1538" spans="1:14" x14ac:dyDescent="0.35">
      <c r="A1538">
        <v>3578786</v>
      </c>
      <c r="B1538" s="1" t="s">
        <v>2856</v>
      </c>
      <c r="C1538">
        <v>42352</v>
      </c>
      <c r="D1538">
        <v>881</v>
      </c>
      <c r="E1538" s="1" t="s">
        <v>3265</v>
      </c>
      <c r="F1538" s="1" t="s">
        <v>334</v>
      </c>
      <c r="G1538" s="1" t="s">
        <v>16</v>
      </c>
      <c r="H1538">
        <v>32</v>
      </c>
      <c r="I1538">
        <v>34</v>
      </c>
      <c r="J1538">
        <v>254</v>
      </c>
      <c r="K1538" s="1" t="s">
        <v>124</v>
      </c>
      <c r="L1538" s="1" t="s">
        <v>18</v>
      </c>
      <c r="M1538" s="1" t="s">
        <v>3223</v>
      </c>
      <c r="N1538" s="1" t="s">
        <v>3266</v>
      </c>
    </row>
    <row r="1539" spans="1:14" x14ac:dyDescent="0.35">
      <c r="A1539">
        <v>3578780</v>
      </c>
      <c r="B1539" s="1" t="s">
        <v>2856</v>
      </c>
      <c r="C1539">
        <v>42352</v>
      </c>
      <c r="D1539">
        <v>881</v>
      </c>
      <c r="E1539" s="1" t="s">
        <v>3267</v>
      </c>
      <c r="F1539" s="1" t="s">
        <v>889</v>
      </c>
      <c r="G1539" s="1" t="s">
        <v>32</v>
      </c>
      <c r="H1539">
        <v>36</v>
      </c>
      <c r="I1539">
        <v>63</v>
      </c>
      <c r="J1539">
        <v>194</v>
      </c>
      <c r="K1539" s="1" t="s">
        <v>90</v>
      </c>
      <c r="L1539" s="1" t="s">
        <v>24</v>
      </c>
      <c r="M1539" s="1" t="s">
        <v>3223</v>
      </c>
      <c r="N1539" s="1" t="s">
        <v>3268</v>
      </c>
    </row>
    <row r="1540" spans="1:14" x14ac:dyDescent="0.35">
      <c r="A1540">
        <v>3578016</v>
      </c>
      <c r="B1540" s="1" t="s">
        <v>2856</v>
      </c>
      <c r="C1540">
        <v>42352</v>
      </c>
      <c r="D1540">
        <v>881</v>
      </c>
      <c r="E1540" s="1" t="s">
        <v>3269</v>
      </c>
      <c r="F1540" s="1" t="s">
        <v>15</v>
      </c>
      <c r="G1540" s="1" t="s">
        <v>130</v>
      </c>
      <c r="H1540">
        <v>1311</v>
      </c>
      <c r="I1540">
        <v>155</v>
      </c>
      <c r="J1540">
        <v>7939</v>
      </c>
      <c r="K1540" s="1" t="s">
        <v>124</v>
      </c>
      <c r="L1540" s="1" t="s">
        <v>18</v>
      </c>
      <c r="M1540" s="1" t="s">
        <v>3223</v>
      </c>
      <c r="N1540" s="1" t="s">
        <v>3270</v>
      </c>
    </row>
    <row r="1541" spans="1:14" x14ac:dyDescent="0.35">
      <c r="A1541">
        <v>3578020</v>
      </c>
      <c r="B1541" s="1" t="s">
        <v>2856</v>
      </c>
      <c r="C1541">
        <v>42352</v>
      </c>
      <c r="D1541">
        <v>881</v>
      </c>
      <c r="E1541" s="1" t="s">
        <v>3271</v>
      </c>
      <c r="F1541" s="1" t="s">
        <v>15</v>
      </c>
      <c r="G1541" s="1" t="s">
        <v>130</v>
      </c>
      <c r="H1541">
        <v>759</v>
      </c>
      <c r="I1541">
        <v>132</v>
      </c>
      <c r="J1541">
        <v>1022</v>
      </c>
      <c r="K1541" s="1" t="s">
        <v>191</v>
      </c>
      <c r="L1541" s="1" t="s">
        <v>120</v>
      </c>
      <c r="M1541" s="1" t="s">
        <v>3223</v>
      </c>
      <c r="N1541" s="1" t="s">
        <v>3272</v>
      </c>
    </row>
    <row r="1542" spans="1:14" x14ac:dyDescent="0.35">
      <c r="A1542">
        <v>3578811</v>
      </c>
      <c r="B1542" s="1" t="s">
        <v>2856</v>
      </c>
      <c r="C1542">
        <v>42352</v>
      </c>
      <c r="D1542">
        <v>881</v>
      </c>
      <c r="E1542" s="1" t="s">
        <v>3273</v>
      </c>
      <c r="F1542" s="1" t="s">
        <v>15</v>
      </c>
      <c r="G1542" s="1" t="s">
        <v>130</v>
      </c>
      <c r="H1542">
        <v>7</v>
      </c>
      <c r="I1542">
        <v>16</v>
      </c>
      <c r="K1542" s="1" t="s">
        <v>339</v>
      </c>
      <c r="L1542" s="1" t="s">
        <v>24</v>
      </c>
      <c r="M1542" s="1" t="s">
        <v>3223</v>
      </c>
      <c r="N1542" s="1" t="s">
        <v>3274</v>
      </c>
    </row>
    <row r="1543" spans="1:14" x14ac:dyDescent="0.35">
      <c r="A1543">
        <v>3578443</v>
      </c>
      <c r="B1543" s="1" t="s">
        <v>2856</v>
      </c>
      <c r="C1543">
        <v>42352</v>
      </c>
      <c r="D1543">
        <v>881</v>
      </c>
      <c r="E1543" s="1" t="s">
        <v>3275</v>
      </c>
      <c r="F1543" s="1" t="s">
        <v>15</v>
      </c>
      <c r="G1543" s="1" t="s">
        <v>16</v>
      </c>
      <c r="H1543">
        <v>201</v>
      </c>
      <c r="I1543">
        <v>110</v>
      </c>
      <c r="J1543">
        <v>508</v>
      </c>
      <c r="K1543" s="1" t="s">
        <v>23</v>
      </c>
      <c r="L1543" s="1" t="s">
        <v>24</v>
      </c>
      <c r="M1543" s="1" t="s">
        <v>3223</v>
      </c>
      <c r="N1543" s="1" t="s">
        <v>3276</v>
      </c>
    </row>
    <row r="1544" spans="1:14" x14ac:dyDescent="0.35">
      <c r="A1544">
        <v>3578064</v>
      </c>
      <c r="B1544" s="1" t="s">
        <v>2856</v>
      </c>
      <c r="C1544">
        <v>42352</v>
      </c>
      <c r="D1544">
        <v>881</v>
      </c>
      <c r="E1544" s="1" t="s">
        <v>3277</v>
      </c>
      <c r="F1544" s="1" t="s">
        <v>15</v>
      </c>
      <c r="G1544" s="1" t="s">
        <v>16</v>
      </c>
      <c r="H1544">
        <v>196</v>
      </c>
      <c r="I1544">
        <v>95</v>
      </c>
      <c r="J1544">
        <v>818</v>
      </c>
      <c r="K1544" s="1" t="s">
        <v>23</v>
      </c>
      <c r="L1544" s="1" t="s">
        <v>24</v>
      </c>
      <c r="M1544" s="1" t="s">
        <v>3223</v>
      </c>
      <c r="N1544" s="1" t="s">
        <v>3278</v>
      </c>
    </row>
    <row r="1545" spans="1:14" x14ac:dyDescent="0.35">
      <c r="A1545">
        <v>3578556</v>
      </c>
      <c r="B1545" s="1" t="s">
        <v>2856</v>
      </c>
      <c r="C1545">
        <v>42352</v>
      </c>
      <c r="D1545">
        <v>881</v>
      </c>
      <c r="E1545" s="1" t="s">
        <v>3279</v>
      </c>
      <c r="F1545" s="1" t="s">
        <v>15</v>
      </c>
      <c r="G1545" s="1" t="s">
        <v>16</v>
      </c>
      <c r="H1545">
        <v>198</v>
      </c>
      <c r="I1545">
        <v>114</v>
      </c>
      <c r="J1545">
        <v>534</v>
      </c>
      <c r="K1545" s="1" t="s">
        <v>23</v>
      </c>
      <c r="L1545" s="1" t="s">
        <v>24</v>
      </c>
      <c r="M1545" s="1" t="s">
        <v>3223</v>
      </c>
      <c r="N1545" s="1" t="s">
        <v>3280</v>
      </c>
    </row>
    <row r="1546" spans="1:14" x14ac:dyDescent="0.35">
      <c r="A1546">
        <v>3578111</v>
      </c>
      <c r="B1546" s="1" t="s">
        <v>2856</v>
      </c>
      <c r="C1546">
        <v>42352</v>
      </c>
      <c r="D1546">
        <v>881</v>
      </c>
      <c r="E1546" s="1" t="s">
        <v>3281</v>
      </c>
      <c r="F1546" s="1" t="s">
        <v>15</v>
      </c>
      <c r="G1546" s="1" t="s">
        <v>16</v>
      </c>
      <c r="H1546">
        <v>253</v>
      </c>
      <c r="I1546">
        <v>113</v>
      </c>
      <c r="J1546">
        <v>667</v>
      </c>
      <c r="K1546" s="1" t="s">
        <v>23</v>
      </c>
      <c r="L1546" s="1" t="s">
        <v>24</v>
      </c>
      <c r="M1546" s="1" t="s">
        <v>3223</v>
      </c>
      <c r="N1546" s="1" t="s">
        <v>3282</v>
      </c>
    </row>
    <row r="1547" spans="1:14" x14ac:dyDescent="0.35">
      <c r="A1547">
        <v>3578213</v>
      </c>
      <c r="B1547" s="1" t="s">
        <v>2856</v>
      </c>
      <c r="C1547">
        <v>42352</v>
      </c>
      <c r="D1547">
        <v>881</v>
      </c>
      <c r="E1547" s="1" t="s">
        <v>3283</v>
      </c>
      <c r="F1547" s="1" t="s">
        <v>15</v>
      </c>
      <c r="G1547" s="1" t="s">
        <v>16</v>
      </c>
      <c r="H1547">
        <v>207</v>
      </c>
      <c r="I1547">
        <v>37</v>
      </c>
      <c r="J1547">
        <v>390</v>
      </c>
      <c r="K1547" s="1" t="s">
        <v>137</v>
      </c>
      <c r="L1547" s="1" t="s">
        <v>18</v>
      </c>
      <c r="M1547" s="1" t="s">
        <v>3223</v>
      </c>
      <c r="N1547" s="1" t="s">
        <v>3284</v>
      </c>
    </row>
    <row r="1548" spans="1:14" x14ac:dyDescent="0.35">
      <c r="A1548">
        <v>3578523</v>
      </c>
      <c r="B1548" s="1" t="s">
        <v>2856</v>
      </c>
      <c r="C1548">
        <v>42352</v>
      </c>
      <c r="D1548">
        <v>881</v>
      </c>
      <c r="E1548" s="1" t="s">
        <v>3285</v>
      </c>
      <c r="F1548" s="1" t="s">
        <v>15</v>
      </c>
      <c r="G1548" s="1" t="s">
        <v>16</v>
      </c>
      <c r="H1548">
        <v>301</v>
      </c>
      <c r="I1548">
        <v>63</v>
      </c>
      <c r="J1548">
        <v>1176</v>
      </c>
      <c r="K1548" s="1" t="s">
        <v>124</v>
      </c>
      <c r="L1548" s="1" t="s">
        <v>18</v>
      </c>
      <c r="M1548" s="1" t="s">
        <v>3223</v>
      </c>
      <c r="N1548" s="1" t="s">
        <v>3286</v>
      </c>
    </row>
    <row r="1549" spans="1:14" x14ac:dyDescent="0.35">
      <c r="A1549">
        <v>3578781</v>
      </c>
      <c r="B1549" s="1" t="s">
        <v>2856</v>
      </c>
      <c r="C1549">
        <v>42352</v>
      </c>
      <c r="D1549">
        <v>881</v>
      </c>
      <c r="E1549" s="1" t="s">
        <v>3287</v>
      </c>
      <c r="F1549" s="1" t="s">
        <v>15</v>
      </c>
      <c r="G1549" s="1" t="s">
        <v>16</v>
      </c>
      <c r="H1549">
        <v>200</v>
      </c>
      <c r="I1549">
        <v>32</v>
      </c>
      <c r="J1549">
        <v>265</v>
      </c>
      <c r="K1549" s="1" t="s">
        <v>23</v>
      </c>
      <c r="L1549" s="1" t="s">
        <v>24</v>
      </c>
      <c r="M1549" s="1" t="s">
        <v>3223</v>
      </c>
      <c r="N1549" s="1" t="s">
        <v>3288</v>
      </c>
    </row>
    <row r="1550" spans="1:14" x14ac:dyDescent="0.35">
      <c r="A1550">
        <v>3578777</v>
      </c>
      <c r="B1550" s="1" t="s">
        <v>2856</v>
      </c>
      <c r="C1550">
        <v>42352</v>
      </c>
      <c r="D1550">
        <v>881</v>
      </c>
      <c r="E1550" s="1" t="s">
        <v>3289</v>
      </c>
      <c r="F1550" s="1" t="s">
        <v>15</v>
      </c>
      <c r="G1550" s="1" t="s">
        <v>16</v>
      </c>
      <c r="H1550">
        <v>399</v>
      </c>
      <c r="I1550">
        <v>99</v>
      </c>
      <c r="J1550">
        <v>873</v>
      </c>
      <c r="K1550" s="1" t="s">
        <v>49</v>
      </c>
      <c r="L1550" s="1" t="s">
        <v>24</v>
      </c>
      <c r="M1550" s="1" t="s">
        <v>3223</v>
      </c>
      <c r="N1550" s="1" t="s">
        <v>3290</v>
      </c>
    </row>
    <row r="1551" spans="1:14" x14ac:dyDescent="0.35">
      <c r="A1551">
        <v>3578042</v>
      </c>
      <c r="B1551" s="1" t="s">
        <v>2856</v>
      </c>
      <c r="C1551">
        <v>42352</v>
      </c>
      <c r="D1551">
        <v>881</v>
      </c>
      <c r="E1551" s="1" t="s">
        <v>3291</v>
      </c>
      <c r="F1551" s="1" t="s">
        <v>15</v>
      </c>
      <c r="G1551" s="1" t="s">
        <v>16</v>
      </c>
      <c r="H1551">
        <v>249</v>
      </c>
      <c r="I1551">
        <v>122</v>
      </c>
      <c r="J1551">
        <v>1206</v>
      </c>
      <c r="K1551" s="1" t="s">
        <v>572</v>
      </c>
      <c r="L1551" s="1" t="s">
        <v>24</v>
      </c>
      <c r="M1551" s="1" t="s">
        <v>3223</v>
      </c>
      <c r="N1551" s="1" t="s">
        <v>3292</v>
      </c>
    </row>
    <row r="1552" spans="1:14" x14ac:dyDescent="0.35">
      <c r="A1552">
        <v>3578582</v>
      </c>
      <c r="B1552" s="1" t="s">
        <v>2856</v>
      </c>
      <c r="C1552">
        <v>42352</v>
      </c>
      <c r="D1552">
        <v>881</v>
      </c>
      <c r="E1552" s="1" t="s">
        <v>3293</v>
      </c>
      <c r="F1552" s="1" t="s">
        <v>15</v>
      </c>
      <c r="G1552" s="1" t="s">
        <v>16</v>
      </c>
      <c r="H1552">
        <v>202</v>
      </c>
      <c r="I1552">
        <v>48</v>
      </c>
      <c r="J1552">
        <v>446</v>
      </c>
      <c r="K1552" s="1" t="s">
        <v>23</v>
      </c>
      <c r="L1552" s="1" t="s">
        <v>24</v>
      </c>
      <c r="M1552" s="1" t="s">
        <v>3223</v>
      </c>
      <c r="N1552" s="1" t="s">
        <v>3294</v>
      </c>
    </row>
    <row r="1553" spans="1:14" x14ac:dyDescent="0.35">
      <c r="A1553">
        <v>3578778</v>
      </c>
      <c r="B1553" s="1" t="s">
        <v>2856</v>
      </c>
      <c r="C1553">
        <v>42352</v>
      </c>
      <c r="D1553">
        <v>881</v>
      </c>
      <c r="E1553" s="1" t="s">
        <v>3295</v>
      </c>
      <c r="F1553" s="1" t="s">
        <v>15</v>
      </c>
      <c r="G1553" s="1" t="s">
        <v>16</v>
      </c>
      <c r="H1553">
        <v>200</v>
      </c>
      <c r="I1553">
        <v>96</v>
      </c>
      <c r="J1553">
        <v>384</v>
      </c>
      <c r="K1553" s="1" t="s">
        <v>23</v>
      </c>
      <c r="L1553" s="1" t="s">
        <v>24</v>
      </c>
      <c r="M1553" s="1" t="s">
        <v>3223</v>
      </c>
      <c r="N1553" s="1" t="s">
        <v>3296</v>
      </c>
    </row>
    <row r="1554" spans="1:14" x14ac:dyDescent="0.35">
      <c r="A1554">
        <v>3578086</v>
      </c>
      <c r="B1554" s="1" t="s">
        <v>2856</v>
      </c>
      <c r="C1554">
        <v>42352</v>
      </c>
      <c r="D1554">
        <v>881</v>
      </c>
      <c r="E1554" s="1" t="s">
        <v>3297</v>
      </c>
      <c r="F1554" s="1" t="s">
        <v>15</v>
      </c>
      <c r="G1554" s="1" t="s">
        <v>16</v>
      </c>
      <c r="H1554">
        <v>226</v>
      </c>
      <c r="I1554">
        <v>110</v>
      </c>
      <c r="J1554">
        <v>651</v>
      </c>
      <c r="K1554" s="1" t="s">
        <v>23</v>
      </c>
      <c r="L1554" s="1" t="s">
        <v>24</v>
      </c>
      <c r="M1554" s="1" t="s">
        <v>3223</v>
      </c>
      <c r="N1554" s="1" t="s">
        <v>3298</v>
      </c>
    </row>
    <row r="1555" spans="1:14" x14ac:dyDescent="0.35">
      <c r="A1555">
        <v>3578224</v>
      </c>
      <c r="B1555" s="1" t="s">
        <v>2856</v>
      </c>
      <c r="C1555">
        <v>42352</v>
      </c>
      <c r="D1555">
        <v>881</v>
      </c>
      <c r="E1555" s="1" t="s">
        <v>3299</v>
      </c>
      <c r="F1555" s="1" t="s">
        <v>15</v>
      </c>
      <c r="G1555" s="1" t="s">
        <v>16</v>
      </c>
      <c r="H1555">
        <v>290</v>
      </c>
      <c r="I1555">
        <v>63</v>
      </c>
      <c r="J1555">
        <v>910</v>
      </c>
      <c r="K1555" s="1" t="s">
        <v>23</v>
      </c>
      <c r="L1555" s="1" t="s">
        <v>24</v>
      </c>
      <c r="M1555" s="1" t="s">
        <v>3223</v>
      </c>
      <c r="N1555" s="1" t="s">
        <v>3300</v>
      </c>
    </row>
    <row r="1556" spans="1:14" x14ac:dyDescent="0.35">
      <c r="A1556">
        <v>3578560</v>
      </c>
      <c r="B1556" s="1" t="s">
        <v>2856</v>
      </c>
      <c r="C1556">
        <v>42352</v>
      </c>
      <c r="D1556">
        <v>881</v>
      </c>
      <c r="E1556" s="1" t="s">
        <v>3301</v>
      </c>
      <c r="F1556" s="1" t="s">
        <v>15</v>
      </c>
      <c r="G1556" s="1" t="s">
        <v>16</v>
      </c>
      <c r="H1556">
        <v>243</v>
      </c>
      <c r="I1556">
        <v>59</v>
      </c>
      <c r="J1556">
        <v>556</v>
      </c>
      <c r="K1556" s="1" t="s">
        <v>23</v>
      </c>
      <c r="L1556" s="1" t="s">
        <v>24</v>
      </c>
      <c r="M1556" s="1" t="s">
        <v>3223</v>
      </c>
      <c r="N1556" s="1" t="s">
        <v>3302</v>
      </c>
    </row>
    <row r="1557" spans="1:14" x14ac:dyDescent="0.35">
      <c r="A1557">
        <v>3578810</v>
      </c>
      <c r="B1557" s="1" t="s">
        <v>2856</v>
      </c>
      <c r="C1557">
        <v>42352</v>
      </c>
      <c r="D1557">
        <v>881</v>
      </c>
      <c r="E1557" s="1" t="s">
        <v>3303</v>
      </c>
      <c r="F1557" s="1" t="s">
        <v>15</v>
      </c>
      <c r="G1557" s="1" t="s">
        <v>16</v>
      </c>
      <c r="H1557">
        <v>200</v>
      </c>
      <c r="I1557">
        <v>50</v>
      </c>
      <c r="K1557" s="1" t="s">
        <v>90</v>
      </c>
      <c r="L1557" s="1" t="s">
        <v>24</v>
      </c>
      <c r="M1557" s="1" t="s">
        <v>3223</v>
      </c>
      <c r="N1557" s="1" t="s">
        <v>3304</v>
      </c>
    </row>
    <row r="1558" spans="1:14" x14ac:dyDescent="0.35">
      <c r="A1558">
        <v>3578764</v>
      </c>
      <c r="B1558" s="1" t="s">
        <v>2856</v>
      </c>
      <c r="C1558">
        <v>42352</v>
      </c>
      <c r="D1558">
        <v>881</v>
      </c>
      <c r="E1558" s="1" t="s">
        <v>3305</v>
      </c>
      <c r="F1558" s="1" t="s">
        <v>15</v>
      </c>
      <c r="G1558" s="1" t="s">
        <v>16</v>
      </c>
      <c r="H1558">
        <v>205</v>
      </c>
      <c r="I1558">
        <v>79</v>
      </c>
      <c r="J1558">
        <v>332</v>
      </c>
      <c r="K1558" s="1" t="s">
        <v>146</v>
      </c>
      <c r="L1558" s="1" t="s">
        <v>24</v>
      </c>
      <c r="M1558" s="1" t="s">
        <v>3223</v>
      </c>
      <c r="N1558" s="1" t="s">
        <v>3306</v>
      </c>
    </row>
    <row r="1559" spans="1:14" x14ac:dyDescent="0.35">
      <c r="A1559">
        <v>3578571</v>
      </c>
      <c r="B1559" s="1" t="s">
        <v>2856</v>
      </c>
      <c r="C1559">
        <v>42352</v>
      </c>
      <c r="D1559">
        <v>881</v>
      </c>
      <c r="E1559" s="1" t="s">
        <v>3307</v>
      </c>
      <c r="F1559" s="1" t="s">
        <v>15</v>
      </c>
      <c r="G1559" s="1" t="s">
        <v>16</v>
      </c>
      <c r="H1559">
        <v>396</v>
      </c>
      <c r="I1559">
        <v>49</v>
      </c>
      <c r="J1559">
        <v>1247</v>
      </c>
      <c r="K1559" s="1" t="s">
        <v>137</v>
      </c>
      <c r="L1559" s="1" t="s">
        <v>18</v>
      </c>
      <c r="M1559" s="1" t="s">
        <v>3223</v>
      </c>
      <c r="N1559" s="1" t="s">
        <v>3308</v>
      </c>
    </row>
    <row r="1560" spans="1:14" x14ac:dyDescent="0.35">
      <c r="A1560">
        <v>3578322</v>
      </c>
      <c r="B1560" s="1" t="s">
        <v>2856</v>
      </c>
      <c r="C1560">
        <v>42352</v>
      </c>
      <c r="D1560">
        <v>881</v>
      </c>
      <c r="E1560" s="1" t="s">
        <v>3309</v>
      </c>
      <c r="F1560" s="1" t="s">
        <v>15</v>
      </c>
      <c r="G1560" s="1" t="s">
        <v>32</v>
      </c>
      <c r="H1560">
        <v>108</v>
      </c>
      <c r="I1560">
        <v>34</v>
      </c>
      <c r="J1560">
        <v>208</v>
      </c>
      <c r="K1560" s="1" t="s">
        <v>124</v>
      </c>
      <c r="L1560" s="1" t="s">
        <v>18</v>
      </c>
      <c r="M1560" s="1" t="s">
        <v>3223</v>
      </c>
      <c r="N1560" s="1" t="s">
        <v>3310</v>
      </c>
    </row>
    <row r="1561" spans="1:14" x14ac:dyDescent="0.35">
      <c r="A1561">
        <v>3578603</v>
      </c>
      <c r="B1561" s="1" t="s">
        <v>2856</v>
      </c>
      <c r="C1561">
        <v>42352</v>
      </c>
      <c r="D1561">
        <v>881</v>
      </c>
      <c r="E1561" s="1" t="s">
        <v>3311</v>
      </c>
      <c r="F1561" s="1" t="s">
        <v>15</v>
      </c>
      <c r="G1561" s="1" t="s">
        <v>32</v>
      </c>
      <c r="H1561">
        <v>138</v>
      </c>
      <c r="I1561">
        <v>42</v>
      </c>
      <c r="J1561">
        <v>323</v>
      </c>
      <c r="K1561" s="1" t="s">
        <v>84</v>
      </c>
      <c r="L1561" s="1" t="s">
        <v>24</v>
      </c>
      <c r="M1561" s="1" t="s">
        <v>3223</v>
      </c>
      <c r="N1561" s="1" t="s">
        <v>3312</v>
      </c>
    </row>
    <row r="1562" spans="1:14" x14ac:dyDescent="0.35">
      <c r="A1562">
        <v>3578772</v>
      </c>
      <c r="B1562" s="1" t="s">
        <v>2856</v>
      </c>
      <c r="C1562">
        <v>42352</v>
      </c>
      <c r="D1562">
        <v>881</v>
      </c>
      <c r="E1562" s="1" t="s">
        <v>3313</v>
      </c>
      <c r="F1562" s="1" t="s">
        <v>15</v>
      </c>
      <c r="G1562" s="1" t="s">
        <v>32</v>
      </c>
      <c r="H1562">
        <v>103</v>
      </c>
      <c r="I1562">
        <v>48</v>
      </c>
      <c r="J1562">
        <v>323</v>
      </c>
      <c r="K1562" s="1" t="s">
        <v>90</v>
      </c>
      <c r="L1562" s="1" t="s">
        <v>24</v>
      </c>
      <c r="M1562" s="1" t="s">
        <v>3223</v>
      </c>
      <c r="N1562" s="1" t="s">
        <v>3314</v>
      </c>
    </row>
    <row r="1563" spans="1:14" x14ac:dyDescent="0.35">
      <c r="A1563">
        <v>3578785</v>
      </c>
      <c r="B1563" s="1" t="s">
        <v>2856</v>
      </c>
      <c r="C1563">
        <v>42352</v>
      </c>
      <c r="D1563">
        <v>881</v>
      </c>
      <c r="E1563" s="1" t="s">
        <v>3315</v>
      </c>
      <c r="F1563" s="1" t="s">
        <v>15</v>
      </c>
      <c r="G1563" s="1" t="s">
        <v>32</v>
      </c>
      <c r="H1563">
        <v>110</v>
      </c>
      <c r="I1563">
        <v>41</v>
      </c>
      <c r="J1563">
        <v>294</v>
      </c>
      <c r="K1563" s="1" t="s">
        <v>90</v>
      </c>
      <c r="L1563" s="1" t="s">
        <v>24</v>
      </c>
      <c r="M1563" s="1" t="s">
        <v>3223</v>
      </c>
      <c r="N1563" s="1" t="s">
        <v>3316</v>
      </c>
    </row>
    <row r="1564" spans="1:14" x14ac:dyDescent="0.35">
      <c r="A1564">
        <v>3578122</v>
      </c>
      <c r="B1564" s="1" t="s">
        <v>2856</v>
      </c>
      <c r="C1564">
        <v>42352</v>
      </c>
      <c r="D1564">
        <v>881</v>
      </c>
      <c r="E1564" s="1" t="s">
        <v>3317</v>
      </c>
      <c r="F1564" s="1" t="s">
        <v>15</v>
      </c>
      <c r="G1564" s="1" t="s">
        <v>32</v>
      </c>
      <c r="H1564">
        <v>111</v>
      </c>
      <c r="I1564">
        <v>52</v>
      </c>
      <c r="J1564">
        <v>308</v>
      </c>
      <c r="K1564" s="1" t="s">
        <v>27</v>
      </c>
      <c r="L1564" s="1" t="s">
        <v>24</v>
      </c>
      <c r="M1564" s="1" t="s">
        <v>3223</v>
      </c>
      <c r="N1564" s="1" t="s">
        <v>3318</v>
      </c>
    </row>
    <row r="1565" spans="1:14" x14ac:dyDescent="0.35">
      <c r="A1565">
        <v>3578031</v>
      </c>
      <c r="B1565" s="1" t="s">
        <v>2856</v>
      </c>
      <c r="C1565">
        <v>42352</v>
      </c>
      <c r="D1565">
        <v>881</v>
      </c>
      <c r="E1565" s="1" t="s">
        <v>3319</v>
      </c>
      <c r="F1565" s="1" t="s">
        <v>15</v>
      </c>
      <c r="G1565" s="1" t="s">
        <v>32</v>
      </c>
      <c r="H1565">
        <v>100</v>
      </c>
      <c r="I1565">
        <v>77</v>
      </c>
      <c r="J1565">
        <v>316</v>
      </c>
      <c r="K1565" s="1" t="s">
        <v>819</v>
      </c>
      <c r="L1565" s="1" t="s">
        <v>24</v>
      </c>
      <c r="M1565" s="1" t="s">
        <v>3223</v>
      </c>
      <c r="N1565" s="1" t="s">
        <v>3320</v>
      </c>
    </row>
    <row r="1566" spans="1:14" x14ac:dyDescent="0.35">
      <c r="A1566">
        <v>3578808</v>
      </c>
      <c r="B1566" s="1" t="s">
        <v>2856</v>
      </c>
      <c r="C1566">
        <v>42352</v>
      </c>
      <c r="D1566">
        <v>881</v>
      </c>
      <c r="E1566" s="1" t="s">
        <v>3321</v>
      </c>
      <c r="F1566" s="1" t="s">
        <v>15</v>
      </c>
      <c r="G1566" s="1" t="s">
        <v>32</v>
      </c>
      <c r="H1566">
        <v>106</v>
      </c>
      <c r="I1566">
        <v>91</v>
      </c>
      <c r="K1566" s="1" t="s">
        <v>23</v>
      </c>
      <c r="L1566" s="1" t="s">
        <v>24</v>
      </c>
      <c r="M1566" s="1" t="s">
        <v>3223</v>
      </c>
      <c r="N1566" s="1" t="s">
        <v>3322</v>
      </c>
    </row>
    <row r="1567" spans="1:14" x14ac:dyDescent="0.35">
      <c r="A1567">
        <v>3578100</v>
      </c>
      <c r="B1567" s="1" t="s">
        <v>2856</v>
      </c>
      <c r="C1567">
        <v>42352</v>
      </c>
      <c r="D1567">
        <v>881</v>
      </c>
      <c r="E1567" s="1" t="s">
        <v>3323</v>
      </c>
      <c r="F1567" s="1" t="s">
        <v>15</v>
      </c>
      <c r="G1567" s="1" t="s">
        <v>32</v>
      </c>
      <c r="H1567">
        <v>103</v>
      </c>
      <c r="I1567">
        <v>72</v>
      </c>
      <c r="J1567">
        <v>341</v>
      </c>
      <c r="K1567" s="1" t="s">
        <v>84</v>
      </c>
      <c r="L1567" s="1" t="s">
        <v>24</v>
      </c>
      <c r="M1567" s="1" t="s">
        <v>3223</v>
      </c>
      <c r="N1567" s="1" t="s">
        <v>3324</v>
      </c>
    </row>
    <row r="1568" spans="1:14" x14ac:dyDescent="0.35">
      <c r="A1568">
        <v>3578614</v>
      </c>
      <c r="B1568" s="1" t="s">
        <v>2856</v>
      </c>
      <c r="C1568">
        <v>42352</v>
      </c>
      <c r="D1568">
        <v>881</v>
      </c>
      <c r="E1568" s="1" t="s">
        <v>3325</v>
      </c>
      <c r="F1568" s="1" t="s">
        <v>15</v>
      </c>
      <c r="G1568" s="1" t="s">
        <v>32</v>
      </c>
      <c r="H1568">
        <v>101</v>
      </c>
      <c r="I1568">
        <v>32</v>
      </c>
      <c r="J1568">
        <v>233</v>
      </c>
      <c r="K1568" s="1" t="s">
        <v>23</v>
      </c>
      <c r="L1568" s="1" t="s">
        <v>24</v>
      </c>
      <c r="M1568" s="1" t="s">
        <v>3223</v>
      </c>
      <c r="N1568" s="1" t="s">
        <v>3326</v>
      </c>
    </row>
    <row r="1569" spans="1:14" x14ac:dyDescent="0.35">
      <c r="A1569">
        <v>3578476</v>
      </c>
      <c r="B1569" s="1" t="s">
        <v>2856</v>
      </c>
      <c r="C1569">
        <v>42352</v>
      </c>
      <c r="D1569">
        <v>881</v>
      </c>
      <c r="E1569" s="1" t="s">
        <v>3327</v>
      </c>
      <c r="F1569" s="1" t="s">
        <v>15</v>
      </c>
      <c r="G1569" s="1" t="s">
        <v>32</v>
      </c>
      <c r="H1569">
        <v>146</v>
      </c>
      <c r="I1569">
        <v>73</v>
      </c>
      <c r="J1569">
        <v>412</v>
      </c>
      <c r="K1569" s="1" t="s">
        <v>84</v>
      </c>
      <c r="L1569" s="1" t="s">
        <v>24</v>
      </c>
      <c r="M1569" s="1" t="s">
        <v>3223</v>
      </c>
      <c r="N1569" s="1" t="s">
        <v>3328</v>
      </c>
    </row>
    <row r="1570" spans="1:14" x14ac:dyDescent="0.35">
      <c r="A1570">
        <v>3578053</v>
      </c>
      <c r="B1570" s="1" t="s">
        <v>2856</v>
      </c>
      <c r="C1570">
        <v>42352</v>
      </c>
      <c r="D1570">
        <v>881</v>
      </c>
      <c r="E1570" s="1" t="s">
        <v>3329</v>
      </c>
      <c r="F1570" s="1" t="s">
        <v>15</v>
      </c>
      <c r="G1570" s="1" t="s">
        <v>32</v>
      </c>
      <c r="H1570">
        <v>171</v>
      </c>
      <c r="I1570">
        <v>68</v>
      </c>
      <c r="J1570">
        <v>780</v>
      </c>
      <c r="K1570" s="1" t="s">
        <v>84</v>
      </c>
      <c r="L1570" s="1" t="s">
        <v>24</v>
      </c>
      <c r="M1570" s="1" t="s">
        <v>3223</v>
      </c>
      <c r="N1570" s="1" t="s">
        <v>3330</v>
      </c>
    </row>
    <row r="1571" spans="1:14" x14ac:dyDescent="0.35">
      <c r="A1571">
        <v>3578144</v>
      </c>
      <c r="B1571" s="1" t="s">
        <v>2856</v>
      </c>
      <c r="C1571">
        <v>42352</v>
      </c>
      <c r="D1571">
        <v>881</v>
      </c>
      <c r="E1571" s="1" t="s">
        <v>3331</v>
      </c>
      <c r="F1571" s="1" t="s">
        <v>15</v>
      </c>
      <c r="G1571" s="1" t="s">
        <v>32</v>
      </c>
      <c r="H1571">
        <v>114</v>
      </c>
      <c r="I1571">
        <v>36</v>
      </c>
      <c r="J1571">
        <v>184</v>
      </c>
      <c r="K1571" s="1" t="s">
        <v>191</v>
      </c>
      <c r="L1571" s="1" t="s">
        <v>24</v>
      </c>
      <c r="M1571" s="1" t="s">
        <v>3223</v>
      </c>
      <c r="N1571" s="1" t="s">
        <v>3332</v>
      </c>
    </row>
    <row r="1572" spans="1:14" x14ac:dyDescent="0.35">
      <c r="A1572">
        <v>3578742</v>
      </c>
      <c r="B1572" s="1" t="s">
        <v>2856</v>
      </c>
      <c r="C1572">
        <v>42352</v>
      </c>
      <c r="D1572">
        <v>881</v>
      </c>
      <c r="E1572" s="1" t="s">
        <v>3333</v>
      </c>
      <c r="F1572" s="1" t="s">
        <v>15</v>
      </c>
      <c r="G1572" s="1" t="s">
        <v>32</v>
      </c>
      <c r="H1572">
        <v>145</v>
      </c>
      <c r="I1572">
        <v>57</v>
      </c>
      <c r="J1572">
        <v>311</v>
      </c>
      <c r="K1572" s="1" t="s">
        <v>84</v>
      </c>
      <c r="L1572" s="1" t="s">
        <v>24</v>
      </c>
      <c r="M1572" s="1" t="s">
        <v>3223</v>
      </c>
      <c r="N1572" s="1" t="s">
        <v>3334</v>
      </c>
    </row>
    <row r="1573" spans="1:14" x14ac:dyDescent="0.35">
      <c r="A1573">
        <v>3578766</v>
      </c>
      <c r="B1573" s="1" t="s">
        <v>2856</v>
      </c>
      <c r="C1573">
        <v>42352</v>
      </c>
      <c r="D1573">
        <v>881</v>
      </c>
      <c r="E1573" s="1" t="s">
        <v>3335</v>
      </c>
      <c r="F1573" s="1" t="s">
        <v>15</v>
      </c>
      <c r="G1573" s="1" t="s">
        <v>32</v>
      </c>
      <c r="H1573">
        <v>130</v>
      </c>
      <c r="I1573">
        <v>71</v>
      </c>
      <c r="J1573">
        <v>267</v>
      </c>
      <c r="K1573" s="1" t="s">
        <v>23</v>
      </c>
      <c r="L1573" s="1" t="s">
        <v>24</v>
      </c>
      <c r="M1573" s="1" t="s">
        <v>3223</v>
      </c>
      <c r="N1573" s="1" t="s">
        <v>3336</v>
      </c>
    </row>
    <row r="1574" spans="1:14" x14ac:dyDescent="0.35">
      <c r="A1574">
        <v>3578166</v>
      </c>
      <c r="B1574" s="1" t="s">
        <v>2856</v>
      </c>
      <c r="C1574">
        <v>42352</v>
      </c>
      <c r="D1574">
        <v>881</v>
      </c>
      <c r="E1574" s="1" t="s">
        <v>3337</v>
      </c>
      <c r="F1574" s="1" t="s">
        <v>15</v>
      </c>
      <c r="G1574" s="1" t="s">
        <v>22</v>
      </c>
      <c r="H1574">
        <v>56</v>
      </c>
      <c r="I1574">
        <v>32</v>
      </c>
      <c r="J1574">
        <v>141</v>
      </c>
      <c r="K1574" s="1" t="s">
        <v>974</v>
      </c>
      <c r="L1574" s="1" t="s">
        <v>24</v>
      </c>
      <c r="M1574" s="1" t="s">
        <v>3223</v>
      </c>
      <c r="N1574" s="1" t="s">
        <v>3338</v>
      </c>
    </row>
    <row r="1575" spans="1:14" x14ac:dyDescent="0.35">
      <c r="A1575">
        <v>3578235</v>
      </c>
      <c r="B1575" s="1" t="s">
        <v>2856</v>
      </c>
      <c r="C1575">
        <v>42352</v>
      </c>
      <c r="D1575">
        <v>881</v>
      </c>
      <c r="E1575" s="1" t="s">
        <v>3339</v>
      </c>
      <c r="F1575" s="1" t="s">
        <v>15</v>
      </c>
      <c r="G1575" s="1" t="s">
        <v>22</v>
      </c>
      <c r="H1575">
        <v>50</v>
      </c>
      <c r="I1575">
        <v>23</v>
      </c>
      <c r="J1575">
        <v>140</v>
      </c>
      <c r="K1575" s="1" t="s">
        <v>23</v>
      </c>
      <c r="L1575" s="1" t="s">
        <v>24</v>
      </c>
      <c r="M1575" s="1" t="s">
        <v>3223</v>
      </c>
      <c r="N1575" s="1" t="s">
        <v>3340</v>
      </c>
    </row>
    <row r="1576" spans="1:14" x14ac:dyDescent="0.35">
      <c r="A1576">
        <v>3578246</v>
      </c>
      <c r="B1576" s="1" t="s">
        <v>2856</v>
      </c>
      <c r="C1576">
        <v>42352</v>
      </c>
      <c r="D1576">
        <v>881</v>
      </c>
      <c r="E1576" s="1" t="s">
        <v>3341</v>
      </c>
      <c r="F1576" s="1" t="s">
        <v>15</v>
      </c>
      <c r="G1576" s="1" t="s">
        <v>22</v>
      </c>
      <c r="H1576">
        <v>59</v>
      </c>
      <c r="I1576">
        <v>21</v>
      </c>
      <c r="J1576">
        <v>157</v>
      </c>
      <c r="K1576" s="1" t="s">
        <v>23</v>
      </c>
      <c r="L1576" s="1" t="s">
        <v>24</v>
      </c>
      <c r="M1576" s="1" t="s">
        <v>3223</v>
      </c>
      <c r="N1576" s="1" t="s">
        <v>3342</v>
      </c>
    </row>
    <row r="1577" spans="1:14" x14ac:dyDescent="0.35">
      <c r="A1577">
        <v>3578770</v>
      </c>
      <c r="B1577" s="1" t="s">
        <v>2856</v>
      </c>
      <c r="C1577">
        <v>42352</v>
      </c>
      <c r="D1577">
        <v>881</v>
      </c>
      <c r="E1577" s="1" t="s">
        <v>3343</v>
      </c>
      <c r="F1577" s="1" t="s">
        <v>15</v>
      </c>
      <c r="G1577" s="1" t="s">
        <v>22</v>
      </c>
      <c r="H1577">
        <v>71</v>
      </c>
      <c r="I1577">
        <v>32</v>
      </c>
      <c r="J1577">
        <v>109</v>
      </c>
      <c r="K1577" s="1" t="s">
        <v>84</v>
      </c>
      <c r="L1577" s="1" t="s">
        <v>24</v>
      </c>
      <c r="M1577" s="1" t="s">
        <v>3223</v>
      </c>
      <c r="N1577" s="1" t="s">
        <v>3344</v>
      </c>
    </row>
    <row r="1578" spans="1:14" x14ac:dyDescent="0.35">
      <c r="A1578">
        <v>3578793</v>
      </c>
      <c r="B1578" s="1" t="s">
        <v>2856</v>
      </c>
      <c r="C1578">
        <v>42352</v>
      </c>
      <c r="D1578">
        <v>881</v>
      </c>
      <c r="E1578" s="1" t="s">
        <v>3345</v>
      </c>
      <c r="F1578" s="1" t="s">
        <v>15</v>
      </c>
      <c r="G1578" s="1" t="s">
        <v>22</v>
      </c>
      <c r="H1578">
        <v>50</v>
      </c>
      <c r="I1578">
        <v>22</v>
      </c>
      <c r="J1578">
        <v>129</v>
      </c>
      <c r="K1578" s="1" t="s">
        <v>444</v>
      </c>
      <c r="L1578" s="1" t="s">
        <v>24</v>
      </c>
      <c r="M1578" s="1" t="s">
        <v>3223</v>
      </c>
      <c r="N1578" s="1" t="s">
        <v>3346</v>
      </c>
    </row>
    <row r="1579" spans="1:14" x14ac:dyDescent="0.35">
      <c r="A1579">
        <v>3578782</v>
      </c>
      <c r="B1579" s="1" t="s">
        <v>2856</v>
      </c>
      <c r="C1579">
        <v>42352</v>
      </c>
      <c r="D1579">
        <v>881</v>
      </c>
      <c r="E1579" s="1" t="s">
        <v>3347</v>
      </c>
      <c r="F1579" s="1" t="s">
        <v>15</v>
      </c>
      <c r="G1579" s="1" t="s">
        <v>22</v>
      </c>
      <c r="H1579">
        <v>52</v>
      </c>
      <c r="I1579">
        <v>14</v>
      </c>
      <c r="J1579">
        <v>82</v>
      </c>
      <c r="K1579" s="1" t="s">
        <v>84</v>
      </c>
      <c r="L1579" s="1" t="s">
        <v>24</v>
      </c>
      <c r="M1579" s="1" t="s">
        <v>3223</v>
      </c>
      <c r="N1579" s="1" t="s">
        <v>3348</v>
      </c>
    </row>
    <row r="1580" spans="1:14" x14ac:dyDescent="0.35">
      <c r="A1580">
        <v>3578090</v>
      </c>
      <c r="B1580" s="1" t="s">
        <v>2856</v>
      </c>
      <c r="C1580">
        <v>42352</v>
      </c>
      <c r="D1580">
        <v>881</v>
      </c>
      <c r="E1580" s="1" t="s">
        <v>3349</v>
      </c>
      <c r="F1580" s="1" t="s">
        <v>15</v>
      </c>
      <c r="G1580" s="1" t="s">
        <v>22</v>
      </c>
      <c r="H1580">
        <v>51</v>
      </c>
      <c r="I1580">
        <v>21</v>
      </c>
      <c r="J1580">
        <v>105</v>
      </c>
      <c r="K1580" s="1" t="s">
        <v>191</v>
      </c>
      <c r="L1580" s="1" t="s">
        <v>24</v>
      </c>
      <c r="M1580" s="1" t="s">
        <v>3223</v>
      </c>
      <c r="N1580" s="1" t="s">
        <v>3350</v>
      </c>
    </row>
    <row r="1581" spans="1:14" x14ac:dyDescent="0.35">
      <c r="A1581">
        <v>3524043</v>
      </c>
      <c r="B1581" s="1" t="s">
        <v>2856</v>
      </c>
      <c r="C1581">
        <v>42352</v>
      </c>
      <c r="D1581">
        <v>881</v>
      </c>
      <c r="E1581" s="1" t="s">
        <v>3351</v>
      </c>
      <c r="F1581" s="1" t="s">
        <v>220</v>
      </c>
      <c r="G1581" s="1" t="s">
        <v>32</v>
      </c>
      <c r="H1581">
        <v>44</v>
      </c>
      <c r="I1581">
        <v>15</v>
      </c>
      <c r="J1581">
        <v>90</v>
      </c>
      <c r="K1581" s="1" t="s">
        <v>23</v>
      </c>
      <c r="L1581" s="1" t="s">
        <v>24</v>
      </c>
      <c r="M1581" s="1" t="s">
        <v>3352</v>
      </c>
      <c r="N1581" s="1" t="s">
        <v>3353</v>
      </c>
    </row>
    <row r="1582" spans="1:14" x14ac:dyDescent="0.35">
      <c r="A1582">
        <v>3524075</v>
      </c>
      <c r="B1582" s="1" t="s">
        <v>2856</v>
      </c>
      <c r="C1582">
        <v>42352</v>
      </c>
      <c r="D1582">
        <v>881</v>
      </c>
      <c r="E1582" s="1" t="s">
        <v>3354</v>
      </c>
      <c r="F1582" s="1" t="s">
        <v>334</v>
      </c>
      <c r="G1582" s="1" t="s">
        <v>32</v>
      </c>
      <c r="H1582">
        <v>15</v>
      </c>
      <c r="I1582">
        <v>8</v>
      </c>
      <c r="K1582" s="1" t="s">
        <v>90</v>
      </c>
      <c r="L1582" s="1" t="s">
        <v>24</v>
      </c>
      <c r="M1582" s="1" t="s">
        <v>3352</v>
      </c>
      <c r="N1582" s="1" t="s">
        <v>3355</v>
      </c>
    </row>
    <row r="1583" spans="1:14" x14ac:dyDescent="0.35">
      <c r="A1583">
        <v>3524016</v>
      </c>
      <c r="B1583" s="1" t="s">
        <v>2856</v>
      </c>
      <c r="C1583">
        <v>42352</v>
      </c>
      <c r="D1583">
        <v>881</v>
      </c>
      <c r="E1583" s="1" t="s">
        <v>3356</v>
      </c>
      <c r="F1583" s="1" t="s">
        <v>15</v>
      </c>
      <c r="G1583" s="1" t="s">
        <v>16</v>
      </c>
      <c r="H1583">
        <v>371</v>
      </c>
      <c r="I1583">
        <v>55</v>
      </c>
      <c r="J1583">
        <v>792</v>
      </c>
      <c r="K1583" s="1" t="s">
        <v>17</v>
      </c>
      <c r="L1583" s="1" t="s">
        <v>18</v>
      </c>
      <c r="M1583" s="1" t="s">
        <v>3352</v>
      </c>
      <c r="N1583" s="1" t="s">
        <v>3357</v>
      </c>
    </row>
    <row r="1584" spans="1:14" x14ac:dyDescent="0.35">
      <c r="A1584">
        <v>3524031</v>
      </c>
      <c r="B1584" s="1" t="s">
        <v>2856</v>
      </c>
      <c r="C1584">
        <v>42352</v>
      </c>
      <c r="D1584">
        <v>881</v>
      </c>
      <c r="E1584" s="1" t="s">
        <v>3358</v>
      </c>
      <c r="F1584" s="1" t="s">
        <v>15</v>
      </c>
      <c r="G1584" s="1" t="s">
        <v>16</v>
      </c>
      <c r="H1584">
        <v>220</v>
      </c>
      <c r="I1584">
        <v>121</v>
      </c>
      <c r="J1584">
        <v>784</v>
      </c>
      <c r="K1584" s="1" t="s">
        <v>23</v>
      </c>
      <c r="L1584" s="1" t="s">
        <v>24</v>
      </c>
      <c r="M1584" s="1" t="s">
        <v>3352</v>
      </c>
      <c r="N1584" s="1" t="s">
        <v>3359</v>
      </c>
    </row>
    <row r="1585" spans="1:14" x14ac:dyDescent="0.35">
      <c r="A1585">
        <v>3524046</v>
      </c>
      <c r="B1585" s="1" t="s">
        <v>2856</v>
      </c>
      <c r="C1585">
        <v>42352</v>
      </c>
      <c r="D1585">
        <v>881</v>
      </c>
      <c r="E1585" s="1" t="s">
        <v>3360</v>
      </c>
      <c r="F1585" s="1" t="s">
        <v>15</v>
      </c>
      <c r="G1585" s="1" t="s">
        <v>32</v>
      </c>
      <c r="H1585">
        <v>102</v>
      </c>
      <c r="I1585">
        <v>34</v>
      </c>
      <c r="J1585">
        <v>165</v>
      </c>
      <c r="K1585" s="1" t="s">
        <v>23</v>
      </c>
      <c r="L1585" s="1" t="s">
        <v>24</v>
      </c>
      <c r="M1585" s="1" t="s">
        <v>3352</v>
      </c>
      <c r="N1585" s="1" t="s">
        <v>3361</v>
      </c>
    </row>
    <row r="1586" spans="1:14" x14ac:dyDescent="0.35">
      <c r="A1586">
        <v>3524042</v>
      </c>
      <c r="B1586" s="1" t="s">
        <v>2856</v>
      </c>
      <c r="C1586">
        <v>42352</v>
      </c>
      <c r="D1586">
        <v>881</v>
      </c>
      <c r="E1586" s="1" t="s">
        <v>3362</v>
      </c>
      <c r="F1586" s="1" t="s">
        <v>15</v>
      </c>
      <c r="G1586" s="1" t="s">
        <v>32</v>
      </c>
      <c r="H1586">
        <v>105</v>
      </c>
      <c r="I1586">
        <v>35</v>
      </c>
      <c r="J1586">
        <v>400</v>
      </c>
      <c r="K1586" s="1" t="s">
        <v>17</v>
      </c>
      <c r="L1586" s="1" t="s">
        <v>24</v>
      </c>
      <c r="M1586" s="1" t="s">
        <v>3352</v>
      </c>
      <c r="N1586" s="1" t="s">
        <v>3363</v>
      </c>
    </row>
    <row r="1587" spans="1:14" x14ac:dyDescent="0.35">
      <c r="A1587">
        <v>3524045</v>
      </c>
      <c r="B1587" s="1" t="s">
        <v>2856</v>
      </c>
      <c r="C1587">
        <v>42352</v>
      </c>
      <c r="D1587">
        <v>881</v>
      </c>
      <c r="E1587" s="1" t="s">
        <v>3364</v>
      </c>
      <c r="F1587" s="1" t="s">
        <v>15</v>
      </c>
      <c r="G1587" s="1" t="s">
        <v>32</v>
      </c>
      <c r="H1587">
        <v>104</v>
      </c>
      <c r="I1587">
        <v>44</v>
      </c>
      <c r="J1587">
        <v>156</v>
      </c>
      <c r="K1587" s="1" t="s">
        <v>90</v>
      </c>
      <c r="L1587" s="1" t="s">
        <v>24</v>
      </c>
      <c r="M1587" s="1" t="s">
        <v>3352</v>
      </c>
      <c r="N1587" s="1" t="s">
        <v>3365</v>
      </c>
    </row>
    <row r="1588" spans="1:14" x14ac:dyDescent="0.35">
      <c r="A1588">
        <v>3524020</v>
      </c>
      <c r="B1588" s="1" t="s">
        <v>2856</v>
      </c>
      <c r="C1588">
        <v>42352</v>
      </c>
      <c r="D1588">
        <v>881</v>
      </c>
      <c r="E1588" s="1" t="s">
        <v>3366</v>
      </c>
      <c r="F1588" s="1" t="s">
        <v>15</v>
      </c>
      <c r="G1588" s="1" t="s">
        <v>32</v>
      </c>
      <c r="H1588">
        <v>135</v>
      </c>
      <c r="I1588">
        <v>32</v>
      </c>
      <c r="J1588">
        <v>362</v>
      </c>
      <c r="K1588" s="1" t="s">
        <v>23</v>
      </c>
      <c r="L1588" s="1" t="s">
        <v>24</v>
      </c>
      <c r="M1588" s="1" t="s">
        <v>3352</v>
      </c>
      <c r="N1588" s="1" t="s">
        <v>3367</v>
      </c>
    </row>
    <row r="1589" spans="1:14" x14ac:dyDescent="0.35">
      <c r="A1589">
        <v>3512035</v>
      </c>
      <c r="B1589" s="1" t="s">
        <v>2856</v>
      </c>
      <c r="C1589">
        <v>42352</v>
      </c>
      <c r="D1589">
        <v>881</v>
      </c>
      <c r="E1589" s="1" t="s">
        <v>3368</v>
      </c>
      <c r="F1589" s="1" t="s">
        <v>15</v>
      </c>
      <c r="G1589" s="1" t="s">
        <v>32</v>
      </c>
      <c r="H1589">
        <v>106</v>
      </c>
      <c r="I1589">
        <v>26</v>
      </c>
      <c r="J1589">
        <v>165</v>
      </c>
      <c r="K1589" s="1" t="s">
        <v>23</v>
      </c>
      <c r="L1589" s="1" t="s">
        <v>24</v>
      </c>
      <c r="M1589" s="1" t="s">
        <v>3352</v>
      </c>
      <c r="N1589" s="1" t="s">
        <v>3369</v>
      </c>
    </row>
    <row r="1590" spans="1:14" x14ac:dyDescent="0.35">
      <c r="A1590">
        <v>3524049</v>
      </c>
      <c r="B1590" s="1" t="s">
        <v>2856</v>
      </c>
      <c r="C1590">
        <v>42352</v>
      </c>
      <c r="D1590">
        <v>881</v>
      </c>
      <c r="E1590" s="1" t="s">
        <v>3370</v>
      </c>
      <c r="F1590" s="1" t="s">
        <v>15</v>
      </c>
      <c r="G1590" s="1" t="s">
        <v>32</v>
      </c>
      <c r="H1590">
        <v>104</v>
      </c>
      <c r="I1590">
        <v>41</v>
      </c>
      <c r="J1590">
        <v>71</v>
      </c>
      <c r="K1590" s="1" t="s">
        <v>23</v>
      </c>
      <c r="L1590" s="1" t="s">
        <v>24</v>
      </c>
      <c r="M1590" s="1" t="s">
        <v>3352</v>
      </c>
      <c r="N1590" s="1" t="s">
        <v>3371</v>
      </c>
    </row>
    <row r="1591" spans="1:14" x14ac:dyDescent="0.35">
      <c r="A1591">
        <v>3524050</v>
      </c>
      <c r="B1591" s="1" t="s">
        <v>2856</v>
      </c>
      <c r="C1591">
        <v>42352</v>
      </c>
      <c r="D1591">
        <v>881</v>
      </c>
      <c r="E1591" s="1" t="s">
        <v>1495</v>
      </c>
      <c r="F1591" s="1" t="s">
        <v>15</v>
      </c>
      <c r="G1591" s="1" t="s">
        <v>22</v>
      </c>
      <c r="H1591">
        <v>51</v>
      </c>
      <c r="I1591">
        <v>19</v>
      </c>
      <c r="J1591">
        <v>58</v>
      </c>
      <c r="K1591" s="1" t="s">
        <v>23</v>
      </c>
      <c r="L1591" s="1" t="s">
        <v>120</v>
      </c>
      <c r="M1591" s="1" t="s">
        <v>3352</v>
      </c>
      <c r="N1591" s="1" t="s">
        <v>3372</v>
      </c>
    </row>
    <row r="1592" spans="1:14" x14ac:dyDescent="0.35">
      <c r="A1592">
        <v>3524074</v>
      </c>
      <c r="B1592" s="1" t="s">
        <v>2856</v>
      </c>
      <c r="C1592">
        <v>42352</v>
      </c>
      <c r="D1592">
        <v>881</v>
      </c>
      <c r="E1592" s="1" t="s">
        <v>3373</v>
      </c>
      <c r="F1592" s="1" t="s">
        <v>15</v>
      </c>
      <c r="G1592" s="1" t="s">
        <v>22</v>
      </c>
      <c r="H1592">
        <v>54</v>
      </c>
      <c r="I1592">
        <v>13</v>
      </c>
      <c r="K1592" s="1" t="s">
        <v>90</v>
      </c>
      <c r="L1592" s="1" t="s">
        <v>24</v>
      </c>
      <c r="M1592" s="1" t="s">
        <v>3352</v>
      </c>
      <c r="N1592" s="1" t="s">
        <v>3374</v>
      </c>
    </row>
    <row r="1593" spans="1:14" x14ac:dyDescent="0.35">
      <c r="A1593">
        <v>3524052</v>
      </c>
      <c r="B1593" s="1" t="s">
        <v>2856</v>
      </c>
      <c r="C1593">
        <v>42352</v>
      </c>
      <c r="D1593">
        <v>881</v>
      </c>
      <c r="E1593" s="1" t="s">
        <v>3375</v>
      </c>
      <c r="F1593" s="1" t="s">
        <v>15</v>
      </c>
      <c r="G1593" s="1" t="s">
        <v>22</v>
      </c>
      <c r="H1593">
        <v>57</v>
      </c>
      <c r="I1593">
        <v>27</v>
      </c>
      <c r="K1593" s="1" t="s">
        <v>17</v>
      </c>
      <c r="L1593" s="1" t="s">
        <v>18</v>
      </c>
      <c r="M1593" s="1" t="s">
        <v>3352</v>
      </c>
      <c r="N1593" s="1" t="s">
        <v>3376</v>
      </c>
    </row>
    <row r="1594" spans="1:14" x14ac:dyDescent="0.35">
      <c r="A1594">
        <v>3524056</v>
      </c>
      <c r="B1594" s="1" t="s">
        <v>2856</v>
      </c>
      <c r="C1594">
        <v>42352</v>
      </c>
      <c r="D1594">
        <v>881</v>
      </c>
      <c r="E1594" s="1" t="s">
        <v>3377</v>
      </c>
      <c r="F1594" s="1" t="s">
        <v>15</v>
      </c>
      <c r="G1594" s="1" t="s">
        <v>22</v>
      </c>
      <c r="H1594">
        <v>49</v>
      </c>
      <c r="I1594">
        <v>21</v>
      </c>
      <c r="J1594">
        <v>22</v>
      </c>
      <c r="K1594" s="1" t="s">
        <v>444</v>
      </c>
      <c r="L1594" s="1" t="s">
        <v>24</v>
      </c>
      <c r="M1594" s="1" t="s">
        <v>3352</v>
      </c>
      <c r="N1594" s="1" t="s">
        <v>3378</v>
      </c>
    </row>
    <row r="1595" spans="1:14" x14ac:dyDescent="0.35">
      <c r="A1595">
        <v>3524047</v>
      </c>
      <c r="B1595" s="1" t="s">
        <v>2856</v>
      </c>
      <c r="C1595">
        <v>42352</v>
      </c>
      <c r="D1595">
        <v>881</v>
      </c>
      <c r="E1595" s="1" t="s">
        <v>3379</v>
      </c>
      <c r="F1595" s="1" t="s">
        <v>15</v>
      </c>
      <c r="G1595" s="1" t="s">
        <v>22</v>
      </c>
      <c r="H1595">
        <v>65</v>
      </c>
      <c r="I1595">
        <v>33</v>
      </c>
      <c r="J1595">
        <v>148</v>
      </c>
      <c r="K1595" s="1" t="s">
        <v>23</v>
      </c>
      <c r="L1595" s="1" t="s">
        <v>24</v>
      </c>
      <c r="M1595" s="1" t="s">
        <v>3352</v>
      </c>
      <c r="N1595" s="1" t="s">
        <v>3380</v>
      </c>
    </row>
    <row r="1596" spans="1:14" x14ac:dyDescent="0.35">
      <c r="A1596">
        <v>3524073</v>
      </c>
      <c r="B1596" s="1" t="s">
        <v>2856</v>
      </c>
      <c r="C1596">
        <v>42352</v>
      </c>
      <c r="D1596">
        <v>881</v>
      </c>
      <c r="E1596" s="1" t="s">
        <v>3381</v>
      </c>
      <c r="F1596" s="1" t="s">
        <v>15</v>
      </c>
      <c r="G1596" s="1" t="s">
        <v>22</v>
      </c>
      <c r="H1596">
        <v>59</v>
      </c>
      <c r="I1596">
        <v>23</v>
      </c>
      <c r="K1596" s="1" t="s">
        <v>23</v>
      </c>
      <c r="L1596" s="1" t="s">
        <v>24</v>
      </c>
      <c r="M1596" s="1" t="s">
        <v>3352</v>
      </c>
      <c r="N1596" s="1" t="s">
        <v>3382</v>
      </c>
    </row>
    <row r="1597" spans="1:14" x14ac:dyDescent="0.35">
      <c r="A1597">
        <v>3524044</v>
      </c>
      <c r="B1597" s="1" t="s">
        <v>2856</v>
      </c>
      <c r="C1597">
        <v>42352</v>
      </c>
      <c r="D1597">
        <v>881</v>
      </c>
      <c r="E1597" s="1" t="s">
        <v>3383</v>
      </c>
      <c r="F1597" s="1" t="s">
        <v>15</v>
      </c>
      <c r="G1597" s="1" t="s">
        <v>22</v>
      </c>
      <c r="H1597">
        <v>122</v>
      </c>
      <c r="I1597">
        <v>24</v>
      </c>
      <c r="J1597">
        <v>116</v>
      </c>
      <c r="K1597" s="1" t="s">
        <v>444</v>
      </c>
      <c r="L1597" s="1" t="s">
        <v>24</v>
      </c>
      <c r="M1597" s="1" t="s">
        <v>3352</v>
      </c>
      <c r="N1597" s="1" t="s">
        <v>3384</v>
      </c>
    </row>
    <row r="1598" spans="1:14" x14ac:dyDescent="0.35">
      <c r="A1598">
        <v>3524072</v>
      </c>
      <c r="B1598" s="1" t="s">
        <v>2856</v>
      </c>
      <c r="C1598">
        <v>42352</v>
      </c>
      <c r="D1598">
        <v>881</v>
      </c>
      <c r="E1598" s="1" t="s">
        <v>3385</v>
      </c>
      <c r="F1598" s="1" t="s">
        <v>15</v>
      </c>
      <c r="G1598" s="1" t="s">
        <v>22</v>
      </c>
      <c r="H1598">
        <v>59</v>
      </c>
      <c r="I1598">
        <v>24</v>
      </c>
      <c r="K1598" s="1" t="s">
        <v>23</v>
      </c>
      <c r="L1598" s="1" t="s">
        <v>24</v>
      </c>
      <c r="M1598" s="1" t="s">
        <v>3352</v>
      </c>
      <c r="N1598" s="1" t="s">
        <v>3386</v>
      </c>
    </row>
    <row r="1599" spans="1:14" x14ac:dyDescent="0.35">
      <c r="A1599">
        <v>3524048</v>
      </c>
      <c r="B1599" s="1" t="s">
        <v>2856</v>
      </c>
      <c r="C1599">
        <v>42352</v>
      </c>
      <c r="D1599">
        <v>881</v>
      </c>
      <c r="E1599" s="1" t="s">
        <v>3387</v>
      </c>
      <c r="F1599" s="1" t="s">
        <v>15</v>
      </c>
      <c r="G1599" s="1" t="s">
        <v>22</v>
      </c>
      <c r="H1599">
        <v>66</v>
      </c>
      <c r="I1599">
        <v>20</v>
      </c>
      <c r="J1599">
        <v>54</v>
      </c>
      <c r="K1599" s="1" t="s">
        <v>23</v>
      </c>
      <c r="L1599" s="1" t="s">
        <v>24</v>
      </c>
      <c r="M1599" s="1" t="s">
        <v>3352</v>
      </c>
      <c r="N1599" s="1" t="s">
        <v>3388</v>
      </c>
    </row>
    <row r="1600" spans="1:14" x14ac:dyDescent="0.35">
      <c r="A1600">
        <v>3508016</v>
      </c>
      <c r="B1600" s="1" t="s">
        <v>2856</v>
      </c>
      <c r="C1600">
        <v>42352</v>
      </c>
      <c r="D1600">
        <v>881</v>
      </c>
      <c r="E1600" s="1" t="s">
        <v>3389</v>
      </c>
      <c r="F1600" s="1" t="s">
        <v>15</v>
      </c>
      <c r="G1600" s="1" t="s">
        <v>16</v>
      </c>
      <c r="H1600">
        <v>356</v>
      </c>
      <c r="I1600">
        <v>94</v>
      </c>
      <c r="J1600">
        <v>825</v>
      </c>
      <c r="K1600" s="1" t="s">
        <v>17</v>
      </c>
      <c r="L1600" s="1" t="s">
        <v>18</v>
      </c>
      <c r="M1600" s="1" t="s">
        <v>3390</v>
      </c>
      <c r="N1600" s="1" t="s">
        <v>3391</v>
      </c>
    </row>
    <row r="1601" spans="1:14" x14ac:dyDescent="0.35">
      <c r="A1601">
        <v>3508053</v>
      </c>
      <c r="B1601" s="1" t="s">
        <v>2856</v>
      </c>
      <c r="C1601">
        <v>42352</v>
      </c>
      <c r="D1601">
        <v>881</v>
      </c>
      <c r="E1601" s="1" t="s">
        <v>3392</v>
      </c>
      <c r="F1601" s="1" t="s">
        <v>15</v>
      </c>
      <c r="G1601" s="1" t="s">
        <v>32</v>
      </c>
      <c r="H1601">
        <v>102</v>
      </c>
      <c r="I1601">
        <v>84</v>
      </c>
      <c r="J1601">
        <v>289</v>
      </c>
      <c r="K1601" s="1" t="s">
        <v>23</v>
      </c>
      <c r="L1601" s="1" t="s">
        <v>24</v>
      </c>
      <c r="M1601" s="1" t="s">
        <v>3390</v>
      </c>
      <c r="N1601" s="1" t="s">
        <v>3393</v>
      </c>
    </row>
    <row r="1602" spans="1:14" x14ac:dyDescent="0.35">
      <c r="A1602">
        <v>3508054</v>
      </c>
      <c r="B1602" s="1" t="s">
        <v>2856</v>
      </c>
      <c r="C1602">
        <v>42352</v>
      </c>
      <c r="D1602">
        <v>881</v>
      </c>
      <c r="E1602" s="1" t="s">
        <v>3394</v>
      </c>
      <c r="F1602" s="1" t="s">
        <v>15</v>
      </c>
      <c r="G1602" s="1" t="s">
        <v>32</v>
      </c>
      <c r="H1602">
        <v>136</v>
      </c>
      <c r="I1602">
        <v>85</v>
      </c>
      <c r="J1602">
        <v>238</v>
      </c>
      <c r="K1602" s="1" t="s">
        <v>146</v>
      </c>
      <c r="L1602" s="1" t="s">
        <v>120</v>
      </c>
      <c r="M1602" s="1" t="s">
        <v>3390</v>
      </c>
      <c r="N1602" s="1" t="s">
        <v>3395</v>
      </c>
    </row>
    <row r="1603" spans="1:14" x14ac:dyDescent="0.35">
      <c r="A1603">
        <v>3508055</v>
      </c>
      <c r="B1603" s="1" t="s">
        <v>2856</v>
      </c>
      <c r="C1603">
        <v>42352</v>
      </c>
      <c r="D1603">
        <v>881</v>
      </c>
      <c r="E1603" s="1" t="s">
        <v>3396</v>
      </c>
      <c r="F1603" s="1" t="s">
        <v>15</v>
      </c>
      <c r="G1603" s="1" t="s">
        <v>32</v>
      </c>
      <c r="H1603">
        <v>101</v>
      </c>
      <c r="I1603">
        <v>44</v>
      </c>
      <c r="J1603">
        <v>163</v>
      </c>
      <c r="K1603" s="1" t="s">
        <v>61</v>
      </c>
      <c r="L1603" s="1" t="s">
        <v>24</v>
      </c>
      <c r="M1603" s="1" t="s">
        <v>3390</v>
      </c>
      <c r="N1603" s="1" t="s">
        <v>3397</v>
      </c>
    </row>
    <row r="1604" spans="1:14" x14ac:dyDescent="0.35">
      <c r="A1604">
        <v>3508058</v>
      </c>
      <c r="B1604" s="1" t="s">
        <v>2856</v>
      </c>
      <c r="C1604">
        <v>42352</v>
      </c>
      <c r="D1604">
        <v>881</v>
      </c>
      <c r="E1604" s="1" t="s">
        <v>3398</v>
      </c>
      <c r="F1604" s="1" t="s">
        <v>15</v>
      </c>
      <c r="G1604" s="1" t="s">
        <v>32</v>
      </c>
      <c r="H1604">
        <v>100</v>
      </c>
      <c r="I1604">
        <v>25</v>
      </c>
      <c r="J1604">
        <v>289</v>
      </c>
      <c r="K1604" s="1" t="s">
        <v>17</v>
      </c>
      <c r="L1604" s="1" t="s">
        <v>18</v>
      </c>
      <c r="M1604" s="1" t="s">
        <v>3390</v>
      </c>
      <c r="N1604" s="1" t="s">
        <v>3399</v>
      </c>
    </row>
    <row r="1605" spans="1:14" x14ac:dyDescent="0.35">
      <c r="A1605">
        <v>3508056</v>
      </c>
      <c r="B1605" s="1" t="s">
        <v>2856</v>
      </c>
      <c r="C1605">
        <v>42352</v>
      </c>
      <c r="D1605">
        <v>881</v>
      </c>
      <c r="E1605" s="1" t="s">
        <v>3400</v>
      </c>
      <c r="F1605" s="1" t="s">
        <v>15</v>
      </c>
      <c r="G1605" s="1" t="s">
        <v>32</v>
      </c>
      <c r="H1605">
        <v>102</v>
      </c>
      <c r="I1605">
        <v>30</v>
      </c>
      <c r="J1605">
        <v>247</v>
      </c>
      <c r="K1605" s="1" t="s">
        <v>23</v>
      </c>
      <c r="L1605" s="1" t="s">
        <v>24</v>
      </c>
      <c r="M1605" s="1" t="s">
        <v>3390</v>
      </c>
      <c r="N1605" s="1" t="s">
        <v>3401</v>
      </c>
    </row>
    <row r="1606" spans="1:14" x14ac:dyDescent="0.35">
      <c r="A1606">
        <v>3508071</v>
      </c>
      <c r="B1606" s="1" t="s">
        <v>2856</v>
      </c>
      <c r="C1606">
        <v>42352</v>
      </c>
      <c r="D1606">
        <v>881</v>
      </c>
      <c r="E1606" s="1" t="s">
        <v>3402</v>
      </c>
      <c r="F1606" s="1" t="s">
        <v>15</v>
      </c>
      <c r="G1606" s="1" t="s">
        <v>22</v>
      </c>
      <c r="H1606">
        <v>51</v>
      </c>
      <c r="I1606">
        <v>24</v>
      </c>
      <c r="K1606" s="1" t="s">
        <v>444</v>
      </c>
      <c r="L1606" s="1" t="s">
        <v>24</v>
      </c>
      <c r="M1606" s="1" t="s">
        <v>3390</v>
      </c>
      <c r="N1606" s="1" t="s">
        <v>3403</v>
      </c>
    </row>
    <row r="1607" spans="1:14" x14ac:dyDescent="0.35">
      <c r="A1607">
        <v>3508060</v>
      </c>
      <c r="B1607" s="1" t="s">
        <v>2856</v>
      </c>
      <c r="C1607">
        <v>42352</v>
      </c>
      <c r="D1607">
        <v>881</v>
      </c>
      <c r="E1607" s="1" t="s">
        <v>3404</v>
      </c>
      <c r="F1607" s="1" t="s">
        <v>15</v>
      </c>
      <c r="G1607" s="1" t="s">
        <v>22</v>
      </c>
      <c r="H1607">
        <v>60</v>
      </c>
      <c r="I1607">
        <v>26</v>
      </c>
      <c r="J1607">
        <v>135</v>
      </c>
      <c r="K1607" s="1" t="s">
        <v>444</v>
      </c>
      <c r="L1607" s="1" t="s">
        <v>24</v>
      </c>
      <c r="M1607" s="1" t="s">
        <v>3390</v>
      </c>
      <c r="N1607" s="1" t="s">
        <v>3405</v>
      </c>
    </row>
    <row r="1608" spans="1:14" x14ac:dyDescent="0.35">
      <c r="A1608">
        <v>3519012</v>
      </c>
      <c r="B1608" s="1" t="s">
        <v>2856</v>
      </c>
      <c r="C1608">
        <v>42352</v>
      </c>
      <c r="D1608">
        <v>881</v>
      </c>
      <c r="E1608" s="1" t="s">
        <v>3406</v>
      </c>
      <c r="F1608" s="1" t="s">
        <v>15</v>
      </c>
      <c r="G1608" s="1" t="s">
        <v>32</v>
      </c>
      <c r="H1608">
        <v>104</v>
      </c>
      <c r="I1608">
        <v>28</v>
      </c>
      <c r="J1608">
        <v>203</v>
      </c>
      <c r="K1608" s="1" t="s">
        <v>124</v>
      </c>
      <c r="L1608" s="1" t="s">
        <v>18</v>
      </c>
      <c r="M1608" s="1" t="s">
        <v>3407</v>
      </c>
      <c r="N1608" s="1" t="s">
        <v>3408</v>
      </c>
    </row>
    <row r="1609" spans="1:14" x14ac:dyDescent="0.35">
      <c r="A1609">
        <v>3519024</v>
      </c>
      <c r="B1609" s="1" t="s">
        <v>2856</v>
      </c>
      <c r="C1609">
        <v>42352</v>
      </c>
      <c r="D1609">
        <v>881</v>
      </c>
      <c r="E1609" s="1" t="s">
        <v>3409</v>
      </c>
      <c r="F1609" s="1" t="s">
        <v>15</v>
      </c>
      <c r="G1609" s="1" t="s">
        <v>32</v>
      </c>
      <c r="H1609">
        <v>215</v>
      </c>
      <c r="I1609">
        <v>29</v>
      </c>
      <c r="J1609">
        <v>320</v>
      </c>
      <c r="K1609" s="1" t="s">
        <v>17</v>
      </c>
      <c r="L1609" s="1" t="s">
        <v>18</v>
      </c>
      <c r="M1609" s="1" t="s">
        <v>3407</v>
      </c>
      <c r="N1609" s="1" t="s">
        <v>3410</v>
      </c>
    </row>
    <row r="1610" spans="1:14" x14ac:dyDescent="0.35">
      <c r="A1610">
        <v>3519023</v>
      </c>
      <c r="B1610" s="1" t="s">
        <v>2856</v>
      </c>
      <c r="C1610">
        <v>42352</v>
      </c>
      <c r="D1610">
        <v>881</v>
      </c>
      <c r="E1610" s="1" t="s">
        <v>3411</v>
      </c>
      <c r="F1610" s="1" t="s">
        <v>15</v>
      </c>
      <c r="G1610" s="1" t="s">
        <v>32</v>
      </c>
      <c r="H1610">
        <v>219</v>
      </c>
      <c r="I1610">
        <v>45</v>
      </c>
      <c r="J1610">
        <v>621</v>
      </c>
      <c r="K1610" s="1" t="s">
        <v>17</v>
      </c>
      <c r="L1610" s="1" t="s">
        <v>18</v>
      </c>
      <c r="M1610" s="1" t="s">
        <v>3407</v>
      </c>
      <c r="N1610" s="1" t="s">
        <v>3412</v>
      </c>
    </row>
    <row r="1611" spans="1:14" x14ac:dyDescent="0.35">
      <c r="A1611">
        <v>3520014</v>
      </c>
      <c r="B1611" s="1" t="s">
        <v>2856</v>
      </c>
      <c r="C1611">
        <v>42352</v>
      </c>
      <c r="D1611">
        <v>881</v>
      </c>
      <c r="E1611" s="1" t="s">
        <v>3413</v>
      </c>
      <c r="F1611" s="1" t="s">
        <v>71</v>
      </c>
      <c r="G1611" s="1" t="s">
        <v>32</v>
      </c>
      <c r="H1611">
        <v>24</v>
      </c>
      <c r="I1611">
        <v>13</v>
      </c>
      <c r="J1611">
        <v>38</v>
      </c>
      <c r="K1611" s="1" t="s">
        <v>23</v>
      </c>
      <c r="L1611" s="1" t="s">
        <v>24</v>
      </c>
      <c r="M1611" s="1" t="s">
        <v>3414</v>
      </c>
      <c r="N1611" s="1" t="s">
        <v>3415</v>
      </c>
    </row>
    <row r="1612" spans="1:14" x14ac:dyDescent="0.35">
      <c r="A1612">
        <v>3520016</v>
      </c>
      <c r="B1612" s="1" t="s">
        <v>2856</v>
      </c>
      <c r="C1612">
        <v>42352</v>
      </c>
      <c r="D1612">
        <v>881</v>
      </c>
      <c r="E1612" s="1" t="s">
        <v>3416</v>
      </c>
      <c r="F1612" s="1" t="s">
        <v>71</v>
      </c>
      <c r="G1612" s="1" t="s">
        <v>32</v>
      </c>
      <c r="H1612">
        <v>25</v>
      </c>
      <c r="I1612">
        <v>17</v>
      </c>
      <c r="J1612">
        <v>44</v>
      </c>
      <c r="K1612" s="1" t="s">
        <v>23</v>
      </c>
      <c r="L1612" s="1" t="s">
        <v>24</v>
      </c>
      <c r="M1612" s="1" t="s">
        <v>3414</v>
      </c>
      <c r="N1612" s="1" t="s">
        <v>3417</v>
      </c>
    </row>
    <row r="1613" spans="1:14" x14ac:dyDescent="0.35">
      <c r="A1613">
        <v>3520015</v>
      </c>
      <c r="B1613" s="1" t="s">
        <v>2856</v>
      </c>
      <c r="C1613">
        <v>42352</v>
      </c>
      <c r="D1613">
        <v>881</v>
      </c>
      <c r="E1613" s="1" t="s">
        <v>3418</v>
      </c>
      <c r="F1613" s="1" t="s">
        <v>71</v>
      </c>
      <c r="G1613" s="1" t="s">
        <v>32</v>
      </c>
      <c r="H1613">
        <v>28</v>
      </c>
      <c r="I1613">
        <v>16</v>
      </c>
      <c r="J1613">
        <v>87</v>
      </c>
      <c r="K1613" s="1" t="s">
        <v>23</v>
      </c>
      <c r="L1613" s="1" t="s">
        <v>24</v>
      </c>
      <c r="M1613" s="1" t="s">
        <v>3414</v>
      </c>
      <c r="N1613" s="1" t="s">
        <v>3419</v>
      </c>
    </row>
    <row r="1614" spans="1:14" x14ac:dyDescent="0.35">
      <c r="A1614">
        <v>3520012</v>
      </c>
      <c r="B1614" s="1" t="s">
        <v>2856</v>
      </c>
      <c r="C1614">
        <v>42352</v>
      </c>
      <c r="D1614">
        <v>881</v>
      </c>
      <c r="E1614" s="1" t="s">
        <v>3420</v>
      </c>
      <c r="F1614" s="1" t="s">
        <v>15</v>
      </c>
      <c r="G1614" s="1" t="s">
        <v>32</v>
      </c>
      <c r="H1614">
        <v>272</v>
      </c>
      <c r="I1614">
        <v>41</v>
      </c>
      <c r="J1614">
        <v>119</v>
      </c>
      <c r="K1614" s="1" t="s">
        <v>17</v>
      </c>
      <c r="L1614" s="1" t="s">
        <v>18</v>
      </c>
      <c r="M1614" s="1" t="s">
        <v>3414</v>
      </c>
      <c r="N1614" s="1" t="s">
        <v>3421</v>
      </c>
    </row>
    <row r="1615" spans="1:14" x14ac:dyDescent="0.35">
      <c r="A1615">
        <v>3520041</v>
      </c>
      <c r="B1615" s="1" t="s">
        <v>2856</v>
      </c>
      <c r="C1615">
        <v>42352</v>
      </c>
      <c r="D1615">
        <v>881</v>
      </c>
      <c r="E1615" s="1" t="s">
        <v>3422</v>
      </c>
      <c r="F1615" s="1" t="s">
        <v>15</v>
      </c>
      <c r="G1615" s="1" t="s">
        <v>32</v>
      </c>
      <c r="H1615">
        <v>33</v>
      </c>
      <c r="I1615">
        <v>43</v>
      </c>
      <c r="J1615">
        <v>389</v>
      </c>
      <c r="K1615" s="1" t="s">
        <v>974</v>
      </c>
      <c r="L1615" s="1" t="s">
        <v>24</v>
      </c>
      <c r="M1615" s="1" t="s">
        <v>3414</v>
      </c>
      <c r="N1615" s="1" t="s">
        <v>3423</v>
      </c>
    </row>
    <row r="1616" spans="1:14" x14ac:dyDescent="0.35">
      <c r="A1616">
        <v>3520013</v>
      </c>
      <c r="B1616" s="1" t="s">
        <v>2856</v>
      </c>
      <c r="C1616">
        <v>42352</v>
      </c>
      <c r="D1616">
        <v>881</v>
      </c>
      <c r="E1616" s="1" t="s">
        <v>3424</v>
      </c>
      <c r="F1616" s="1" t="s">
        <v>15</v>
      </c>
      <c r="G1616" s="1" t="s">
        <v>22</v>
      </c>
      <c r="H1616">
        <v>47</v>
      </c>
      <c r="I1616">
        <v>8</v>
      </c>
      <c r="J1616">
        <v>35</v>
      </c>
      <c r="K1616" s="1" t="s">
        <v>23</v>
      </c>
      <c r="L1616" s="1" t="s">
        <v>24</v>
      </c>
      <c r="M1616" s="1" t="s">
        <v>3414</v>
      </c>
      <c r="N1616" s="1" t="s">
        <v>3425</v>
      </c>
    </row>
    <row r="1617" spans="1:14" x14ac:dyDescent="0.35">
      <c r="A1617">
        <v>3507248</v>
      </c>
      <c r="B1617" s="1" t="s">
        <v>2856</v>
      </c>
      <c r="C1617">
        <v>42352</v>
      </c>
      <c r="D1617">
        <v>881</v>
      </c>
      <c r="E1617" s="1" t="s">
        <v>3426</v>
      </c>
      <c r="F1617" s="1" t="s">
        <v>220</v>
      </c>
      <c r="G1617" s="1" t="s">
        <v>32</v>
      </c>
      <c r="H1617">
        <v>61</v>
      </c>
      <c r="I1617">
        <v>30</v>
      </c>
      <c r="J1617">
        <v>242</v>
      </c>
      <c r="K1617" s="1" t="s">
        <v>23</v>
      </c>
      <c r="L1617" s="1" t="s">
        <v>24</v>
      </c>
      <c r="M1617" s="1" t="s">
        <v>3427</v>
      </c>
      <c r="N1617" s="1" t="s">
        <v>3428</v>
      </c>
    </row>
    <row r="1618" spans="1:14" x14ac:dyDescent="0.35">
      <c r="A1618">
        <v>3507026</v>
      </c>
      <c r="B1618" s="1" t="s">
        <v>2856</v>
      </c>
      <c r="C1618">
        <v>42352</v>
      </c>
      <c r="D1618">
        <v>881</v>
      </c>
      <c r="E1618" s="1" t="s">
        <v>3429</v>
      </c>
      <c r="F1618" s="1" t="s">
        <v>129</v>
      </c>
      <c r="G1618" s="1" t="s">
        <v>130</v>
      </c>
      <c r="H1618">
        <v>456</v>
      </c>
      <c r="I1618">
        <v>23</v>
      </c>
      <c r="J1618">
        <v>780</v>
      </c>
      <c r="K1618" s="1" t="s">
        <v>339</v>
      </c>
      <c r="L1618" s="1" t="s">
        <v>120</v>
      </c>
      <c r="M1618" s="1" t="s">
        <v>3427</v>
      </c>
      <c r="N1618" s="1" t="s">
        <v>3430</v>
      </c>
    </row>
    <row r="1619" spans="1:14" x14ac:dyDescent="0.35">
      <c r="A1619">
        <v>3507052</v>
      </c>
      <c r="B1619" s="1" t="s">
        <v>2856</v>
      </c>
      <c r="C1619">
        <v>42352</v>
      </c>
      <c r="D1619">
        <v>881</v>
      </c>
      <c r="E1619" s="1" t="s">
        <v>3431</v>
      </c>
      <c r="F1619" s="1" t="s">
        <v>15</v>
      </c>
      <c r="G1619" s="1" t="s">
        <v>16</v>
      </c>
      <c r="H1619">
        <v>240</v>
      </c>
      <c r="I1619">
        <v>57</v>
      </c>
      <c r="J1619">
        <v>659</v>
      </c>
      <c r="K1619" s="1" t="s">
        <v>17</v>
      </c>
      <c r="L1619" s="1" t="s">
        <v>18</v>
      </c>
      <c r="M1619" s="1" t="s">
        <v>3427</v>
      </c>
      <c r="N1619" s="1" t="s">
        <v>3432</v>
      </c>
    </row>
    <row r="1620" spans="1:14" x14ac:dyDescent="0.35">
      <c r="A1620">
        <v>3507096</v>
      </c>
      <c r="B1620" s="1" t="s">
        <v>2856</v>
      </c>
      <c r="C1620">
        <v>42352</v>
      </c>
      <c r="D1620">
        <v>881</v>
      </c>
      <c r="E1620" s="1" t="s">
        <v>3433</v>
      </c>
      <c r="F1620" s="1" t="s">
        <v>15</v>
      </c>
      <c r="G1620" s="1" t="s">
        <v>16</v>
      </c>
      <c r="H1620">
        <v>249</v>
      </c>
      <c r="I1620">
        <v>104</v>
      </c>
      <c r="J1620">
        <v>1076</v>
      </c>
      <c r="K1620" s="1" t="s">
        <v>23</v>
      </c>
      <c r="L1620" s="1" t="s">
        <v>24</v>
      </c>
      <c r="M1620" s="1" t="s">
        <v>3427</v>
      </c>
      <c r="N1620" s="1" t="s">
        <v>3434</v>
      </c>
    </row>
    <row r="1621" spans="1:14" x14ac:dyDescent="0.35">
      <c r="A1621">
        <v>3507108</v>
      </c>
      <c r="B1621" s="1" t="s">
        <v>2856</v>
      </c>
      <c r="C1621">
        <v>42352</v>
      </c>
      <c r="D1621">
        <v>881</v>
      </c>
      <c r="E1621" s="1" t="s">
        <v>3435</v>
      </c>
      <c r="F1621" s="1" t="s">
        <v>15</v>
      </c>
      <c r="G1621" s="1" t="s">
        <v>32</v>
      </c>
      <c r="H1621">
        <v>153</v>
      </c>
      <c r="I1621">
        <v>72</v>
      </c>
      <c r="J1621">
        <v>538</v>
      </c>
      <c r="K1621" s="1" t="s">
        <v>23</v>
      </c>
      <c r="L1621" s="1" t="s">
        <v>24</v>
      </c>
      <c r="M1621" s="1" t="s">
        <v>3427</v>
      </c>
      <c r="N1621" s="1" t="s">
        <v>3436</v>
      </c>
    </row>
    <row r="1622" spans="1:14" x14ac:dyDescent="0.35">
      <c r="A1622">
        <v>3507098</v>
      </c>
      <c r="B1622" s="1" t="s">
        <v>2856</v>
      </c>
      <c r="C1622">
        <v>42352</v>
      </c>
      <c r="D1622">
        <v>881</v>
      </c>
      <c r="E1622" s="1" t="s">
        <v>3437</v>
      </c>
      <c r="F1622" s="1" t="s">
        <v>15</v>
      </c>
      <c r="G1622" s="1" t="s">
        <v>32</v>
      </c>
      <c r="H1622">
        <v>105</v>
      </c>
      <c r="I1622">
        <v>41</v>
      </c>
      <c r="J1622">
        <v>447</v>
      </c>
      <c r="K1622" s="1" t="s">
        <v>23</v>
      </c>
      <c r="L1622" s="1" t="s">
        <v>24</v>
      </c>
      <c r="M1622" s="1" t="s">
        <v>3427</v>
      </c>
      <c r="N1622" s="1" t="s">
        <v>3438</v>
      </c>
    </row>
    <row r="1623" spans="1:14" x14ac:dyDescent="0.35">
      <c r="A1623">
        <v>3507204</v>
      </c>
      <c r="B1623" s="1" t="s">
        <v>2856</v>
      </c>
      <c r="C1623">
        <v>42352</v>
      </c>
      <c r="D1623">
        <v>881</v>
      </c>
      <c r="E1623" s="1" t="s">
        <v>3439</v>
      </c>
      <c r="F1623" s="1" t="s">
        <v>15</v>
      </c>
      <c r="G1623" s="1" t="s">
        <v>32</v>
      </c>
      <c r="H1623">
        <v>100</v>
      </c>
      <c r="I1623">
        <v>38</v>
      </c>
      <c r="J1623">
        <v>425</v>
      </c>
      <c r="K1623" s="1" t="s">
        <v>23</v>
      </c>
      <c r="L1623" s="1" t="s">
        <v>24</v>
      </c>
      <c r="M1623" s="1" t="s">
        <v>3427</v>
      </c>
      <c r="N1623" s="1" t="s">
        <v>3440</v>
      </c>
    </row>
    <row r="1624" spans="1:14" x14ac:dyDescent="0.35">
      <c r="A1624">
        <v>3507117</v>
      </c>
      <c r="B1624" s="1" t="s">
        <v>2856</v>
      </c>
      <c r="C1624">
        <v>42352</v>
      </c>
      <c r="D1624">
        <v>881</v>
      </c>
      <c r="E1624" s="1" t="s">
        <v>1701</v>
      </c>
      <c r="F1624" s="1" t="s">
        <v>15</v>
      </c>
      <c r="G1624" s="1" t="s">
        <v>32</v>
      </c>
      <c r="H1624">
        <v>100</v>
      </c>
      <c r="I1624">
        <v>32</v>
      </c>
      <c r="J1624">
        <v>149</v>
      </c>
      <c r="K1624" s="1" t="s">
        <v>23</v>
      </c>
      <c r="L1624" s="1" t="s">
        <v>24</v>
      </c>
      <c r="M1624" s="1" t="s">
        <v>3427</v>
      </c>
      <c r="N1624" s="1" t="s">
        <v>3441</v>
      </c>
    </row>
    <row r="1625" spans="1:14" x14ac:dyDescent="0.35">
      <c r="A1625">
        <v>3507099</v>
      </c>
      <c r="B1625" s="1" t="s">
        <v>2856</v>
      </c>
      <c r="C1625">
        <v>42352</v>
      </c>
      <c r="D1625">
        <v>881</v>
      </c>
      <c r="E1625" s="1" t="s">
        <v>3442</v>
      </c>
      <c r="F1625" s="1" t="s">
        <v>15</v>
      </c>
      <c r="G1625" s="1" t="s">
        <v>32</v>
      </c>
      <c r="H1625">
        <v>111</v>
      </c>
      <c r="I1625">
        <v>37</v>
      </c>
      <c r="J1625">
        <v>157</v>
      </c>
      <c r="K1625" s="1" t="s">
        <v>23</v>
      </c>
      <c r="L1625" s="1" t="s">
        <v>24</v>
      </c>
      <c r="M1625" s="1" t="s">
        <v>3427</v>
      </c>
      <c r="N1625" s="1" t="s">
        <v>3443</v>
      </c>
    </row>
    <row r="1626" spans="1:14" x14ac:dyDescent="0.35">
      <c r="A1626">
        <v>3507104</v>
      </c>
      <c r="B1626" s="1" t="s">
        <v>2856</v>
      </c>
      <c r="C1626">
        <v>42352</v>
      </c>
      <c r="D1626">
        <v>881</v>
      </c>
      <c r="E1626" s="1" t="s">
        <v>3444</v>
      </c>
      <c r="F1626" s="1" t="s">
        <v>15</v>
      </c>
      <c r="G1626" s="1" t="s">
        <v>32</v>
      </c>
      <c r="H1626">
        <v>133</v>
      </c>
      <c r="I1626">
        <v>39</v>
      </c>
      <c r="J1626">
        <v>412</v>
      </c>
      <c r="K1626" s="1" t="s">
        <v>23</v>
      </c>
      <c r="L1626" s="1" t="s">
        <v>24</v>
      </c>
      <c r="M1626" s="1" t="s">
        <v>3427</v>
      </c>
      <c r="N1626" s="1" t="s">
        <v>3445</v>
      </c>
    </row>
    <row r="1627" spans="1:14" x14ac:dyDescent="0.35">
      <c r="A1627">
        <v>3507085</v>
      </c>
      <c r="B1627" s="1" t="s">
        <v>2856</v>
      </c>
      <c r="C1627">
        <v>42352</v>
      </c>
      <c r="D1627">
        <v>881</v>
      </c>
      <c r="E1627" s="1" t="s">
        <v>3446</v>
      </c>
      <c r="F1627" s="1" t="s">
        <v>15</v>
      </c>
      <c r="G1627" s="1" t="s">
        <v>32</v>
      </c>
      <c r="H1627">
        <v>116</v>
      </c>
      <c r="I1627">
        <v>44</v>
      </c>
      <c r="J1627">
        <v>328</v>
      </c>
      <c r="K1627" s="1" t="s">
        <v>17</v>
      </c>
      <c r="L1627" s="1" t="s">
        <v>18</v>
      </c>
      <c r="M1627" s="1" t="s">
        <v>3427</v>
      </c>
      <c r="N1627" s="1" t="s">
        <v>3447</v>
      </c>
    </row>
    <row r="1628" spans="1:14" x14ac:dyDescent="0.35">
      <c r="A1628">
        <v>3507259</v>
      </c>
      <c r="B1628" s="1" t="s">
        <v>2856</v>
      </c>
      <c r="C1628">
        <v>42352</v>
      </c>
      <c r="D1628">
        <v>881</v>
      </c>
      <c r="E1628" s="1" t="s">
        <v>3448</v>
      </c>
      <c r="F1628" s="1" t="s">
        <v>15</v>
      </c>
      <c r="G1628" s="1" t="s">
        <v>22</v>
      </c>
      <c r="H1628">
        <v>50</v>
      </c>
      <c r="I1628">
        <v>28</v>
      </c>
      <c r="K1628" s="1" t="s">
        <v>23</v>
      </c>
      <c r="L1628" s="1" t="s">
        <v>24</v>
      </c>
      <c r="M1628" s="1" t="s">
        <v>3427</v>
      </c>
      <c r="N1628" s="1" t="s">
        <v>3449</v>
      </c>
    </row>
    <row r="1629" spans="1:14" x14ac:dyDescent="0.35">
      <c r="A1629">
        <v>3507116</v>
      </c>
      <c r="B1629" s="1" t="s">
        <v>2856</v>
      </c>
      <c r="C1629">
        <v>42352</v>
      </c>
      <c r="D1629">
        <v>881</v>
      </c>
      <c r="E1629" s="1" t="s">
        <v>3450</v>
      </c>
      <c r="F1629" s="1" t="s">
        <v>15</v>
      </c>
      <c r="G1629" s="1" t="s">
        <v>22</v>
      </c>
      <c r="H1629">
        <v>50</v>
      </c>
      <c r="I1629">
        <v>23</v>
      </c>
      <c r="J1629">
        <v>35</v>
      </c>
      <c r="K1629" s="1" t="s">
        <v>90</v>
      </c>
      <c r="L1629" s="1" t="s">
        <v>24</v>
      </c>
      <c r="M1629" s="1" t="s">
        <v>3427</v>
      </c>
      <c r="N1629" s="1" t="s">
        <v>3451</v>
      </c>
    </row>
    <row r="1630" spans="1:14" x14ac:dyDescent="0.35">
      <c r="A1630">
        <v>3507241</v>
      </c>
      <c r="B1630" s="1" t="s">
        <v>2856</v>
      </c>
      <c r="C1630">
        <v>42352</v>
      </c>
      <c r="D1630">
        <v>881</v>
      </c>
      <c r="E1630" s="1" t="s">
        <v>3452</v>
      </c>
      <c r="F1630" s="1" t="s">
        <v>15</v>
      </c>
      <c r="G1630" s="1" t="s">
        <v>22</v>
      </c>
      <c r="H1630">
        <v>54</v>
      </c>
      <c r="I1630">
        <v>30</v>
      </c>
      <c r="J1630">
        <v>140</v>
      </c>
      <c r="K1630" s="1" t="s">
        <v>23</v>
      </c>
      <c r="L1630" s="1" t="s">
        <v>24</v>
      </c>
      <c r="M1630" s="1" t="s">
        <v>3427</v>
      </c>
      <c r="N1630" s="1" t="s">
        <v>3453</v>
      </c>
    </row>
    <row r="1631" spans="1:14" x14ac:dyDescent="0.35">
      <c r="A1631">
        <v>3507119</v>
      </c>
      <c r="B1631" s="1" t="s">
        <v>2856</v>
      </c>
      <c r="C1631">
        <v>42352</v>
      </c>
      <c r="D1631">
        <v>881</v>
      </c>
      <c r="E1631" s="1" t="s">
        <v>3454</v>
      </c>
      <c r="F1631" s="1" t="s">
        <v>15</v>
      </c>
      <c r="G1631" s="1" t="s">
        <v>22</v>
      </c>
      <c r="H1631">
        <v>50</v>
      </c>
      <c r="I1631">
        <v>35</v>
      </c>
      <c r="J1631">
        <v>45</v>
      </c>
      <c r="K1631" s="1" t="s">
        <v>23</v>
      </c>
      <c r="L1631" s="1" t="s">
        <v>24</v>
      </c>
      <c r="M1631" s="1" t="s">
        <v>3427</v>
      </c>
      <c r="N1631" s="1" t="s">
        <v>3455</v>
      </c>
    </row>
    <row r="1632" spans="1:14" x14ac:dyDescent="0.35">
      <c r="A1632">
        <v>3507070</v>
      </c>
      <c r="B1632" s="1" t="s">
        <v>2856</v>
      </c>
      <c r="C1632">
        <v>42352</v>
      </c>
      <c r="D1632">
        <v>881</v>
      </c>
      <c r="E1632" s="1" t="s">
        <v>3456</v>
      </c>
      <c r="F1632" s="1" t="s">
        <v>15</v>
      </c>
      <c r="G1632" s="1" t="s">
        <v>22</v>
      </c>
      <c r="H1632">
        <v>70</v>
      </c>
      <c r="I1632">
        <v>42</v>
      </c>
      <c r="J1632">
        <v>297</v>
      </c>
      <c r="K1632" s="1" t="s">
        <v>819</v>
      </c>
      <c r="L1632" s="1" t="s">
        <v>24</v>
      </c>
      <c r="M1632" s="1" t="s">
        <v>3427</v>
      </c>
      <c r="N1632" s="1" t="s">
        <v>3457</v>
      </c>
    </row>
    <row r="1633" spans="1:14" x14ac:dyDescent="0.35">
      <c r="A1633">
        <v>3507260</v>
      </c>
      <c r="B1633" s="1" t="s">
        <v>2856</v>
      </c>
      <c r="C1633">
        <v>42352</v>
      </c>
      <c r="D1633">
        <v>881</v>
      </c>
      <c r="E1633" s="1" t="s">
        <v>3458</v>
      </c>
      <c r="F1633" s="1" t="s">
        <v>15</v>
      </c>
      <c r="G1633" s="1" t="s">
        <v>22</v>
      </c>
      <c r="H1633">
        <v>52</v>
      </c>
      <c r="I1633">
        <v>2</v>
      </c>
      <c r="K1633" s="1" t="s">
        <v>17</v>
      </c>
      <c r="L1633" s="1" t="s">
        <v>24</v>
      </c>
      <c r="M1633" s="1" t="s">
        <v>3427</v>
      </c>
      <c r="N1633" s="1" t="s">
        <v>3459</v>
      </c>
    </row>
    <row r="1634" spans="1:14" x14ac:dyDescent="0.35">
      <c r="A1634">
        <v>3507230</v>
      </c>
      <c r="B1634" s="1" t="s">
        <v>2856</v>
      </c>
      <c r="C1634">
        <v>42352</v>
      </c>
      <c r="D1634">
        <v>881</v>
      </c>
      <c r="E1634" s="1" t="s">
        <v>3460</v>
      </c>
      <c r="F1634" s="1" t="s">
        <v>15</v>
      </c>
      <c r="G1634" s="1" t="s">
        <v>22</v>
      </c>
      <c r="H1634">
        <v>50</v>
      </c>
      <c r="I1634">
        <v>25</v>
      </c>
      <c r="J1634">
        <v>162</v>
      </c>
      <c r="K1634" s="1" t="s">
        <v>23</v>
      </c>
      <c r="L1634" s="1" t="s">
        <v>24</v>
      </c>
      <c r="M1634" s="1" t="s">
        <v>3427</v>
      </c>
      <c r="N1634" s="1" t="s">
        <v>3461</v>
      </c>
    </row>
    <row r="1635" spans="1:14" x14ac:dyDescent="0.35">
      <c r="A1635">
        <v>3507261</v>
      </c>
      <c r="B1635" s="1" t="s">
        <v>2856</v>
      </c>
      <c r="C1635">
        <v>42352</v>
      </c>
      <c r="D1635">
        <v>881</v>
      </c>
      <c r="E1635" s="1" t="s">
        <v>3462</v>
      </c>
      <c r="F1635" s="1" t="s">
        <v>15</v>
      </c>
      <c r="G1635" s="1" t="s">
        <v>22</v>
      </c>
      <c r="H1635">
        <v>50</v>
      </c>
      <c r="I1635">
        <v>16</v>
      </c>
      <c r="K1635" s="1" t="s">
        <v>23</v>
      </c>
      <c r="L1635" s="1" t="s">
        <v>24</v>
      </c>
      <c r="M1635" s="1" t="s">
        <v>3427</v>
      </c>
      <c r="N1635" s="1" t="s">
        <v>3463</v>
      </c>
    </row>
    <row r="1636" spans="1:14" x14ac:dyDescent="0.35">
      <c r="A1636">
        <v>3507105</v>
      </c>
      <c r="B1636" s="1" t="s">
        <v>2856</v>
      </c>
      <c r="C1636">
        <v>42352</v>
      </c>
      <c r="D1636">
        <v>881</v>
      </c>
      <c r="E1636" s="1" t="s">
        <v>3464</v>
      </c>
      <c r="F1636" s="1" t="s">
        <v>15</v>
      </c>
      <c r="G1636" s="1" t="s">
        <v>22</v>
      </c>
      <c r="H1636">
        <v>56</v>
      </c>
      <c r="I1636">
        <v>25</v>
      </c>
      <c r="J1636">
        <v>160</v>
      </c>
      <c r="K1636" s="1" t="s">
        <v>23</v>
      </c>
      <c r="L1636" s="1" t="s">
        <v>24</v>
      </c>
      <c r="M1636" s="1" t="s">
        <v>3427</v>
      </c>
      <c r="N1636" s="1" t="s">
        <v>3465</v>
      </c>
    </row>
    <row r="1637" spans="1:14" x14ac:dyDescent="0.35">
      <c r="A1637">
        <v>3507015</v>
      </c>
      <c r="B1637" s="1" t="s">
        <v>2856</v>
      </c>
      <c r="C1637">
        <v>42352</v>
      </c>
      <c r="D1637">
        <v>881</v>
      </c>
      <c r="E1637" s="1" t="s">
        <v>3466</v>
      </c>
      <c r="F1637" s="1" t="s">
        <v>15</v>
      </c>
      <c r="G1637" s="1" t="s">
        <v>22</v>
      </c>
      <c r="H1637">
        <v>77</v>
      </c>
      <c r="I1637">
        <v>26</v>
      </c>
      <c r="J1637">
        <v>221</v>
      </c>
      <c r="K1637" s="1" t="s">
        <v>23</v>
      </c>
      <c r="L1637" s="1" t="s">
        <v>24</v>
      </c>
      <c r="M1637" s="1" t="s">
        <v>3427</v>
      </c>
      <c r="N1637" s="1" t="s">
        <v>3467</v>
      </c>
    </row>
    <row r="1638" spans="1:14" x14ac:dyDescent="0.35">
      <c r="A1638">
        <v>3507100</v>
      </c>
      <c r="B1638" s="1" t="s">
        <v>2856</v>
      </c>
      <c r="C1638">
        <v>42352</v>
      </c>
      <c r="D1638">
        <v>881</v>
      </c>
      <c r="E1638" s="1" t="s">
        <v>3468</v>
      </c>
      <c r="F1638" s="1" t="s">
        <v>15</v>
      </c>
      <c r="G1638" s="1" t="s">
        <v>22</v>
      </c>
      <c r="H1638">
        <v>50</v>
      </c>
      <c r="I1638">
        <v>28</v>
      </c>
      <c r="J1638">
        <v>99</v>
      </c>
      <c r="K1638" s="1" t="s">
        <v>23</v>
      </c>
      <c r="L1638" s="1" t="s">
        <v>24</v>
      </c>
      <c r="M1638" s="1" t="s">
        <v>3427</v>
      </c>
      <c r="N1638" s="1" t="s">
        <v>3469</v>
      </c>
    </row>
    <row r="1639" spans="1:14" x14ac:dyDescent="0.35">
      <c r="A1639">
        <v>3507262</v>
      </c>
      <c r="B1639" s="1" t="s">
        <v>2856</v>
      </c>
      <c r="C1639">
        <v>42352</v>
      </c>
      <c r="D1639">
        <v>881</v>
      </c>
      <c r="E1639" s="1" t="s">
        <v>3470</v>
      </c>
      <c r="F1639" s="1" t="s">
        <v>15</v>
      </c>
      <c r="G1639" s="1" t="s">
        <v>22</v>
      </c>
      <c r="H1639">
        <v>56</v>
      </c>
      <c r="I1639">
        <v>14</v>
      </c>
      <c r="K1639" s="1" t="s">
        <v>974</v>
      </c>
      <c r="L1639" s="1" t="s">
        <v>24</v>
      </c>
      <c r="M1639" s="1" t="s">
        <v>3427</v>
      </c>
      <c r="N1639" s="1" t="s">
        <v>3471</v>
      </c>
    </row>
    <row r="1640" spans="1:14" x14ac:dyDescent="0.35">
      <c r="A1640">
        <v>3507102</v>
      </c>
      <c r="B1640" s="1" t="s">
        <v>2856</v>
      </c>
      <c r="C1640">
        <v>42352</v>
      </c>
      <c r="D1640">
        <v>881</v>
      </c>
      <c r="E1640" s="1" t="s">
        <v>3472</v>
      </c>
      <c r="F1640" s="1" t="s">
        <v>15</v>
      </c>
      <c r="G1640" s="1" t="s">
        <v>22</v>
      </c>
      <c r="H1640">
        <v>52</v>
      </c>
      <c r="I1640">
        <v>30</v>
      </c>
      <c r="J1640">
        <v>145</v>
      </c>
      <c r="K1640" s="1" t="s">
        <v>974</v>
      </c>
      <c r="L1640" s="1" t="s">
        <v>24</v>
      </c>
      <c r="M1640" s="1" t="s">
        <v>3427</v>
      </c>
      <c r="N1640" s="1" t="s">
        <v>3473</v>
      </c>
    </row>
    <row r="1641" spans="1:14" x14ac:dyDescent="0.35">
      <c r="A1641">
        <v>3507107</v>
      </c>
      <c r="B1641" s="1" t="s">
        <v>2856</v>
      </c>
      <c r="C1641">
        <v>42352</v>
      </c>
      <c r="D1641">
        <v>881</v>
      </c>
      <c r="E1641" s="1" t="s">
        <v>3474</v>
      </c>
      <c r="F1641" s="1" t="s">
        <v>15</v>
      </c>
      <c r="G1641" s="1" t="s">
        <v>22</v>
      </c>
      <c r="H1641">
        <v>55</v>
      </c>
      <c r="I1641">
        <v>46</v>
      </c>
      <c r="J1641">
        <v>152</v>
      </c>
      <c r="K1641" s="1" t="s">
        <v>23</v>
      </c>
      <c r="L1641" s="1" t="s">
        <v>24</v>
      </c>
      <c r="M1641" s="1" t="s">
        <v>3427</v>
      </c>
      <c r="N1641" s="1" t="s">
        <v>3475</v>
      </c>
    </row>
    <row r="1642" spans="1:14" x14ac:dyDescent="0.35">
      <c r="A1642">
        <v>3573256</v>
      </c>
      <c r="B1642" s="1" t="s">
        <v>2856</v>
      </c>
      <c r="C1642">
        <v>42352</v>
      </c>
      <c r="D1642">
        <v>881</v>
      </c>
      <c r="E1642" s="1" t="s">
        <v>3476</v>
      </c>
      <c r="F1642" s="1" t="s">
        <v>15</v>
      </c>
      <c r="G1642" s="1" t="s">
        <v>22</v>
      </c>
      <c r="H1642">
        <v>47</v>
      </c>
      <c r="I1642">
        <v>34</v>
      </c>
      <c r="J1642">
        <v>52</v>
      </c>
      <c r="K1642" s="1" t="s">
        <v>27</v>
      </c>
      <c r="L1642" s="1" t="s">
        <v>24</v>
      </c>
      <c r="M1642" s="1" t="s">
        <v>3427</v>
      </c>
      <c r="N1642" s="1" t="s">
        <v>3477</v>
      </c>
    </row>
    <row r="1643" spans="1:14" x14ac:dyDescent="0.35">
      <c r="A1643">
        <v>3516020</v>
      </c>
      <c r="B1643" s="1" t="s">
        <v>2856</v>
      </c>
      <c r="C1643">
        <v>42352</v>
      </c>
      <c r="D1643">
        <v>881</v>
      </c>
      <c r="E1643" s="1" t="s">
        <v>3478</v>
      </c>
      <c r="F1643" s="1" t="s">
        <v>15</v>
      </c>
      <c r="G1643" s="1" t="s">
        <v>16</v>
      </c>
      <c r="H1643">
        <v>236</v>
      </c>
      <c r="I1643">
        <v>38</v>
      </c>
      <c r="J1643">
        <v>507</v>
      </c>
      <c r="K1643" s="1" t="s">
        <v>17</v>
      </c>
      <c r="L1643" s="1" t="s">
        <v>18</v>
      </c>
      <c r="M1643" s="1" t="s">
        <v>3479</v>
      </c>
      <c r="N1643" s="1" t="s">
        <v>3480</v>
      </c>
    </row>
    <row r="1644" spans="1:14" x14ac:dyDescent="0.35">
      <c r="A1644">
        <v>3516016</v>
      </c>
      <c r="B1644" s="1" t="s">
        <v>2856</v>
      </c>
      <c r="C1644">
        <v>42352</v>
      </c>
      <c r="D1644">
        <v>881</v>
      </c>
      <c r="E1644" s="1" t="s">
        <v>3481</v>
      </c>
      <c r="F1644" s="1" t="s">
        <v>15</v>
      </c>
      <c r="G1644" s="1" t="s">
        <v>32</v>
      </c>
      <c r="H1644">
        <v>131</v>
      </c>
      <c r="I1644">
        <v>102</v>
      </c>
      <c r="J1644">
        <v>328</v>
      </c>
      <c r="K1644" s="1" t="s">
        <v>124</v>
      </c>
      <c r="L1644" s="1" t="s">
        <v>18</v>
      </c>
      <c r="M1644" s="1" t="s">
        <v>3479</v>
      </c>
      <c r="N1644" s="1" t="s">
        <v>3482</v>
      </c>
    </row>
    <row r="1645" spans="1:14" x14ac:dyDescent="0.35">
      <c r="A1645">
        <v>3516073</v>
      </c>
      <c r="B1645" s="1" t="s">
        <v>2856</v>
      </c>
      <c r="C1645">
        <v>42352</v>
      </c>
      <c r="D1645">
        <v>881</v>
      </c>
      <c r="E1645" s="1" t="s">
        <v>3483</v>
      </c>
      <c r="F1645" s="1" t="s">
        <v>15</v>
      </c>
      <c r="G1645" s="1" t="s">
        <v>32</v>
      </c>
      <c r="H1645">
        <v>145</v>
      </c>
      <c r="I1645">
        <v>23</v>
      </c>
      <c r="J1645">
        <v>348</v>
      </c>
      <c r="K1645" s="1" t="s">
        <v>17</v>
      </c>
      <c r="L1645" s="1" t="s">
        <v>18</v>
      </c>
      <c r="M1645" s="1" t="s">
        <v>3479</v>
      </c>
      <c r="N1645" s="1" t="s">
        <v>3484</v>
      </c>
    </row>
    <row r="1646" spans="1:14" x14ac:dyDescent="0.35">
      <c r="A1646">
        <v>3516062</v>
      </c>
      <c r="B1646" s="1" t="s">
        <v>2856</v>
      </c>
      <c r="C1646">
        <v>42352</v>
      </c>
      <c r="D1646">
        <v>881</v>
      </c>
      <c r="E1646" s="1" t="s">
        <v>3485</v>
      </c>
      <c r="F1646" s="1" t="s">
        <v>15</v>
      </c>
      <c r="G1646" s="1" t="s">
        <v>32</v>
      </c>
      <c r="H1646">
        <v>232</v>
      </c>
      <c r="I1646">
        <v>148</v>
      </c>
      <c r="J1646">
        <v>447</v>
      </c>
      <c r="K1646" s="1" t="s">
        <v>23</v>
      </c>
      <c r="L1646" s="1" t="s">
        <v>24</v>
      </c>
      <c r="M1646" s="1" t="s">
        <v>3479</v>
      </c>
      <c r="N1646" s="1" t="s">
        <v>3486</v>
      </c>
    </row>
    <row r="1647" spans="1:14" x14ac:dyDescent="0.35">
      <c r="A1647">
        <v>3516075</v>
      </c>
      <c r="B1647" s="1" t="s">
        <v>2856</v>
      </c>
      <c r="C1647">
        <v>42352</v>
      </c>
      <c r="D1647">
        <v>881</v>
      </c>
      <c r="E1647" s="1" t="s">
        <v>3487</v>
      </c>
      <c r="F1647" s="1" t="s">
        <v>15</v>
      </c>
      <c r="G1647" s="1" t="s">
        <v>32</v>
      </c>
      <c r="H1647">
        <v>144</v>
      </c>
      <c r="I1647">
        <v>33</v>
      </c>
      <c r="J1647">
        <v>173</v>
      </c>
      <c r="K1647" s="1" t="s">
        <v>90</v>
      </c>
      <c r="L1647" s="1" t="s">
        <v>24</v>
      </c>
      <c r="M1647" s="1" t="s">
        <v>3479</v>
      </c>
      <c r="N1647" s="1" t="s">
        <v>3488</v>
      </c>
    </row>
    <row r="1648" spans="1:14" x14ac:dyDescent="0.35">
      <c r="A1648">
        <v>3516032</v>
      </c>
      <c r="B1648" s="1" t="s">
        <v>2856</v>
      </c>
      <c r="C1648">
        <v>42352</v>
      </c>
      <c r="D1648">
        <v>881</v>
      </c>
      <c r="E1648" s="1" t="s">
        <v>3489</v>
      </c>
      <c r="F1648" s="1" t="s">
        <v>15</v>
      </c>
      <c r="G1648" s="1" t="s">
        <v>32</v>
      </c>
      <c r="H1648">
        <v>107</v>
      </c>
      <c r="I1648">
        <v>32</v>
      </c>
      <c r="J1648">
        <v>151</v>
      </c>
      <c r="K1648" s="1" t="s">
        <v>90</v>
      </c>
      <c r="L1648" s="1" t="s">
        <v>24</v>
      </c>
      <c r="M1648" s="1" t="s">
        <v>3479</v>
      </c>
      <c r="N1648" s="1" t="s">
        <v>3490</v>
      </c>
    </row>
    <row r="1649" spans="1:14" x14ac:dyDescent="0.35">
      <c r="A1649">
        <v>3516034</v>
      </c>
      <c r="B1649" s="1" t="s">
        <v>2856</v>
      </c>
      <c r="C1649">
        <v>42352</v>
      </c>
      <c r="D1649">
        <v>881</v>
      </c>
      <c r="E1649" s="1" t="s">
        <v>3491</v>
      </c>
      <c r="F1649" s="1" t="s">
        <v>15</v>
      </c>
      <c r="G1649" s="1" t="s">
        <v>22</v>
      </c>
      <c r="H1649">
        <v>50</v>
      </c>
      <c r="I1649">
        <v>17</v>
      </c>
      <c r="J1649">
        <v>22</v>
      </c>
      <c r="K1649" s="1" t="s">
        <v>23</v>
      </c>
      <c r="L1649" s="1" t="s">
        <v>24</v>
      </c>
      <c r="M1649" s="1" t="s">
        <v>3479</v>
      </c>
      <c r="N1649" s="1" t="s">
        <v>3492</v>
      </c>
    </row>
    <row r="1650" spans="1:14" x14ac:dyDescent="0.35">
      <c r="A1650">
        <v>3516036</v>
      </c>
      <c r="B1650" s="1" t="s">
        <v>2856</v>
      </c>
      <c r="C1650">
        <v>42352</v>
      </c>
      <c r="D1650">
        <v>881</v>
      </c>
      <c r="E1650" s="1" t="s">
        <v>3493</v>
      </c>
      <c r="F1650" s="1" t="s">
        <v>15</v>
      </c>
      <c r="G1650" s="1" t="s">
        <v>22</v>
      </c>
      <c r="H1650">
        <v>90</v>
      </c>
      <c r="I1650">
        <v>37</v>
      </c>
      <c r="J1650">
        <v>68</v>
      </c>
      <c r="K1650" s="1" t="s">
        <v>23</v>
      </c>
      <c r="L1650" s="1" t="s">
        <v>24</v>
      </c>
      <c r="M1650" s="1" t="s">
        <v>3479</v>
      </c>
      <c r="N1650" s="1" t="s">
        <v>3494</v>
      </c>
    </row>
    <row r="1651" spans="1:14" x14ac:dyDescent="0.35">
      <c r="A1651">
        <v>3516037</v>
      </c>
      <c r="B1651" s="1" t="s">
        <v>2856</v>
      </c>
      <c r="C1651">
        <v>42352</v>
      </c>
      <c r="D1651">
        <v>881</v>
      </c>
      <c r="E1651" s="1" t="s">
        <v>3495</v>
      </c>
      <c r="F1651" s="1" t="s">
        <v>15</v>
      </c>
      <c r="G1651" s="1" t="s">
        <v>22</v>
      </c>
      <c r="H1651">
        <v>81</v>
      </c>
      <c r="I1651">
        <v>16</v>
      </c>
      <c r="J1651">
        <v>153</v>
      </c>
      <c r="K1651" s="1" t="s">
        <v>84</v>
      </c>
      <c r="L1651" s="1" t="s">
        <v>24</v>
      </c>
      <c r="M1651" s="1" t="s">
        <v>3479</v>
      </c>
      <c r="N1651" s="1" t="s">
        <v>3496</v>
      </c>
    </row>
    <row r="1652" spans="1:14" x14ac:dyDescent="0.35">
      <c r="A1652">
        <v>3516039</v>
      </c>
      <c r="B1652" s="1" t="s">
        <v>2856</v>
      </c>
      <c r="C1652">
        <v>42352</v>
      </c>
      <c r="D1652">
        <v>881</v>
      </c>
      <c r="E1652" s="1" t="s">
        <v>3497</v>
      </c>
      <c r="F1652" s="1" t="s">
        <v>15</v>
      </c>
      <c r="G1652" s="1" t="s">
        <v>22</v>
      </c>
      <c r="H1652">
        <v>95</v>
      </c>
      <c r="I1652">
        <v>25</v>
      </c>
      <c r="J1652">
        <v>20</v>
      </c>
      <c r="K1652" s="1" t="s">
        <v>23</v>
      </c>
      <c r="L1652" s="1" t="s">
        <v>24</v>
      </c>
      <c r="M1652" s="1" t="s">
        <v>3479</v>
      </c>
      <c r="N1652" s="1" t="s">
        <v>3498</v>
      </c>
    </row>
    <row r="1653" spans="1:14" x14ac:dyDescent="0.35">
      <c r="A1653">
        <v>3516033</v>
      </c>
      <c r="B1653" s="1" t="s">
        <v>2856</v>
      </c>
      <c r="C1653">
        <v>42352</v>
      </c>
      <c r="D1653">
        <v>881</v>
      </c>
      <c r="E1653" s="1" t="s">
        <v>3499</v>
      </c>
      <c r="F1653" s="1" t="s">
        <v>15</v>
      </c>
      <c r="G1653" s="1" t="s">
        <v>22</v>
      </c>
      <c r="H1653">
        <v>50</v>
      </c>
      <c r="I1653">
        <v>20</v>
      </c>
      <c r="J1653">
        <v>61</v>
      </c>
      <c r="K1653" s="1" t="s">
        <v>23</v>
      </c>
      <c r="L1653" s="1" t="s">
        <v>24</v>
      </c>
      <c r="M1653" s="1" t="s">
        <v>3479</v>
      </c>
      <c r="N1653" s="1" t="s">
        <v>3500</v>
      </c>
    </row>
    <row r="1654" spans="1:14" x14ac:dyDescent="0.35">
      <c r="A1654">
        <v>3518011</v>
      </c>
      <c r="B1654" s="1" t="s">
        <v>2856</v>
      </c>
      <c r="C1654">
        <v>42352</v>
      </c>
      <c r="D1654">
        <v>881</v>
      </c>
      <c r="E1654" s="1" t="s">
        <v>3501</v>
      </c>
      <c r="F1654" s="1" t="s">
        <v>15</v>
      </c>
      <c r="G1654" s="1" t="s">
        <v>16</v>
      </c>
      <c r="H1654">
        <v>350</v>
      </c>
      <c r="I1654">
        <v>86</v>
      </c>
      <c r="J1654">
        <v>696</v>
      </c>
      <c r="K1654" s="1" t="s">
        <v>17</v>
      </c>
      <c r="L1654" s="1" t="s">
        <v>18</v>
      </c>
      <c r="M1654" s="1" t="s">
        <v>3502</v>
      </c>
      <c r="N1654" s="1" t="s">
        <v>3503</v>
      </c>
    </row>
    <row r="1655" spans="1:14" x14ac:dyDescent="0.35">
      <c r="A1655">
        <v>3518022</v>
      </c>
      <c r="B1655" s="1" t="s">
        <v>2856</v>
      </c>
      <c r="C1655">
        <v>42352</v>
      </c>
      <c r="D1655">
        <v>881</v>
      </c>
      <c r="E1655" s="1" t="s">
        <v>3504</v>
      </c>
      <c r="F1655" s="1" t="s">
        <v>15</v>
      </c>
      <c r="G1655" s="1" t="s">
        <v>32</v>
      </c>
      <c r="H1655">
        <v>270</v>
      </c>
      <c r="I1655">
        <v>73</v>
      </c>
      <c r="J1655">
        <v>402</v>
      </c>
      <c r="K1655" s="1" t="s">
        <v>17</v>
      </c>
      <c r="L1655" s="1" t="s">
        <v>18</v>
      </c>
      <c r="M1655" s="1" t="s">
        <v>3502</v>
      </c>
      <c r="N1655" s="1" t="s">
        <v>3505</v>
      </c>
    </row>
    <row r="1656" spans="1:14" x14ac:dyDescent="0.35">
      <c r="A1656">
        <v>3518045</v>
      </c>
      <c r="B1656" s="1" t="s">
        <v>2856</v>
      </c>
      <c r="C1656">
        <v>42352</v>
      </c>
      <c r="D1656">
        <v>881</v>
      </c>
      <c r="E1656" s="1" t="s">
        <v>3506</v>
      </c>
      <c r="F1656" s="1" t="s">
        <v>15</v>
      </c>
      <c r="G1656" s="1" t="s">
        <v>32</v>
      </c>
      <c r="H1656">
        <v>166</v>
      </c>
      <c r="I1656">
        <v>40</v>
      </c>
      <c r="J1656">
        <v>327</v>
      </c>
      <c r="K1656" s="1" t="s">
        <v>146</v>
      </c>
      <c r="L1656" s="1" t="s">
        <v>120</v>
      </c>
      <c r="M1656" s="1" t="s">
        <v>3502</v>
      </c>
      <c r="N1656" s="1" t="s">
        <v>3507</v>
      </c>
    </row>
    <row r="1657" spans="1:14" x14ac:dyDescent="0.35">
      <c r="A1657">
        <v>3518046</v>
      </c>
      <c r="B1657" s="1" t="s">
        <v>2856</v>
      </c>
      <c r="C1657">
        <v>42352</v>
      </c>
      <c r="D1657">
        <v>881</v>
      </c>
      <c r="E1657" s="1" t="s">
        <v>3508</v>
      </c>
      <c r="F1657" s="1" t="s">
        <v>15</v>
      </c>
      <c r="G1657" s="1" t="s">
        <v>22</v>
      </c>
      <c r="H1657">
        <v>107</v>
      </c>
      <c r="I1657">
        <v>53</v>
      </c>
      <c r="J1657">
        <v>241</v>
      </c>
      <c r="K1657" s="1" t="s">
        <v>444</v>
      </c>
      <c r="L1657" s="1" t="s">
        <v>24</v>
      </c>
      <c r="M1657" s="1" t="s">
        <v>3502</v>
      </c>
      <c r="N1657" s="1" t="s">
        <v>3509</v>
      </c>
    </row>
    <row r="1658" spans="1:14" x14ac:dyDescent="0.35">
      <c r="A1658">
        <v>3521013</v>
      </c>
      <c r="B1658" s="1" t="s">
        <v>2856</v>
      </c>
      <c r="C1658">
        <v>42352</v>
      </c>
      <c r="D1658">
        <v>881</v>
      </c>
      <c r="E1658" s="1" t="s">
        <v>3510</v>
      </c>
      <c r="F1658" s="1" t="s">
        <v>15</v>
      </c>
      <c r="G1658" s="1" t="s">
        <v>32</v>
      </c>
      <c r="H1658">
        <v>296</v>
      </c>
      <c r="I1658">
        <v>89</v>
      </c>
      <c r="J1658">
        <v>48</v>
      </c>
      <c r="K1658" s="1" t="s">
        <v>17</v>
      </c>
      <c r="L1658" s="1" t="s">
        <v>18</v>
      </c>
      <c r="M1658" s="1" t="s">
        <v>3511</v>
      </c>
      <c r="N1658" s="1" t="s">
        <v>3512</v>
      </c>
    </row>
    <row r="1659" spans="1:14" x14ac:dyDescent="0.35">
      <c r="A1659">
        <v>3521014</v>
      </c>
      <c r="B1659" s="1" t="s">
        <v>2856</v>
      </c>
      <c r="C1659">
        <v>42352</v>
      </c>
      <c r="D1659">
        <v>881</v>
      </c>
      <c r="E1659" s="1" t="s">
        <v>3513</v>
      </c>
      <c r="F1659" s="1" t="s">
        <v>15</v>
      </c>
      <c r="G1659" s="1" t="s">
        <v>32</v>
      </c>
      <c r="H1659">
        <v>172</v>
      </c>
      <c r="I1659">
        <v>27</v>
      </c>
      <c r="J1659">
        <v>487</v>
      </c>
      <c r="K1659" s="1" t="s">
        <v>23</v>
      </c>
      <c r="L1659" s="1" t="s">
        <v>24</v>
      </c>
      <c r="M1659" s="1" t="s">
        <v>3511</v>
      </c>
      <c r="N1659" s="1" t="s">
        <v>3514</v>
      </c>
    </row>
    <row r="1660" spans="1:14" x14ac:dyDescent="0.35">
      <c r="A1660">
        <v>3521015</v>
      </c>
      <c r="B1660" s="1" t="s">
        <v>2856</v>
      </c>
      <c r="C1660">
        <v>42352</v>
      </c>
      <c r="D1660">
        <v>881</v>
      </c>
      <c r="E1660" s="1" t="s">
        <v>3515</v>
      </c>
      <c r="F1660" s="1" t="s">
        <v>15</v>
      </c>
      <c r="G1660" s="1" t="s">
        <v>32</v>
      </c>
      <c r="H1660">
        <v>160</v>
      </c>
      <c r="I1660">
        <v>39</v>
      </c>
      <c r="J1660">
        <v>296</v>
      </c>
      <c r="K1660" s="1" t="s">
        <v>23</v>
      </c>
      <c r="L1660" s="1" t="s">
        <v>24</v>
      </c>
      <c r="M1660" s="1" t="s">
        <v>3511</v>
      </c>
      <c r="N1660" s="1" t="s">
        <v>3516</v>
      </c>
    </row>
    <row r="1661" spans="1:14" x14ac:dyDescent="0.35">
      <c r="A1661">
        <v>3521028</v>
      </c>
      <c r="B1661" s="1" t="s">
        <v>2856</v>
      </c>
      <c r="C1661">
        <v>42352</v>
      </c>
      <c r="D1661">
        <v>881</v>
      </c>
      <c r="E1661" s="1" t="s">
        <v>3517</v>
      </c>
      <c r="F1661" s="1" t="s">
        <v>15</v>
      </c>
      <c r="G1661" s="1" t="s">
        <v>22</v>
      </c>
      <c r="H1661">
        <v>53</v>
      </c>
      <c r="I1661">
        <v>22</v>
      </c>
      <c r="K1661" s="1" t="s">
        <v>17</v>
      </c>
      <c r="L1661" s="1" t="s">
        <v>18</v>
      </c>
      <c r="M1661" s="1" t="s">
        <v>3511</v>
      </c>
      <c r="N1661" s="1" t="s">
        <v>3518</v>
      </c>
    </row>
    <row r="1662" spans="1:14" x14ac:dyDescent="0.35">
      <c r="A1662">
        <v>3521027</v>
      </c>
      <c r="B1662" s="1" t="s">
        <v>2856</v>
      </c>
      <c r="C1662">
        <v>42352</v>
      </c>
      <c r="D1662">
        <v>881</v>
      </c>
      <c r="E1662" s="1" t="s">
        <v>3519</v>
      </c>
      <c r="F1662" s="1" t="s">
        <v>15</v>
      </c>
      <c r="G1662" s="1" t="s">
        <v>22</v>
      </c>
      <c r="H1662">
        <v>50</v>
      </c>
      <c r="I1662">
        <v>19</v>
      </c>
      <c r="K1662" s="1" t="s">
        <v>17</v>
      </c>
      <c r="L1662" s="1" t="s">
        <v>24</v>
      </c>
      <c r="M1662" s="1" t="s">
        <v>3511</v>
      </c>
      <c r="N1662" s="1" t="s">
        <v>3520</v>
      </c>
    </row>
    <row r="1663" spans="1:14" x14ac:dyDescent="0.35">
      <c r="A1663">
        <v>3501016</v>
      </c>
      <c r="B1663" s="1" t="s">
        <v>2856</v>
      </c>
      <c r="C1663">
        <v>42352</v>
      </c>
      <c r="D1663">
        <v>881</v>
      </c>
      <c r="E1663" s="1" t="s">
        <v>3521</v>
      </c>
      <c r="F1663" s="1" t="s">
        <v>15</v>
      </c>
      <c r="G1663" s="1" t="s">
        <v>32</v>
      </c>
      <c r="H1663">
        <v>314</v>
      </c>
      <c r="I1663">
        <v>68</v>
      </c>
      <c r="J1663">
        <v>380</v>
      </c>
      <c r="K1663" s="1" t="s">
        <v>17</v>
      </c>
      <c r="L1663" s="1" t="s">
        <v>18</v>
      </c>
      <c r="M1663" s="1" t="s">
        <v>3522</v>
      </c>
      <c r="N1663" s="1" t="s">
        <v>3523</v>
      </c>
    </row>
    <row r="1664" spans="1:14" x14ac:dyDescent="0.35">
      <c r="A1664">
        <v>3501017</v>
      </c>
      <c r="B1664" s="1" t="s">
        <v>2856</v>
      </c>
      <c r="C1664">
        <v>42352</v>
      </c>
      <c r="D1664">
        <v>881</v>
      </c>
      <c r="E1664" s="1" t="s">
        <v>3524</v>
      </c>
      <c r="F1664" s="1" t="s">
        <v>15</v>
      </c>
      <c r="G1664" s="1" t="s">
        <v>22</v>
      </c>
      <c r="H1664">
        <v>51</v>
      </c>
      <c r="I1664">
        <v>56</v>
      </c>
      <c r="J1664">
        <v>51</v>
      </c>
      <c r="K1664" s="1" t="s">
        <v>23</v>
      </c>
      <c r="L1664" s="1" t="s">
        <v>24</v>
      </c>
      <c r="M1664" s="1" t="s">
        <v>3522</v>
      </c>
      <c r="N1664" s="1" t="s">
        <v>3525</v>
      </c>
    </row>
    <row r="1665" spans="1:14" x14ac:dyDescent="0.35">
      <c r="A1665">
        <v>3501019</v>
      </c>
      <c r="B1665" s="1" t="s">
        <v>2856</v>
      </c>
      <c r="C1665">
        <v>42352</v>
      </c>
      <c r="D1665">
        <v>881</v>
      </c>
      <c r="E1665" s="1" t="s">
        <v>3526</v>
      </c>
      <c r="F1665" s="1" t="s">
        <v>15</v>
      </c>
      <c r="G1665" s="1" t="s">
        <v>22</v>
      </c>
      <c r="H1665">
        <v>66</v>
      </c>
      <c r="I1665">
        <v>28</v>
      </c>
      <c r="J1665">
        <v>107</v>
      </c>
      <c r="K1665" s="1" t="s">
        <v>90</v>
      </c>
      <c r="L1665" s="1" t="s">
        <v>24</v>
      </c>
      <c r="M1665" s="1" t="s">
        <v>3522</v>
      </c>
      <c r="N1665" s="1" t="s">
        <v>3527</v>
      </c>
    </row>
    <row r="1666" spans="1:14" x14ac:dyDescent="0.35">
      <c r="A1666">
        <v>3528040</v>
      </c>
      <c r="B1666" s="1" t="s">
        <v>2856</v>
      </c>
      <c r="C1666">
        <v>42352</v>
      </c>
      <c r="D1666">
        <v>881</v>
      </c>
      <c r="E1666" s="1" t="s">
        <v>3528</v>
      </c>
      <c r="F1666" s="1" t="s">
        <v>71</v>
      </c>
      <c r="G1666" s="1" t="s">
        <v>32</v>
      </c>
      <c r="H1666">
        <v>25</v>
      </c>
      <c r="I1666">
        <v>21</v>
      </c>
      <c r="K1666" s="1" t="s">
        <v>444</v>
      </c>
      <c r="L1666" s="1" t="s">
        <v>24</v>
      </c>
      <c r="M1666" s="1" t="s">
        <v>3529</v>
      </c>
      <c r="N1666" s="1" t="s">
        <v>3530</v>
      </c>
    </row>
    <row r="1667" spans="1:14" x14ac:dyDescent="0.35">
      <c r="A1667">
        <v>3528041</v>
      </c>
      <c r="B1667" s="1" t="s">
        <v>2856</v>
      </c>
      <c r="C1667">
        <v>42352</v>
      </c>
      <c r="D1667">
        <v>881</v>
      </c>
      <c r="E1667" s="1" t="s">
        <v>3531</v>
      </c>
      <c r="F1667" s="1" t="s">
        <v>71</v>
      </c>
      <c r="G1667" s="1" t="s">
        <v>32</v>
      </c>
      <c r="H1667">
        <v>28</v>
      </c>
      <c r="I1667">
        <v>14</v>
      </c>
      <c r="K1667" s="1" t="s">
        <v>95</v>
      </c>
      <c r="L1667" s="1" t="s">
        <v>24</v>
      </c>
      <c r="M1667" s="1" t="s">
        <v>3529</v>
      </c>
      <c r="N1667" s="1" t="s">
        <v>3532</v>
      </c>
    </row>
    <row r="1668" spans="1:14" x14ac:dyDescent="0.35">
      <c r="A1668">
        <v>3528026</v>
      </c>
      <c r="B1668" s="1" t="s">
        <v>2856</v>
      </c>
      <c r="C1668">
        <v>42352</v>
      </c>
      <c r="D1668">
        <v>881</v>
      </c>
      <c r="E1668" s="1" t="s">
        <v>3533</v>
      </c>
      <c r="F1668" s="1" t="s">
        <v>71</v>
      </c>
      <c r="G1668" s="1" t="s">
        <v>32</v>
      </c>
      <c r="H1668">
        <v>32</v>
      </c>
      <c r="I1668">
        <v>25</v>
      </c>
      <c r="J1668">
        <v>6</v>
      </c>
      <c r="K1668" s="1" t="s">
        <v>90</v>
      </c>
      <c r="L1668" s="1" t="s">
        <v>24</v>
      </c>
      <c r="M1668" s="1" t="s">
        <v>3529</v>
      </c>
      <c r="N1668" s="1" t="s">
        <v>3534</v>
      </c>
    </row>
    <row r="1669" spans="1:14" x14ac:dyDescent="0.35">
      <c r="A1669">
        <v>3528013</v>
      </c>
      <c r="B1669" s="1" t="s">
        <v>2856</v>
      </c>
      <c r="C1669">
        <v>42352</v>
      </c>
      <c r="D1669">
        <v>881</v>
      </c>
      <c r="E1669" s="1" t="s">
        <v>3535</v>
      </c>
      <c r="F1669" s="1" t="s">
        <v>15</v>
      </c>
      <c r="G1669" s="1" t="s">
        <v>16</v>
      </c>
      <c r="H1669">
        <v>250</v>
      </c>
      <c r="I1669">
        <v>45</v>
      </c>
      <c r="J1669">
        <v>556</v>
      </c>
      <c r="K1669" s="1" t="s">
        <v>17</v>
      </c>
      <c r="L1669" s="1" t="s">
        <v>18</v>
      </c>
      <c r="M1669" s="1" t="s">
        <v>3529</v>
      </c>
      <c r="N1669" s="1" t="s">
        <v>3536</v>
      </c>
    </row>
    <row r="1670" spans="1:14" x14ac:dyDescent="0.35">
      <c r="A1670">
        <v>3528027</v>
      </c>
      <c r="B1670" s="1" t="s">
        <v>2856</v>
      </c>
      <c r="C1670">
        <v>42352</v>
      </c>
      <c r="D1670">
        <v>881</v>
      </c>
      <c r="E1670" s="1" t="s">
        <v>3537</v>
      </c>
      <c r="F1670" s="1" t="s">
        <v>15</v>
      </c>
      <c r="G1670" s="1" t="s">
        <v>32</v>
      </c>
      <c r="H1670">
        <v>154</v>
      </c>
      <c r="I1670">
        <v>42</v>
      </c>
      <c r="J1670">
        <v>292</v>
      </c>
      <c r="K1670" s="1" t="s">
        <v>124</v>
      </c>
      <c r="L1670" s="1" t="s">
        <v>24</v>
      </c>
      <c r="M1670" s="1" t="s">
        <v>3529</v>
      </c>
      <c r="N1670" s="1" t="s">
        <v>3538</v>
      </c>
    </row>
    <row r="1671" spans="1:14" x14ac:dyDescent="0.35">
      <c r="A1671">
        <v>3528024</v>
      </c>
      <c r="B1671" s="1" t="s">
        <v>2856</v>
      </c>
      <c r="C1671">
        <v>42352</v>
      </c>
      <c r="D1671">
        <v>881</v>
      </c>
      <c r="E1671" s="1" t="s">
        <v>3539</v>
      </c>
      <c r="F1671" s="1" t="s">
        <v>15</v>
      </c>
      <c r="G1671" s="1" t="s">
        <v>22</v>
      </c>
      <c r="H1671">
        <v>67</v>
      </c>
      <c r="I1671">
        <v>64</v>
      </c>
      <c r="J1671">
        <v>147</v>
      </c>
      <c r="K1671" s="1" t="s">
        <v>23</v>
      </c>
      <c r="L1671" s="1" t="s">
        <v>24</v>
      </c>
      <c r="M1671" s="1" t="s">
        <v>3529</v>
      </c>
      <c r="N1671" s="1" t="s">
        <v>3540</v>
      </c>
    </row>
    <row r="1672" spans="1:14" x14ac:dyDescent="0.35">
      <c r="A1672">
        <v>3528028</v>
      </c>
      <c r="B1672" s="1" t="s">
        <v>2856</v>
      </c>
      <c r="C1672">
        <v>42352</v>
      </c>
      <c r="D1672">
        <v>881</v>
      </c>
      <c r="E1672" s="1" t="s">
        <v>3541</v>
      </c>
      <c r="F1672" s="1" t="s">
        <v>15</v>
      </c>
      <c r="G1672" s="1" t="s">
        <v>22</v>
      </c>
      <c r="H1672">
        <v>63</v>
      </c>
      <c r="I1672">
        <v>26</v>
      </c>
      <c r="J1672">
        <v>142</v>
      </c>
      <c r="K1672" s="1" t="s">
        <v>17</v>
      </c>
      <c r="L1672" s="1" t="s">
        <v>18</v>
      </c>
      <c r="M1672" s="1" t="s">
        <v>3529</v>
      </c>
      <c r="N1672" s="1" t="s">
        <v>3542</v>
      </c>
    </row>
    <row r="1673" spans="1:14" x14ac:dyDescent="0.35">
      <c r="A1673">
        <v>3528025</v>
      </c>
      <c r="B1673" s="1" t="s">
        <v>2856</v>
      </c>
      <c r="C1673">
        <v>42352</v>
      </c>
      <c r="D1673">
        <v>881</v>
      </c>
      <c r="E1673" s="1" t="s">
        <v>3543</v>
      </c>
      <c r="F1673" s="1" t="s">
        <v>15</v>
      </c>
      <c r="G1673" s="1" t="s">
        <v>22</v>
      </c>
      <c r="H1673">
        <v>51</v>
      </c>
      <c r="I1673">
        <v>13</v>
      </c>
      <c r="J1673">
        <v>68</v>
      </c>
      <c r="K1673" s="1" t="s">
        <v>23</v>
      </c>
      <c r="L1673" s="1" t="s">
        <v>24</v>
      </c>
      <c r="M1673" s="1" t="s">
        <v>3529</v>
      </c>
      <c r="N1673" s="1" t="s">
        <v>3544</v>
      </c>
    </row>
    <row r="1674" spans="1:14" x14ac:dyDescent="0.35">
      <c r="A1674">
        <v>3528029</v>
      </c>
      <c r="B1674" s="1" t="s">
        <v>2856</v>
      </c>
      <c r="C1674">
        <v>42352</v>
      </c>
      <c r="D1674">
        <v>881</v>
      </c>
      <c r="E1674" s="1" t="s">
        <v>3545</v>
      </c>
      <c r="F1674" s="1" t="s">
        <v>15</v>
      </c>
      <c r="G1674" s="1" t="s">
        <v>22</v>
      </c>
      <c r="H1674">
        <v>69</v>
      </c>
      <c r="I1674">
        <v>21</v>
      </c>
      <c r="J1674">
        <v>32</v>
      </c>
      <c r="K1674" s="1" t="s">
        <v>23</v>
      </c>
      <c r="L1674" s="1" t="s">
        <v>24</v>
      </c>
      <c r="M1674" s="1" t="s">
        <v>3529</v>
      </c>
      <c r="N1674" s="1" t="s">
        <v>3546</v>
      </c>
    </row>
    <row r="1675" spans="1:14" x14ac:dyDescent="0.35">
      <c r="A1675">
        <v>3514060</v>
      </c>
      <c r="B1675" s="1" t="s">
        <v>2856</v>
      </c>
      <c r="C1675">
        <v>42352</v>
      </c>
      <c r="D1675">
        <v>881</v>
      </c>
      <c r="E1675" s="1" t="s">
        <v>3547</v>
      </c>
      <c r="F1675" s="1" t="s">
        <v>334</v>
      </c>
      <c r="G1675" s="1" t="s">
        <v>32</v>
      </c>
      <c r="H1675">
        <v>23</v>
      </c>
      <c r="I1675">
        <v>11</v>
      </c>
      <c r="J1675">
        <v>23</v>
      </c>
      <c r="K1675" s="1" t="s">
        <v>23</v>
      </c>
      <c r="L1675" s="1" t="s">
        <v>24</v>
      </c>
      <c r="M1675" s="1" t="s">
        <v>3548</v>
      </c>
      <c r="N1675" s="1" t="s">
        <v>3549</v>
      </c>
    </row>
    <row r="1676" spans="1:14" x14ac:dyDescent="0.35">
      <c r="A1676">
        <v>3514036</v>
      </c>
      <c r="B1676" s="1" t="s">
        <v>2856</v>
      </c>
      <c r="C1676">
        <v>42352</v>
      </c>
      <c r="D1676">
        <v>881</v>
      </c>
      <c r="E1676" s="1" t="s">
        <v>3550</v>
      </c>
      <c r="F1676" s="1" t="s">
        <v>15</v>
      </c>
      <c r="G1676" s="1" t="s">
        <v>16</v>
      </c>
      <c r="H1676">
        <v>397</v>
      </c>
      <c r="I1676">
        <v>47</v>
      </c>
      <c r="J1676">
        <v>713</v>
      </c>
      <c r="K1676" s="1" t="s">
        <v>17</v>
      </c>
      <c r="L1676" s="1" t="s">
        <v>120</v>
      </c>
      <c r="M1676" s="1" t="s">
        <v>3548</v>
      </c>
      <c r="N1676" s="1" t="s">
        <v>3551</v>
      </c>
    </row>
    <row r="1677" spans="1:14" x14ac:dyDescent="0.35">
      <c r="A1677">
        <v>3514071</v>
      </c>
      <c r="B1677" s="1" t="s">
        <v>2856</v>
      </c>
      <c r="C1677">
        <v>42352</v>
      </c>
      <c r="D1677">
        <v>881</v>
      </c>
      <c r="E1677" s="1" t="s">
        <v>3552</v>
      </c>
      <c r="F1677" s="1" t="s">
        <v>15</v>
      </c>
      <c r="G1677" s="1" t="s">
        <v>32</v>
      </c>
      <c r="H1677">
        <v>100</v>
      </c>
      <c r="I1677">
        <v>38</v>
      </c>
      <c r="K1677" s="1" t="s">
        <v>23</v>
      </c>
      <c r="L1677" s="1" t="s">
        <v>24</v>
      </c>
      <c r="M1677" s="1" t="s">
        <v>3548</v>
      </c>
      <c r="N1677" s="1" t="s">
        <v>3553</v>
      </c>
    </row>
    <row r="1678" spans="1:14" x14ac:dyDescent="0.35">
      <c r="A1678">
        <v>3514025</v>
      </c>
      <c r="B1678" s="1" t="s">
        <v>2856</v>
      </c>
      <c r="C1678">
        <v>42352</v>
      </c>
      <c r="D1678">
        <v>881</v>
      </c>
      <c r="E1678" s="1" t="s">
        <v>3554</v>
      </c>
      <c r="F1678" s="1" t="s">
        <v>15</v>
      </c>
      <c r="G1678" s="1" t="s">
        <v>32</v>
      </c>
      <c r="H1678">
        <v>107</v>
      </c>
      <c r="I1678">
        <v>94</v>
      </c>
      <c r="J1678">
        <v>181</v>
      </c>
      <c r="K1678" s="1" t="s">
        <v>23</v>
      </c>
      <c r="L1678" s="1" t="s">
        <v>24</v>
      </c>
      <c r="M1678" s="1" t="s">
        <v>3548</v>
      </c>
      <c r="N1678" s="1" t="s">
        <v>3555</v>
      </c>
    </row>
    <row r="1679" spans="1:14" x14ac:dyDescent="0.35">
      <c r="A1679">
        <v>3514058</v>
      </c>
      <c r="B1679" s="1" t="s">
        <v>2856</v>
      </c>
      <c r="C1679">
        <v>42352</v>
      </c>
      <c r="D1679">
        <v>881</v>
      </c>
      <c r="E1679" s="1" t="s">
        <v>3556</v>
      </c>
      <c r="F1679" s="1" t="s">
        <v>15</v>
      </c>
      <c r="G1679" s="1" t="s">
        <v>32</v>
      </c>
      <c r="H1679">
        <v>183</v>
      </c>
      <c r="I1679">
        <v>90</v>
      </c>
      <c r="J1679">
        <v>320</v>
      </c>
      <c r="K1679" s="1" t="s">
        <v>17</v>
      </c>
      <c r="L1679" s="1" t="s">
        <v>18</v>
      </c>
      <c r="M1679" s="1" t="s">
        <v>3548</v>
      </c>
      <c r="N1679" s="1" t="s">
        <v>3557</v>
      </c>
    </row>
    <row r="1680" spans="1:14" x14ac:dyDescent="0.35">
      <c r="A1680">
        <v>3514059</v>
      </c>
      <c r="B1680" s="1" t="s">
        <v>2856</v>
      </c>
      <c r="C1680">
        <v>42352</v>
      </c>
      <c r="D1680">
        <v>881</v>
      </c>
      <c r="E1680" s="1" t="s">
        <v>3444</v>
      </c>
      <c r="F1680" s="1" t="s">
        <v>15</v>
      </c>
      <c r="G1680" s="1" t="s">
        <v>32</v>
      </c>
      <c r="H1680">
        <v>158</v>
      </c>
      <c r="I1680">
        <v>43</v>
      </c>
      <c r="J1680">
        <v>78</v>
      </c>
      <c r="K1680" s="1" t="s">
        <v>23</v>
      </c>
      <c r="L1680" s="1" t="s">
        <v>24</v>
      </c>
      <c r="M1680" s="1" t="s">
        <v>3548</v>
      </c>
      <c r="N1680" s="1" t="s">
        <v>3558</v>
      </c>
    </row>
    <row r="1681" spans="1:14" x14ac:dyDescent="0.35">
      <c r="A1681">
        <v>3514053</v>
      </c>
      <c r="B1681" s="1" t="s">
        <v>2856</v>
      </c>
      <c r="C1681">
        <v>42352</v>
      </c>
      <c r="D1681">
        <v>881</v>
      </c>
      <c r="E1681" s="1" t="s">
        <v>3559</v>
      </c>
      <c r="F1681" s="1" t="s">
        <v>15</v>
      </c>
      <c r="G1681" s="1" t="s">
        <v>22</v>
      </c>
      <c r="H1681">
        <v>97</v>
      </c>
      <c r="I1681">
        <v>51</v>
      </c>
      <c r="J1681">
        <v>135</v>
      </c>
      <c r="K1681" s="1" t="s">
        <v>23</v>
      </c>
      <c r="L1681" s="1" t="s">
        <v>24</v>
      </c>
      <c r="M1681" s="1" t="s">
        <v>3548</v>
      </c>
      <c r="N1681" s="1" t="s">
        <v>3560</v>
      </c>
    </row>
    <row r="1682" spans="1:14" x14ac:dyDescent="0.35">
      <c r="A1682">
        <v>3514052</v>
      </c>
      <c r="B1682" s="1" t="s">
        <v>2856</v>
      </c>
      <c r="C1682">
        <v>42352</v>
      </c>
      <c r="D1682">
        <v>881</v>
      </c>
      <c r="E1682" s="1" t="s">
        <v>3561</v>
      </c>
      <c r="F1682" s="1" t="s">
        <v>15</v>
      </c>
      <c r="G1682" s="1" t="s">
        <v>22</v>
      </c>
      <c r="H1682">
        <v>132</v>
      </c>
      <c r="I1682">
        <v>25</v>
      </c>
      <c r="J1682">
        <v>166</v>
      </c>
      <c r="K1682" s="1" t="s">
        <v>146</v>
      </c>
      <c r="L1682" s="1" t="s">
        <v>120</v>
      </c>
      <c r="M1682" s="1" t="s">
        <v>3548</v>
      </c>
      <c r="N1682" s="1" t="s">
        <v>3562</v>
      </c>
    </row>
    <row r="1683" spans="1:14" x14ac:dyDescent="0.35">
      <c r="A1683">
        <v>3575016</v>
      </c>
      <c r="B1683" s="1" t="s">
        <v>2856</v>
      </c>
      <c r="C1683">
        <v>42352</v>
      </c>
      <c r="D1683">
        <v>881</v>
      </c>
      <c r="E1683" s="1" t="s">
        <v>3563</v>
      </c>
      <c r="F1683" s="1" t="s">
        <v>15</v>
      </c>
      <c r="G1683" s="1" t="s">
        <v>22</v>
      </c>
      <c r="H1683">
        <v>64</v>
      </c>
      <c r="I1683">
        <v>32</v>
      </c>
      <c r="J1683">
        <v>186</v>
      </c>
      <c r="K1683" s="1" t="s">
        <v>23</v>
      </c>
      <c r="L1683" s="1" t="s">
        <v>24</v>
      </c>
      <c r="M1683" s="1" t="s">
        <v>3548</v>
      </c>
      <c r="N1683" s="1" t="s">
        <v>3564</v>
      </c>
    </row>
    <row r="1684" spans="1:14" x14ac:dyDescent="0.35">
      <c r="A1684">
        <v>3514054</v>
      </c>
      <c r="B1684" s="1" t="s">
        <v>2856</v>
      </c>
      <c r="C1684">
        <v>42352</v>
      </c>
      <c r="D1684">
        <v>881</v>
      </c>
      <c r="E1684" s="1" t="s">
        <v>3565</v>
      </c>
      <c r="F1684" s="1" t="s">
        <v>15</v>
      </c>
      <c r="G1684" s="1" t="s">
        <v>22</v>
      </c>
      <c r="H1684">
        <v>85</v>
      </c>
      <c r="I1684">
        <v>20</v>
      </c>
      <c r="J1684">
        <v>84</v>
      </c>
      <c r="K1684" s="1" t="s">
        <v>95</v>
      </c>
      <c r="L1684" s="1" t="s">
        <v>24</v>
      </c>
      <c r="M1684" s="1" t="s">
        <v>3548</v>
      </c>
      <c r="N1684" s="1" t="s">
        <v>3566</v>
      </c>
    </row>
    <row r="1685" spans="1:14" x14ac:dyDescent="0.35">
      <c r="A1685">
        <v>3502010</v>
      </c>
      <c r="B1685" s="1" t="s">
        <v>2856</v>
      </c>
      <c r="C1685">
        <v>42352</v>
      </c>
      <c r="D1685">
        <v>881</v>
      </c>
      <c r="E1685" s="1" t="s">
        <v>3567</v>
      </c>
      <c r="F1685" s="1" t="s">
        <v>15</v>
      </c>
      <c r="G1685" s="1" t="s">
        <v>16</v>
      </c>
      <c r="H1685">
        <v>400</v>
      </c>
      <c r="I1685">
        <v>104</v>
      </c>
      <c r="J1685">
        <v>814</v>
      </c>
      <c r="K1685" s="1" t="s">
        <v>17</v>
      </c>
      <c r="L1685" s="1" t="s">
        <v>18</v>
      </c>
      <c r="M1685" s="1" t="s">
        <v>3568</v>
      </c>
      <c r="N1685" s="1" t="s">
        <v>3569</v>
      </c>
    </row>
    <row r="1686" spans="1:14" x14ac:dyDescent="0.35">
      <c r="A1686">
        <v>3502134</v>
      </c>
      <c r="B1686" s="1" t="s">
        <v>2856</v>
      </c>
      <c r="C1686">
        <v>42352</v>
      </c>
      <c r="D1686">
        <v>881</v>
      </c>
      <c r="E1686" s="1" t="s">
        <v>3570</v>
      </c>
      <c r="F1686" s="1" t="s">
        <v>15</v>
      </c>
      <c r="G1686" s="1" t="s">
        <v>32</v>
      </c>
      <c r="H1686">
        <v>155</v>
      </c>
      <c r="I1686">
        <v>41</v>
      </c>
      <c r="J1686">
        <v>335</v>
      </c>
      <c r="K1686" s="1" t="s">
        <v>23</v>
      </c>
      <c r="L1686" s="1" t="s">
        <v>24</v>
      </c>
      <c r="M1686" s="1" t="s">
        <v>3568</v>
      </c>
      <c r="N1686" s="1" t="s">
        <v>3571</v>
      </c>
    </row>
    <row r="1687" spans="1:14" x14ac:dyDescent="0.35">
      <c r="A1687">
        <v>3502112</v>
      </c>
      <c r="B1687" s="1" t="s">
        <v>2856</v>
      </c>
      <c r="C1687">
        <v>42352</v>
      </c>
      <c r="D1687">
        <v>881</v>
      </c>
      <c r="E1687" s="1" t="s">
        <v>3572</v>
      </c>
      <c r="F1687" s="1" t="s">
        <v>15</v>
      </c>
      <c r="G1687" s="1" t="s">
        <v>32</v>
      </c>
      <c r="H1687">
        <v>185</v>
      </c>
      <c r="I1687">
        <v>38</v>
      </c>
      <c r="J1687">
        <v>409</v>
      </c>
      <c r="K1687" s="1" t="s">
        <v>23</v>
      </c>
      <c r="L1687" s="1" t="s">
        <v>24</v>
      </c>
      <c r="M1687" s="1" t="s">
        <v>3568</v>
      </c>
      <c r="N1687" s="1" t="s">
        <v>3573</v>
      </c>
    </row>
    <row r="1688" spans="1:14" x14ac:dyDescent="0.35">
      <c r="A1688">
        <v>3502123</v>
      </c>
      <c r="B1688" s="1" t="s">
        <v>2856</v>
      </c>
      <c r="C1688">
        <v>42352</v>
      </c>
      <c r="D1688">
        <v>881</v>
      </c>
      <c r="E1688" s="1" t="s">
        <v>3574</v>
      </c>
      <c r="F1688" s="1" t="s">
        <v>15</v>
      </c>
      <c r="G1688" s="1" t="s">
        <v>32</v>
      </c>
      <c r="H1688">
        <v>172</v>
      </c>
      <c r="I1688">
        <v>70</v>
      </c>
      <c r="J1688">
        <v>313</v>
      </c>
      <c r="K1688" s="1" t="s">
        <v>23</v>
      </c>
      <c r="L1688" s="1" t="s">
        <v>24</v>
      </c>
      <c r="M1688" s="1" t="s">
        <v>3568</v>
      </c>
      <c r="N1688" s="1" t="s">
        <v>3575</v>
      </c>
    </row>
    <row r="1689" spans="1:14" x14ac:dyDescent="0.35">
      <c r="A1689">
        <v>3502146</v>
      </c>
      <c r="B1689" s="1" t="s">
        <v>2856</v>
      </c>
      <c r="C1689">
        <v>42352</v>
      </c>
      <c r="D1689">
        <v>881</v>
      </c>
      <c r="E1689" s="1" t="s">
        <v>3576</v>
      </c>
      <c r="F1689" s="1" t="s">
        <v>15</v>
      </c>
      <c r="G1689" s="1" t="s">
        <v>32</v>
      </c>
      <c r="H1689">
        <v>103</v>
      </c>
      <c r="I1689">
        <v>58</v>
      </c>
      <c r="J1689">
        <v>261</v>
      </c>
      <c r="K1689" s="1" t="s">
        <v>23</v>
      </c>
      <c r="L1689" s="1" t="s">
        <v>24</v>
      </c>
      <c r="M1689" s="1" t="s">
        <v>3568</v>
      </c>
      <c r="N1689" s="1" t="s">
        <v>3577</v>
      </c>
    </row>
    <row r="1690" spans="1:14" x14ac:dyDescent="0.35">
      <c r="A1690">
        <v>3502145</v>
      </c>
      <c r="B1690" s="1" t="s">
        <v>2856</v>
      </c>
      <c r="C1690">
        <v>42352</v>
      </c>
      <c r="D1690">
        <v>881</v>
      </c>
      <c r="E1690" s="1" t="s">
        <v>3578</v>
      </c>
      <c r="F1690" s="1" t="s">
        <v>15</v>
      </c>
      <c r="G1690" s="1" t="s">
        <v>22</v>
      </c>
      <c r="H1690">
        <v>50</v>
      </c>
      <c r="I1690">
        <v>20</v>
      </c>
      <c r="J1690">
        <v>105</v>
      </c>
      <c r="K1690" s="1" t="s">
        <v>23</v>
      </c>
      <c r="L1690" s="1" t="s">
        <v>24</v>
      </c>
      <c r="M1690" s="1" t="s">
        <v>3568</v>
      </c>
      <c r="N1690" s="1" t="s">
        <v>3579</v>
      </c>
    </row>
    <row r="1691" spans="1:14" x14ac:dyDescent="0.35">
      <c r="A1691">
        <v>3502158</v>
      </c>
      <c r="B1691" s="1" t="s">
        <v>2856</v>
      </c>
      <c r="C1691">
        <v>42352</v>
      </c>
      <c r="D1691">
        <v>881</v>
      </c>
      <c r="E1691" s="1" t="s">
        <v>3580</v>
      </c>
      <c r="F1691" s="1" t="s">
        <v>15</v>
      </c>
      <c r="G1691" s="1" t="s">
        <v>22</v>
      </c>
      <c r="H1691">
        <v>50</v>
      </c>
      <c r="I1691">
        <v>21</v>
      </c>
      <c r="K1691" s="1" t="s">
        <v>17</v>
      </c>
      <c r="L1691" s="1" t="s">
        <v>18</v>
      </c>
      <c r="M1691" s="1" t="s">
        <v>3568</v>
      </c>
      <c r="N1691" s="1" t="s">
        <v>3581</v>
      </c>
    </row>
    <row r="1692" spans="1:14" x14ac:dyDescent="0.35">
      <c r="A1692">
        <v>3502157</v>
      </c>
      <c r="B1692" s="1" t="s">
        <v>2856</v>
      </c>
      <c r="C1692">
        <v>42352</v>
      </c>
      <c r="D1692">
        <v>881</v>
      </c>
      <c r="E1692" s="1" t="s">
        <v>3582</v>
      </c>
      <c r="F1692" s="1" t="s">
        <v>15</v>
      </c>
      <c r="G1692" s="1" t="s">
        <v>22</v>
      </c>
      <c r="H1692">
        <v>74</v>
      </c>
      <c r="I1692">
        <v>19</v>
      </c>
      <c r="K1692" s="1" t="s">
        <v>23</v>
      </c>
      <c r="L1692" s="1" t="s">
        <v>24</v>
      </c>
      <c r="M1692" s="1" t="s">
        <v>3568</v>
      </c>
      <c r="N1692" s="1" t="s">
        <v>3583</v>
      </c>
    </row>
    <row r="1693" spans="1:14" x14ac:dyDescent="0.35">
      <c r="A1693">
        <v>3513025</v>
      </c>
      <c r="B1693" s="1" t="s">
        <v>2856</v>
      </c>
      <c r="C1693">
        <v>42352</v>
      </c>
      <c r="D1693">
        <v>881</v>
      </c>
      <c r="E1693" s="1" t="s">
        <v>3584</v>
      </c>
      <c r="F1693" s="1" t="s">
        <v>71</v>
      </c>
      <c r="G1693" s="1" t="s">
        <v>32</v>
      </c>
      <c r="H1693">
        <v>50</v>
      </c>
      <c r="I1693">
        <v>19</v>
      </c>
      <c r="J1693">
        <v>73</v>
      </c>
      <c r="K1693" s="1" t="s">
        <v>23</v>
      </c>
      <c r="L1693" s="1" t="s">
        <v>24</v>
      </c>
      <c r="M1693" s="1" t="s">
        <v>3585</v>
      </c>
      <c r="N1693" s="1" t="s">
        <v>3586</v>
      </c>
    </row>
    <row r="1694" spans="1:14" x14ac:dyDescent="0.35">
      <c r="A1694">
        <v>3513013</v>
      </c>
      <c r="B1694" s="1" t="s">
        <v>2856</v>
      </c>
      <c r="C1694">
        <v>42352</v>
      </c>
      <c r="D1694">
        <v>881</v>
      </c>
      <c r="E1694" s="1" t="s">
        <v>3587</v>
      </c>
      <c r="F1694" s="1" t="s">
        <v>15</v>
      </c>
      <c r="G1694" s="1" t="s">
        <v>16</v>
      </c>
      <c r="H1694">
        <v>250</v>
      </c>
      <c r="I1694">
        <v>33</v>
      </c>
      <c r="J1694">
        <v>586</v>
      </c>
      <c r="K1694" s="1" t="s">
        <v>17</v>
      </c>
      <c r="L1694" s="1" t="s">
        <v>18</v>
      </c>
      <c r="M1694" s="1" t="s">
        <v>3585</v>
      </c>
      <c r="N1694" s="1" t="s">
        <v>3588</v>
      </c>
    </row>
    <row r="1695" spans="1:14" x14ac:dyDescent="0.35">
      <c r="A1695">
        <v>3513026</v>
      </c>
      <c r="B1695" s="1" t="s">
        <v>2856</v>
      </c>
      <c r="C1695">
        <v>42352</v>
      </c>
      <c r="D1695">
        <v>881</v>
      </c>
      <c r="E1695" s="1" t="s">
        <v>3589</v>
      </c>
      <c r="F1695" s="1" t="s">
        <v>15</v>
      </c>
      <c r="G1695" s="1" t="s">
        <v>32</v>
      </c>
      <c r="H1695">
        <v>105</v>
      </c>
      <c r="I1695">
        <v>32</v>
      </c>
      <c r="J1695">
        <v>123</v>
      </c>
      <c r="K1695" s="1" t="s">
        <v>23</v>
      </c>
      <c r="L1695" s="1" t="s">
        <v>24</v>
      </c>
      <c r="M1695" s="1" t="s">
        <v>3585</v>
      </c>
      <c r="N1695" s="1" t="s">
        <v>3590</v>
      </c>
    </row>
    <row r="1696" spans="1:14" x14ac:dyDescent="0.35">
      <c r="A1696">
        <v>3513027</v>
      </c>
      <c r="B1696" s="1" t="s">
        <v>2856</v>
      </c>
      <c r="C1696">
        <v>42352</v>
      </c>
      <c r="D1696">
        <v>881</v>
      </c>
      <c r="E1696" s="1" t="s">
        <v>3591</v>
      </c>
      <c r="F1696" s="1" t="s">
        <v>15</v>
      </c>
      <c r="G1696" s="1" t="s">
        <v>32</v>
      </c>
      <c r="H1696">
        <v>141</v>
      </c>
      <c r="I1696">
        <v>26</v>
      </c>
      <c r="J1696">
        <v>204</v>
      </c>
      <c r="K1696" s="1" t="s">
        <v>90</v>
      </c>
      <c r="L1696" s="1" t="s">
        <v>24</v>
      </c>
      <c r="M1696" s="1" t="s">
        <v>3585</v>
      </c>
      <c r="N1696" s="1" t="s">
        <v>3592</v>
      </c>
    </row>
    <row r="1697" spans="1:14" x14ac:dyDescent="0.35">
      <c r="A1697">
        <v>3513067</v>
      </c>
      <c r="B1697" s="1" t="s">
        <v>2856</v>
      </c>
      <c r="C1697">
        <v>42352</v>
      </c>
      <c r="D1697">
        <v>881</v>
      </c>
      <c r="E1697" s="1" t="s">
        <v>3593</v>
      </c>
      <c r="F1697" s="1" t="s">
        <v>15</v>
      </c>
      <c r="G1697" s="1" t="s">
        <v>32</v>
      </c>
      <c r="H1697">
        <v>100</v>
      </c>
      <c r="I1697">
        <v>26</v>
      </c>
      <c r="J1697">
        <v>261</v>
      </c>
      <c r="K1697" s="1" t="s">
        <v>17</v>
      </c>
      <c r="L1697" s="1" t="s">
        <v>18</v>
      </c>
      <c r="M1697" s="1" t="s">
        <v>3585</v>
      </c>
      <c r="N1697" s="1" t="s">
        <v>3594</v>
      </c>
    </row>
    <row r="1698" spans="1:14" x14ac:dyDescent="0.35">
      <c r="A1698">
        <v>3513024</v>
      </c>
      <c r="B1698" s="1" t="s">
        <v>2856</v>
      </c>
      <c r="C1698">
        <v>42352</v>
      </c>
      <c r="D1698">
        <v>881</v>
      </c>
      <c r="E1698" s="1" t="s">
        <v>3595</v>
      </c>
      <c r="F1698" s="1" t="s">
        <v>15</v>
      </c>
      <c r="G1698" s="1" t="s">
        <v>32</v>
      </c>
      <c r="H1698">
        <v>101</v>
      </c>
      <c r="I1698">
        <v>27</v>
      </c>
      <c r="J1698">
        <v>230</v>
      </c>
      <c r="K1698" s="1" t="s">
        <v>23</v>
      </c>
      <c r="L1698" s="1" t="s">
        <v>24</v>
      </c>
      <c r="M1698" s="1" t="s">
        <v>3585</v>
      </c>
      <c r="N1698" s="1" t="s">
        <v>3596</v>
      </c>
    </row>
    <row r="1699" spans="1:14" x14ac:dyDescent="0.35">
      <c r="A1699">
        <v>3527012</v>
      </c>
      <c r="B1699" s="1" t="s">
        <v>2856</v>
      </c>
      <c r="C1699">
        <v>42352</v>
      </c>
      <c r="D1699">
        <v>881</v>
      </c>
      <c r="E1699" s="1" t="s">
        <v>3597</v>
      </c>
      <c r="F1699" s="1" t="s">
        <v>15</v>
      </c>
      <c r="G1699" s="1" t="s">
        <v>16</v>
      </c>
      <c r="H1699">
        <v>255</v>
      </c>
      <c r="I1699">
        <v>57</v>
      </c>
      <c r="J1699">
        <v>488</v>
      </c>
      <c r="K1699" s="1" t="s">
        <v>17</v>
      </c>
      <c r="L1699" s="1" t="s">
        <v>18</v>
      </c>
      <c r="M1699" s="1" t="s">
        <v>3598</v>
      </c>
      <c r="N1699" s="1" t="s">
        <v>3599</v>
      </c>
    </row>
    <row r="1700" spans="1:14" x14ac:dyDescent="0.35">
      <c r="A1700">
        <v>3527026</v>
      </c>
      <c r="B1700" s="1" t="s">
        <v>2856</v>
      </c>
      <c r="C1700">
        <v>42352</v>
      </c>
      <c r="D1700">
        <v>881</v>
      </c>
      <c r="E1700" s="1" t="s">
        <v>3600</v>
      </c>
      <c r="F1700" s="1" t="s">
        <v>15</v>
      </c>
      <c r="G1700" s="1" t="s">
        <v>22</v>
      </c>
      <c r="H1700">
        <v>61</v>
      </c>
      <c r="I1700">
        <v>23</v>
      </c>
      <c r="K1700" s="1" t="s">
        <v>90</v>
      </c>
      <c r="L1700" s="1" t="s">
        <v>24</v>
      </c>
      <c r="M1700" s="1" t="s">
        <v>3598</v>
      </c>
      <c r="N1700" s="1" t="s">
        <v>3601</v>
      </c>
    </row>
    <row r="1701" spans="1:14" x14ac:dyDescent="0.35">
      <c r="A1701">
        <v>3527025</v>
      </c>
      <c r="B1701" s="1" t="s">
        <v>2856</v>
      </c>
      <c r="C1701">
        <v>42352</v>
      </c>
      <c r="D1701">
        <v>881</v>
      </c>
      <c r="E1701" s="1" t="s">
        <v>3602</v>
      </c>
      <c r="F1701" s="1" t="s">
        <v>15</v>
      </c>
      <c r="G1701" s="1" t="s">
        <v>22</v>
      </c>
      <c r="H1701">
        <v>57</v>
      </c>
      <c r="I1701">
        <v>20</v>
      </c>
      <c r="K1701" s="1" t="s">
        <v>23</v>
      </c>
      <c r="L1701" s="1" t="s">
        <v>24</v>
      </c>
      <c r="M1701" s="1" t="s">
        <v>3598</v>
      </c>
      <c r="N1701" s="1" t="s">
        <v>3603</v>
      </c>
    </row>
    <row r="1702" spans="1:14" x14ac:dyDescent="0.35">
      <c r="A1702">
        <v>3527014</v>
      </c>
      <c r="B1702" s="1" t="s">
        <v>2856</v>
      </c>
      <c r="C1702">
        <v>42352</v>
      </c>
      <c r="D1702">
        <v>881</v>
      </c>
      <c r="E1702" s="1" t="s">
        <v>3604</v>
      </c>
      <c r="F1702" s="1" t="s">
        <v>15</v>
      </c>
      <c r="G1702" s="1" t="s">
        <v>22</v>
      </c>
      <c r="H1702">
        <v>85</v>
      </c>
      <c r="I1702">
        <v>18</v>
      </c>
      <c r="J1702">
        <v>89</v>
      </c>
      <c r="K1702" s="1" t="s">
        <v>17</v>
      </c>
      <c r="L1702" s="1" t="s">
        <v>18</v>
      </c>
      <c r="M1702" s="1" t="s">
        <v>3598</v>
      </c>
      <c r="N1702" s="1" t="s">
        <v>3605</v>
      </c>
    </row>
    <row r="1703" spans="1:14" x14ac:dyDescent="0.35">
      <c r="A1703">
        <v>3527013</v>
      </c>
      <c r="B1703" s="1" t="s">
        <v>2856</v>
      </c>
      <c r="C1703">
        <v>42352</v>
      </c>
      <c r="D1703">
        <v>881</v>
      </c>
      <c r="E1703" s="1" t="s">
        <v>3606</v>
      </c>
      <c r="F1703" s="1" t="s">
        <v>15</v>
      </c>
      <c r="G1703" s="1" t="s">
        <v>22</v>
      </c>
      <c r="H1703">
        <v>82</v>
      </c>
      <c r="I1703">
        <v>26</v>
      </c>
      <c r="J1703">
        <v>23</v>
      </c>
      <c r="K1703" s="1" t="s">
        <v>95</v>
      </c>
      <c r="L1703" s="1" t="s">
        <v>24</v>
      </c>
      <c r="M1703" s="1" t="s">
        <v>3598</v>
      </c>
      <c r="N1703" s="1" t="s">
        <v>3607</v>
      </c>
    </row>
    <row r="1704" spans="1:14" x14ac:dyDescent="0.35">
      <c r="A1704">
        <v>3515137</v>
      </c>
      <c r="B1704" s="1" t="s">
        <v>2856</v>
      </c>
      <c r="C1704">
        <v>42352</v>
      </c>
      <c r="D1704">
        <v>881</v>
      </c>
      <c r="E1704" s="1" t="s">
        <v>3608</v>
      </c>
      <c r="F1704" s="1" t="s">
        <v>71</v>
      </c>
      <c r="G1704" s="1" t="s">
        <v>32</v>
      </c>
      <c r="H1704">
        <v>31</v>
      </c>
      <c r="I1704">
        <v>18</v>
      </c>
      <c r="J1704">
        <v>30</v>
      </c>
      <c r="K1704" s="1" t="s">
        <v>23</v>
      </c>
      <c r="L1704" s="1" t="s">
        <v>24</v>
      </c>
      <c r="M1704" s="1" t="s">
        <v>3609</v>
      </c>
      <c r="N1704" s="1" t="s">
        <v>3610</v>
      </c>
    </row>
    <row r="1705" spans="1:14" x14ac:dyDescent="0.35">
      <c r="A1705">
        <v>3515129</v>
      </c>
      <c r="B1705" s="1" t="s">
        <v>2856</v>
      </c>
      <c r="C1705">
        <v>42352</v>
      </c>
      <c r="D1705">
        <v>881</v>
      </c>
      <c r="E1705" s="1" t="s">
        <v>3611</v>
      </c>
      <c r="F1705" s="1" t="s">
        <v>71</v>
      </c>
      <c r="G1705" s="1" t="s">
        <v>32</v>
      </c>
      <c r="H1705">
        <v>44</v>
      </c>
      <c r="I1705">
        <v>28</v>
      </c>
      <c r="J1705">
        <v>92</v>
      </c>
      <c r="K1705" s="1" t="s">
        <v>90</v>
      </c>
      <c r="L1705" s="1" t="s">
        <v>24</v>
      </c>
      <c r="M1705" s="1" t="s">
        <v>3609</v>
      </c>
      <c r="N1705" s="1" t="s">
        <v>3612</v>
      </c>
    </row>
    <row r="1706" spans="1:14" x14ac:dyDescent="0.35">
      <c r="A1706">
        <v>3515134</v>
      </c>
      <c r="B1706" s="1" t="s">
        <v>2856</v>
      </c>
      <c r="C1706">
        <v>42352</v>
      </c>
      <c r="D1706">
        <v>881</v>
      </c>
      <c r="E1706" s="1" t="s">
        <v>3613</v>
      </c>
      <c r="F1706" s="1" t="s">
        <v>71</v>
      </c>
      <c r="G1706" s="1" t="s">
        <v>32</v>
      </c>
      <c r="H1706">
        <v>26</v>
      </c>
      <c r="I1706">
        <v>6</v>
      </c>
      <c r="J1706">
        <v>25</v>
      </c>
      <c r="K1706" s="1" t="s">
        <v>84</v>
      </c>
      <c r="L1706" s="1" t="s">
        <v>24</v>
      </c>
      <c r="M1706" s="1" t="s">
        <v>3609</v>
      </c>
      <c r="N1706" s="1" t="s">
        <v>3614</v>
      </c>
    </row>
    <row r="1707" spans="1:14" x14ac:dyDescent="0.35">
      <c r="A1707">
        <v>3515125</v>
      </c>
      <c r="B1707" s="1" t="s">
        <v>2856</v>
      </c>
      <c r="C1707">
        <v>42352</v>
      </c>
      <c r="D1707">
        <v>881</v>
      </c>
      <c r="E1707" s="1" t="s">
        <v>3615</v>
      </c>
      <c r="F1707" s="1" t="s">
        <v>71</v>
      </c>
      <c r="G1707" s="1" t="s">
        <v>32</v>
      </c>
      <c r="H1707">
        <v>26</v>
      </c>
      <c r="I1707">
        <v>15</v>
      </c>
      <c r="J1707">
        <v>91</v>
      </c>
      <c r="K1707" s="1" t="s">
        <v>90</v>
      </c>
      <c r="L1707" s="1" t="s">
        <v>24</v>
      </c>
      <c r="M1707" s="1" t="s">
        <v>3609</v>
      </c>
      <c r="N1707" s="1" t="s">
        <v>3616</v>
      </c>
    </row>
    <row r="1708" spans="1:14" x14ac:dyDescent="0.35">
      <c r="A1708">
        <v>3515158</v>
      </c>
      <c r="B1708" s="1" t="s">
        <v>2856</v>
      </c>
      <c r="C1708">
        <v>42352</v>
      </c>
      <c r="D1708">
        <v>881</v>
      </c>
      <c r="E1708" s="1" t="s">
        <v>3617</v>
      </c>
      <c r="F1708" s="1" t="s">
        <v>71</v>
      </c>
      <c r="G1708" s="1" t="s">
        <v>32</v>
      </c>
      <c r="H1708">
        <v>31</v>
      </c>
      <c r="I1708">
        <v>17</v>
      </c>
      <c r="K1708" s="1" t="s">
        <v>23</v>
      </c>
      <c r="L1708" s="1" t="s">
        <v>24</v>
      </c>
      <c r="M1708" s="1" t="s">
        <v>3609</v>
      </c>
      <c r="N1708" s="1" t="s">
        <v>3618</v>
      </c>
    </row>
    <row r="1709" spans="1:14" x14ac:dyDescent="0.35">
      <c r="A1709">
        <v>3515133</v>
      </c>
      <c r="B1709" s="1" t="s">
        <v>2856</v>
      </c>
      <c r="C1709">
        <v>42352</v>
      </c>
      <c r="D1709">
        <v>881</v>
      </c>
      <c r="E1709" s="1" t="s">
        <v>3619</v>
      </c>
      <c r="F1709" s="1" t="s">
        <v>71</v>
      </c>
      <c r="G1709" s="1" t="s">
        <v>32</v>
      </c>
      <c r="H1709">
        <v>25</v>
      </c>
      <c r="I1709">
        <v>13</v>
      </c>
      <c r="J1709">
        <v>43</v>
      </c>
      <c r="K1709" s="1" t="s">
        <v>23</v>
      </c>
      <c r="L1709" s="1" t="s">
        <v>24</v>
      </c>
      <c r="M1709" s="1" t="s">
        <v>3609</v>
      </c>
      <c r="N1709" s="1" t="s">
        <v>3620</v>
      </c>
    </row>
    <row r="1710" spans="1:14" x14ac:dyDescent="0.35">
      <c r="A1710">
        <v>3515136</v>
      </c>
      <c r="B1710" s="1" t="s">
        <v>2856</v>
      </c>
      <c r="C1710">
        <v>42352</v>
      </c>
      <c r="D1710">
        <v>881</v>
      </c>
      <c r="E1710" s="1" t="s">
        <v>3621</v>
      </c>
      <c r="F1710" s="1" t="s">
        <v>334</v>
      </c>
      <c r="G1710" s="1" t="s">
        <v>32</v>
      </c>
      <c r="H1710">
        <v>15</v>
      </c>
      <c r="I1710">
        <v>23</v>
      </c>
      <c r="J1710">
        <v>96</v>
      </c>
      <c r="K1710" s="1" t="s">
        <v>23</v>
      </c>
      <c r="L1710" s="1" t="s">
        <v>24</v>
      </c>
      <c r="M1710" s="1" t="s">
        <v>3609</v>
      </c>
      <c r="N1710" s="1" t="s">
        <v>3622</v>
      </c>
    </row>
    <row r="1711" spans="1:14" x14ac:dyDescent="0.35">
      <c r="A1711">
        <v>3515015</v>
      </c>
      <c r="B1711" s="1" t="s">
        <v>2856</v>
      </c>
      <c r="C1711">
        <v>42352</v>
      </c>
      <c r="D1711">
        <v>881</v>
      </c>
      <c r="E1711" s="1" t="s">
        <v>3623</v>
      </c>
      <c r="F1711" s="1" t="s">
        <v>15</v>
      </c>
      <c r="G1711" s="1" t="s">
        <v>130</v>
      </c>
      <c r="H1711">
        <v>700</v>
      </c>
      <c r="I1711">
        <v>82</v>
      </c>
      <c r="J1711">
        <v>1771</v>
      </c>
      <c r="K1711" s="1" t="s">
        <v>17</v>
      </c>
      <c r="L1711" s="1" t="s">
        <v>18</v>
      </c>
      <c r="M1711" s="1" t="s">
        <v>3609</v>
      </c>
      <c r="N1711" s="1" t="s">
        <v>3624</v>
      </c>
    </row>
    <row r="1712" spans="1:14" x14ac:dyDescent="0.35">
      <c r="A1712">
        <v>3515026</v>
      </c>
      <c r="B1712" s="1" t="s">
        <v>2856</v>
      </c>
      <c r="C1712">
        <v>42352</v>
      </c>
      <c r="D1712">
        <v>881</v>
      </c>
      <c r="E1712" s="1" t="s">
        <v>3625</v>
      </c>
      <c r="F1712" s="1" t="s">
        <v>15</v>
      </c>
      <c r="G1712" s="1" t="s">
        <v>16</v>
      </c>
      <c r="H1712">
        <v>275</v>
      </c>
      <c r="I1712">
        <v>118</v>
      </c>
      <c r="J1712">
        <v>546</v>
      </c>
      <c r="K1712" s="1" t="s">
        <v>23</v>
      </c>
      <c r="L1712" s="1" t="s">
        <v>24</v>
      </c>
      <c r="M1712" s="1" t="s">
        <v>3609</v>
      </c>
      <c r="N1712" s="1" t="s">
        <v>3626</v>
      </c>
    </row>
    <row r="1713" spans="1:14" x14ac:dyDescent="0.35">
      <c r="A1713">
        <v>3515122</v>
      </c>
      <c r="B1713" s="1" t="s">
        <v>2856</v>
      </c>
      <c r="C1713">
        <v>42352</v>
      </c>
      <c r="D1713">
        <v>881</v>
      </c>
      <c r="E1713" s="1" t="s">
        <v>3627</v>
      </c>
      <c r="F1713" s="1" t="s">
        <v>15</v>
      </c>
      <c r="G1713" s="1" t="s">
        <v>16</v>
      </c>
      <c r="H1713">
        <v>200</v>
      </c>
      <c r="I1713">
        <v>55</v>
      </c>
      <c r="J1713">
        <v>497</v>
      </c>
      <c r="K1713" s="1" t="s">
        <v>90</v>
      </c>
      <c r="L1713" s="1" t="s">
        <v>24</v>
      </c>
      <c r="M1713" s="1" t="s">
        <v>3609</v>
      </c>
      <c r="N1713" s="1" t="s">
        <v>3628</v>
      </c>
    </row>
    <row r="1714" spans="1:14" x14ac:dyDescent="0.35">
      <c r="A1714">
        <v>3515106</v>
      </c>
      <c r="B1714" s="1" t="s">
        <v>2856</v>
      </c>
      <c r="C1714">
        <v>42352</v>
      </c>
      <c r="D1714">
        <v>881</v>
      </c>
      <c r="E1714" s="1" t="s">
        <v>3629</v>
      </c>
      <c r="F1714" s="1" t="s">
        <v>15</v>
      </c>
      <c r="G1714" s="1" t="s">
        <v>16</v>
      </c>
      <c r="H1714">
        <v>225</v>
      </c>
      <c r="I1714">
        <v>83</v>
      </c>
      <c r="J1714">
        <v>598</v>
      </c>
      <c r="K1714" s="1" t="s">
        <v>23</v>
      </c>
      <c r="L1714" s="1" t="s">
        <v>24</v>
      </c>
      <c r="M1714" s="1" t="s">
        <v>3609</v>
      </c>
      <c r="N1714" s="1" t="s">
        <v>3630</v>
      </c>
    </row>
    <row r="1715" spans="1:14" x14ac:dyDescent="0.35">
      <c r="A1715">
        <v>3515126</v>
      </c>
      <c r="B1715" s="1" t="s">
        <v>2856</v>
      </c>
      <c r="C1715">
        <v>42352</v>
      </c>
      <c r="D1715">
        <v>881</v>
      </c>
      <c r="E1715" s="1" t="s">
        <v>3631</v>
      </c>
      <c r="F1715" s="1" t="s">
        <v>15</v>
      </c>
      <c r="G1715" s="1" t="s">
        <v>32</v>
      </c>
      <c r="H1715">
        <v>140</v>
      </c>
      <c r="I1715">
        <v>35</v>
      </c>
      <c r="J1715">
        <v>324</v>
      </c>
      <c r="K1715" s="1" t="s">
        <v>444</v>
      </c>
      <c r="L1715" s="1" t="s">
        <v>24</v>
      </c>
      <c r="M1715" s="1" t="s">
        <v>3609</v>
      </c>
      <c r="N1715" s="1" t="s">
        <v>3632</v>
      </c>
    </row>
    <row r="1716" spans="1:14" x14ac:dyDescent="0.35">
      <c r="A1716">
        <v>3515096</v>
      </c>
      <c r="B1716" s="1" t="s">
        <v>2856</v>
      </c>
      <c r="C1716">
        <v>42352</v>
      </c>
      <c r="D1716">
        <v>881</v>
      </c>
      <c r="E1716" s="1" t="s">
        <v>3633</v>
      </c>
      <c r="F1716" s="1" t="s">
        <v>15</v>
      </c>
      <c r="G1716" s="1" t="s">
        <v>32</v>
      </c>
      <c r="H1716">
        <v>150</v>
      </c>
      <c r="I1716">
        <v>49</v>
      </c>
      <c r="J1716">
        <v>472</v>
      </c>
      <c r="K1716" s="1" t="s">
        <v>90</v>
      </c>
      <c r="L1716" s="1" t="s">
        <v>24</v>
      </c>
      <c r="M1716" s="1" t="s">
        <v>3609</v>
      </c>
      <c r="N1716" s="1" t="s">
        <v>3634</v>
      </c>
    </row>
    <row r="1717" spans="1:14" x14ac:dyDescent="0.35">
      <c r="A1717">
        <v>3515121</v>
      </c>
      <c r="B1717" s="1" t="s">
        <v>2856</v>
      </c>
      <c r="C1717">
        <v>42352</v>
      </c>
      <c r="D1717">
        <v>881</v>
      </c>
      <c r="E1717" s="1" t="s">
        <v>3635</v>
      </c>
      <c r="F1717" s="1" t="s">
        <v>15</v>
      </c>
      <c r="G1717" s="1" t="s">
        <v>32</v>
      </c>
      <c r="H1717">
        <v>157</v>
      </c>
      <c r="I1717">
        <v>54</v>
      </c>
      <c r="J1717">
        <v>740</v>
      </c>
      <c r="K1717" s="1" t="s">
        <v>84</v>
      </c>
      <c r="L1717" s="1" t="s">
        <v>24</v>
      </c>
      <c r="M1717" s="1" t="s">
        <v>3609</v>
      </c>
      <c r="N1717" s="1" t="s">
        <v>3636</v>
      </c>
    </row>
    <row r="1718" spans="1:14" x14ac:dyDescent="0.35">
      <c r="A1718">
        <v>3515145</v>
      </c>
      <c r="B1718" s="1" t="s">
        <v>2856</v>
      </c>
      <c r="C1718">
        <v>42352</v>
      </c>
      <c r="D1718">
        <v>881</v>
      </c>
      <c r="E1718" s="1" t="s">
        <v>3637</v>
      </c>
      <c r="F1718" s="1" t="s">
        <v>15</v>
      </c>
      <c r="G1718" s="1" t="s">
        <v>32</v>
      </c>
      <c r="H1718">
        <v>102</v>
      </c>
      <c r="I1718">
        <v>90</v>
      </c>
      <c r="J1718">
        <v>245</v>
      </c>
      <c r="K1718" s="1" t="s">
        <v>23</v>
      </c>
      <c r="L1718" s="1" t="s">
        <v>24</v>
      </c>
      <c r="M1718" s="1" t="s">
        <v>3609</v>
      </c>
      <c r="N1718" s="1" t="s">
        <v>3638</v>
      </c>
    </row>
    <row r="1719" spans="1:14" x14ac:dyDescent="0.35">
      <c r="A1719">
        <v>3515131</v>
      </c>
      <c r="B1719" s="1" t="s">
        <v>2856</v>
      </c>
      <c r="C1719">
        <v>42352</v>
      </c>
      <c r="D1719">
        <v>881</v>
      </c>
      <c r="E1719" s="1" t="s">
        <v>3639</v>
      </c>
      <c r="F1719" s="1" t="s">
        <v>15</v>
      </c>
      <c r="G1719" s="1" t="s">
        <v>32</v>
      </c>
      <c r="H1719">
        <v>100</v>
      </c>
      <c r="I1719">
        <v>71</v>
      </c>
      <c r="J1719">
        <v>259</v>
      </c>
      <c r="K1719" s="1" t="s">
        <v>23</v>
      </c>
      <c r="L1719" s="1" t="s">
        <v>24</v>
      </c>
      <c r="M1719" s="1" t="s">
        <v>3609</v>
      </c>
      <c r="N1719" s="1" t="s">
        <v>3640</v>
      </c>
    </row>
    <row r="1720" spans="1:14" x14ac:dyDescent="0.35">
      <c r="A1720">
        <v>3515141</v>
      </c>
      <c r="B1720" s="1" t="s">
        <v>2856</v>
      </c>
      <c r="C1720">
        <v>42352</v>
      </c>
      <c r="D1720">
        <v>881</v>
      </c>
      <c r="E1720" s="1" t="s">
        <v>292</v>
      </c>
      <c r="F1720" s="1" t="s">
        <v>15</v>
      </c>
      <c r="G1720" s="1" t="s">
        <v>32</v>
      </c>
      <c r="H1720">
        <v>100</v>
      </c>
      <c r="I1720">
        <v>24</v>
      </c>
      <c r="J1720">
        <v>196</v>
      </c>
      <c r="K1720" s="1" t="s">
        <v>23</v>
      </c>
      <c r="L1720" s="1" t="s">
        <v>24</v>
      </c>
      <c r="M1720" s="1" t="s">
        <v>3609</v>
      </c>
      <c r="N1720" s="1" t="s">
        <v>3641</v>
      </c>
    </row>
    <row r="1721" spans="1:14" x14ac:dyDescent="0.35">
      <c r="A1721">
        <v>3515030</v>
      </c>
      <c r="B1721" s="1" t="s">
        <v>2856</v>
      </c>
      <c r="C1721">
        <v>42352</v>
      </c>
      <c r="D1721">
        <v>881</v>
      </c>
      <c r="E1721" s="1" t="s">
        <v>3642</v>
      </c>
      <c r="F1721" s="1" t="s">
        <v>15</v>
      </c>
      <c r="G1721" s="1" t="s">
        <v>32</v>
      </c>
      <c r="H1721">
        <v>114</v>
      </c>
      <c r="I1721">
        <v>46</v>
      </c>
      <c r="J1721">
        <v>204</v>
      </c>
      <c r="K1721" s="1" t="s">
        <v>146</v>
      </c>
      <c r="L1721" s="1" t="s">
        <v>120</v>
      </c>
      <c r="M1721" s="1" t="s">
        <v>3609</v>
      </c>
      <c r="N1721" s="1" t="s">
        <v>3643</v>
      </c>
    </row>
    <row r="1722" spans="1:14" x14ac:dyDescent="0.35">
      <c r="A1722">
        <v>3515157</v>
      </c>
      <c r="B1722" s="1" t="s">
        <v>2856</v>
      </c>
      <c r="C1722">
        <v>42352</v>
      </c>
      <c r="D1722">
        <v>881</v>
      </c>
      <c r="E1722" s="1" t="s">
        <v>3644</v>
      </c>
      <c r="F1722" s="1" t="s">
        <v>15</v>
      </c>
      <c r="G1722" s="1" t="s">
        <v>32</v>
      </c>
      <c r="H1722">
        <v>130</v>
      </c>
      <c r="I1722">
        <v>28</v>
      </c>
      <c r="K1722" s="1" t="s">
        <v>17</v>
      </c>
      <c r="L1722" s="1" t="s">
        <v>18</v>
      </c>
      <c r="M1722" s="1" t="s">
        <v>3609</v>
      </c>
      <c r="N1722" s="1" t="s">
        <v>3645</v>
      </c>
    </row>
    <row r="1723" spans="1:14" x14ac:dyDescent="0.35">
      <c r="A1723">
        <v>3515144</v>
      </c>
      <c r="B1723" s="1" t="s">
        <v>2856</v>
      </c>
      <c r="C1723">
        <v>42352</v>
      </c>
      <c r="D1723">
        <v>881</v>
      </c>
      <c r="E1723" s="1" t="s">
        <v>3646</v>
      </c>
      <c r="F1723" s="1" t="s">
        <v>15</v>
      </c>
      <c r="G1723" s="1" t="s">
        <v>22</v>
      </c>
      <c r="H1723">
        <v>72</v>
      </c>
      <c r="I1723">
        <v>33</v>
      </c>
      <c r="J1723">
        <v>9</v>
      </c>
      <c r="K1723" s="1" t="s">
        <v>23</v>
      </c>
      <c r="L1723" s="1" t="s">
        <v>24</v>
      </c>
      <c r="M1723" s="1" t="s">
        <v>3609</v>
      </c>
      <c r="N1723" s="1" t="s">
        <v>3647</v>
      </c>
    </row>
    <row r="1724" spans="1:14" x14ac:dyDescent="0.35">
      <c r="A1724">
        <v>3515132</v>
      </c>
      <c r="B1724" s="1" t="s">
        <v>2856</v>
      </c>
      <c r="C1724">
        <v>42352</v>
      </c>
      <c r="D1724">
        <v>881</v>
      </c>
      <c r="E1724" s="1" t="s">
        <v>3648</v>
      </c>
      <c r="F1724" s="1" t="s">
        <v>15</v>
      </c>
      <c r="G1724" s="1" t="s">
        <v>22</v>
      </c>
      <c r="H1724">
        <v>91</v>
      </c>
      <c r="I1724">
        <v>25</v>
      </c>
      <c r="J1724">
        <v>295</v>
      </c>
      <c r="K1724" s="1" t="s">
        <v>23</v>
      </c>
      <c r="L1724" s="1" t="s">
        <v>24</v>
      </c>
      <c r="M1724" s="1" t="s">
        <v>3609</v>
      </c>
      <c r="N1724" s="1" t="s">
        <v>3649</v>
      </c>
    </row>
    <row r="1725" spans="1:14" x14ac:dyDescent="0.35">
      <c r="A1725">
        <v>3515140</v>
      </c>
      <c r="B1725" s="1" t="s">
        <v>2856</v>
      </c>
      <c r="C1725">
        <v>42352</v>
      </c>
      <c r="D1725">
        <v>881</v>
      </c>
      <c r="E1725" s="1" t="s">
        <v>3650</v>
      </c>
      <c r="F1725" s="1" t="s">
        <v>15</v>
      </c>
      <c r="G1725" s="1" t="s">
        <v>22</v>
      </c>
      <c r="H1725">
        <v>66</v>
      </c>
      <c r="I1725">
        <v>29</v>
      </c>
      <c r="J1725">
        <v>111</v>
      </c>
      <c r="K1725" s="1" t="s">
        <v>90</v>
      </c>
      <c r="L1725" s="1" t="s">
        <v>24</v>
      </c>
      <c r="M1725" s="1" t="s">
        <v>3609</v>
      </c>
      <c r="N1725" s="1" t="s">
        <v>3651</v>
      </c>
    </row>
    <row r="1726" spans="1:14" x14ac:dyDescent="0.35">
      <c r="A1726">
        <v>3515110</v>
      </c>
      <c r="B1726" s="1" t="s">
        <v>2856</v>
      </c>
      <c r="C1726">
        <v>42352</v>
      </c>
      <c r="D1726">
        <v>881</v>
      </c>
      <c r="E1726" s="1" t="s">
        <v>3652</v>
      </c>
      <c r="F1726" s="1" t="s">
        <v>15</v>
      </c>
      <c r="G1726" s="1" t="s">
        <v>22</v>
      </c>
      <c r="H1726">
        <v>75</v>
      </c>
      <c r="I1726">
        <v>34</v>
      </c>
      <c r="J1726">
        <v>84</v>
      </c>
      <c r="K1726" s="1" t="s">
        <v>23</v>
      </c>
      <c r="L1726" s="1" t="s">
        <v>24</v>
      </c>
      <c r="M1726" s="1" t="s">
        <v>3609</v>
      </c>
      <c r="N1726" s="1" t="s">
        <v>3653</v>
      </c>
    </row>
    <row r="1727" spans="1:14" x14ac:dyDescent="0.35">
      <c r="A1727">
        <v>3515135</v>
      </c>
      <c r="B1727" s="1" t="s">
        <v>2856</v>
      </c>
      <c r="C1727">
        <v>42352</v>
      </c>
      <c r="D1727">
        <v>881</v>
      </c>
      <c r="E1727" s="1" t="s">
        <v>3654</v>
      </c>
      <c r="F1727" s="1" t="s">
        <v>15</v>
      </c>
      <c r="G1727" s="1" t="s">
        <v>22</v>
      </c>
      <c r="H1727">
        <v>50</v>
      </c>
      <c r="I1727">
        <v>34</v>
      </c>
      <c r="J1727">
        <v>70</v>
      </c>
      <c r="K1727" s="1" t="s">
        <v>27</v>
      </c>
      <c r="L1727" s="1" t="s">
        <v>24</v>
      </c>
      <c r="M1727" s="1" t="s">
        <v>3609</v>
      </c>
      <c r="N1727" s="1" t="s">
        <v>3655</v>
      </c>
    </row>
    <row r="1728" spans="1:14" x14ac:dyDescent="0.35">
      <c r="A1728">
        <v>3515138</v>
      </c>
      <c r="B1728" s="1" t="s">
        <v>2856</v>
      </c>
      <c r="C1728">
        <v>42352</v>
      </c>
      <c r="D1728">
        <v>881</v>
      </c>
      <c r="E1728" s="1" t="s">
        <v>3656</v>
      </c>
      <c r="F1728" s="1" t="s">
        <v>15</v>
      </c>
      <c r="G1728" s="1" t="s">
        <v>22</v>
      </c>
      <c r="H1728">
        <v>62</v>
      </c>
      <c r="I1728">
        <v>37</v>
      </c>
      <c r="J1728">
        <v>188</v>
      </c>
      <c r="K1728" s="1" t="s">
        <v>444</v>
      </c>
      <c r="L1728" s="1" t="s">
        <v>24</v>
      </c>
      <c r="M1728" s="1" t="s">
        <v>3609</v>
      </c>
      <c r="N1728" s="1" t="s">
        <v>3657</v>
      </c>
    </row>
    <row r="1729" spans="1:14" x14ac:dyDescent="0.35">
      <c r="A1729">
        <v>3515130</v>
      </c>
      <c r="B1729" s="1" t="s">
        <v>2856</v>
      </c>
      <c r="C1729">
        <v>42352</v>
      </c>
      <c r="D1729">
        <v>881</v>
      </c>
      <c r="E1729" s="1" t="s">
        <v>3658</v>
      </c>
      <c r="F1729" s="1" t="s">
        <v>15</v>
      </c>
      <c r="G1729" s="1" t="s">
        <v>22</v>
      </c>
      <c r="H1729">
        <v>61</v>
      </c>
      <c r="I1729">
        <v>15</v>
      </c>
      <c r="J1729">
        <v>53</v>
      </c>
      <c r="K1729" s="1" t="s">
        <v>23</v>
      </c>
      <c r="L1729" s="1" t="s">
        <v>24</v>
      </c>
      <c r="M1729" s="1" t="s">
        <v>3609</v>
      </c>
      <c r="N1729" s="1" t="s">
        <v>3659</v>
      </c>
    </row>
    <row r="1730" spans="1:14" x14ac:dyDescent="0.35">
      <c r="A1730">
        <v>3515143</v>
      </c>
      <c r="B1730" s="1" t="s">
        <v>2856</v>
      </c>
      <c r="C1730">
        <v>42352</v>
      </c>
      <c r="D1730">
        <v>881</v>
      </c>
      <c r="E1730" s="1" t="s">
        <v>3660</v>
      </c>
      <c r="F1730" s="1" t="s">
        <v>15</v>
      </c>
      <c r="G1730" s="1" t="s">
        <v>22</v>
      </c>
      <c r="H1730">
        <v>75</v>
      </c>
      <c r="I1730">
        <v>23</v>
      </c>
      <c r="J1730">
        <v>121</v>
      </c>
      <c r="K1730" s="1" t="s">
        <v>23</v>
      </c>
      <c r="L1730" s="1" t="s">
        <v>24</v>
      </c>
      <c r="M1730" s="1" t="s">
        <v>3609</v>
      </c>
      <c r="N1730" s="1" t="s">
        <v>3661</v>
      </c>
    </row>
    <row r="1731" spans="1:14" x14ac:dyDescent="0.35">
      <c r="A1731">
        <v>3515127</v>
      </c>
      <c r="B1731" s="1" t="s">
        <v>2856</v>
      </c>
      <c r="C1731">
        <v>42352</v>
      </c>
      <c r="D1731">
        <v>881</v>
      </c>
      <c r="E1731" s="1" t="s">
        <v>3662</v>
      </c>
      <c r="F1731" s="1" t="s">
        <v>15</v>
      </c>
      <c r="G1731" s="1" t="s">
        <v>22</v>
      </c>
      <c r="H1731">
        <v>29</v>
      </c>
      <c r="I1731">
        <v>13</v>
      </c>
      <c r="J1731">
        <v>52</v>
      </c>
      <c r="K1731" s="1" t="s">
        <v>90</v>
      </c>
      <c r="L1731" s="1" t="s">
        <v>24</v>
      </c>
      <c r="M1731" s="1" t="s">
        <v>3609</v>
      </c>
      <c r="N1731" s="1" t="s">
        <v>3663</v>
      </c>
    </row>
    <row r="1732" spans="1:14" x14ac:dyDescent="0.35">
      <c r="A1732">
        <v>3515142</v>
      </c>
      <c r="B1732" s="1" t="s">
        <v>2856</v>
      </c>
      <c r="C1732">
        <v>42352</v>
      </c>
      <c r="D1732">
        <v>881</v>
      </c>
      <c r="E1732" s="1" t="s">
        <v>3664</v>
      </c>
      <c r="F1732" s="1" t="s">
        <v>15</v>
      </c>
      <c r="G1732" s="1" t="s">
        <v>22</v>
      </c>
      <c r="H1732">
        <v>123</v>
      </c>
      <c r="I1732">
        <v>29</v>
      </c>
      <c r="J1732">
        <v>55</v>
      </c>
      <c r="K1732" s="1" t="s">
        <v>23</v>
      </c>
      <c r="L1732" s="1" t="s">
        <v>24</v>
      </c>
      <c r="M1732" s="1" t="s">
        <v>3609</v>
      </c>
      <c r="N1732" s="1" t="s">
        <v>3665</v>
      </c>
    </row>
    <row r="1733" spans="1:14" x14ac:dyDescent="0.35">
      <c r="A1733">
        <v>3515123</v>
      </c>
      <c r="B1733" s="1" t="s">
        <v>2856</v>
      </c>
      <c r="C1733">
        <v>42352</v>
      </c>
      <c r="D1733">
        <v>881</v>
      </c>
      <c r="E1733" s="1" t="s">
        <v>3666</v>
      </c>
      <c r="F1733" s="1" t="s">
        <v>15</v>
      </c>
      <c r="G1733" s="1" t="s">
        <v>22</v>
      </c>
      <c r="H1733">
        <v>50</v>
      </c>
      <c r="I1733">
        <v>14</v>
      </c>
      <c r="J1733">
        <v>76</v>
      </c>
      <c r="K1733" s="1" t="s">
        <v>90</v>
      </c>
      <c r="L1733" s="1" t="s">
        <v>24</v>
      </c>
      <c r="M1733" s="1" t="s">
        <v>3609</v>
      </c>
      <c r="N1733" s="1" t="s">
        <v>3667</v>
      </c>
    </row>
    <row r="1734" spans="1:14" x14ac:dyDescent="0.35">
      <c r="A1734">
        <v>3515146</v>
      </c>
      <c r="B1734" s="1" t="s">
        <v>2856</v>
      </c>
      <c r="C1734">
        <v>42352</v>
      </c>
      <c r="D1734">
        <v>881</v>
      </c>
      <c r="E1734" s="1" t="s">
        <v>3668</v>
      </c>
      <c r="F1734" s="1" t="s">
        <v>15</v>
      </c>
      <c r="G1734" s="1" t="s">
        <v>22</v>
      </c>
      <c r="H1734">
        <v>50</v>
      </c>
      <c r="I1734">
        <v>29</v>
      </c>
      <c r="J1734">
        <v>32</v>
      </c>
      <c r="K1734" s="1" t="s">
        <v>23</v>
      </c>
      <c r="L1734" s="1" t="s">
        <v>24</v>
      </c>
      <c r="M1734" s="1" t="s">
        <v>3609</v>
      </c>
      <c r="N1734" s="1" t="s">
        <v>3669</v>
      </c>
    </row>
    <row r="1735" spans="1:14" x14ac:dyDescent="0.35">
      <c r="A1735">
        <v>3512050</v>
      </c>
      <c r="B1735" s="1" t="s">
        <v>2856</v>
      </c>
      <c r="C1735">
        <v>42352</v>
      </c>
      <c r="D1735">
        <v>881</v>
      </c>
      <c r="E1735" s="1" t="s">
        <v>3670</v>
      </c>
      <c r="F1735" s="1" t="s">
        <v>71</v>
      </c>
      <c r="G1735" s="1" t="s">
        <v>32</v>
      </c>
      <c r="H1735">
        <v>35</v>
      </c>
      <c r="I1735">
        <v>12</v>
      </c>
      <c r="K1735" s="1" t="s">
        <v>23</v>
      </c>
      <c r="L1735" s="1" t="s">
        <v>24</v>
      </c>
      <c r="M1735" s="1" t="s">
        <v>3671</v>
      </c>
      <c r="N1735" s="1" t="s">
        <v>3672</v>
      </c>
    </row>
    <row r="1736" spans="1:14" x14ac:dyDescent="0.35">
      <c r="A1736">
        <v>3512039</v>
      </c>
      <c r="B1736" s="1" t="s">
        <v>2856</v>
      </c>
      <c r="C1736">
        <v>42352</v>
      </c>
      <c r="D1736">
        <v>881</v>
      </c>
      <c r="E1736" s="1" t="s">
        <v>3673</v>
      </c>
      <c r="F1736" s="1" t="s">
        <v>71</v>
      </c>
      <c r="G1736" s="1" t="s">
        <v>32</v>
      </c>
      <c r="H1736">
        <v>25</v>
      </c>
      <c r="I1736">
        <v>14</v>
      </c>
      <c r="J1736">
        <v>30</v>
      </c>
      <c r="K1736" s="1" t="s">
        <v>23</v>
      </c>
      <c r="L1736" s="1" t="s">
        <v>24</v>
      </c>
      <c r="M1736" s="1" t="s">
        <v>3671</v>
      </c>
      <c r="N1736" s="1" t="s">
        <v>3674</v>
      </c>
    </row>
    <row r="1737" spans="1:14" x14ac:dyDescent="0.35">
      <c r="A1737">
        <v>3512051</v>
      </c>
      <c r="B1737" s="1" t="s">
        <v>2856</v>
      </c>
      <c r="C1737">
        <v>42352</v>
      </c>
      <c r="D1737">
        <v>881</v>
      </c>
      <c r="E1737" s="1" t="s">
        <v>3675</v>
      </c>
      <c r="F1737" s="1" t="s">
        <v>334</v>
      </c>
      <c r="G1737" s="1" t="s">
        <v>32</v>
      </c>
      <c r="H1737">
        <v>15</v>
      </c>
      <c r="I1737">
        <v>12</v>
      </c>
      <c r="K1737" s="1" t="s">
        <v>23</v>
      </c>
      <c r="L1737" s="1" t="s">
        <v>24</v>
      </c>
      <c r="M1737" s="1" t="s">
        <v>3671</v>
      </c>
      <c r="N1737" s="1" t="s">
        <v>3676</v>
      </c>
    </row>
    <row r="1738" spans="1:14" x14ac:dyDescent="0.35">
      <c r="A1738">
        <v>3512034</v>
      </c>
      <c r="B1738" s="1" t="s">
        <v>2856</v>
      </c>
      <c r="C1738">
        <v>42352</v>
      </c>
      <c r="D1738">
        <v>881</v>
      </c>
      <c r="E1738" s="1" t="s">
        <v>3677</v>
      </c>
      <c r="F1738" s="1" t="s">
        <v>15</v>
      </c>
      <c r="G1738" s="1" t="s">
        <v>32</v>
      </c>
      <c r="H1738">
        <v>100</v>
      </c>
      <c r="I1738">
        <v>58</v>
      </c>
      <c r="J1738">
        <v>166</v>
      </c>
      <c r="K1738" s="1" t="s">
        <v>23</v>
      </c>
      <c r="L1738" s="1" t="s">
        <v>24</v>
      </c>
      <c r="M1738" s="1" t="s">
        <v>3671</v>
      </c>
      <c r="N1738" s="1" t="s">
        <v>3678</v>
      </c>
    </row>
    <row r="1739" spans="1:14" x14ac:dyDescent="0.35">
      <c r="A1739">
        <v>3512012</v>
      </c>
      <c r="B1739" s="1" t="s">
        <v>2856</v>
      </c>
      <c r="C1739">
        <v>42352</v>
      </c>
      <c r="D1739">
        <v>881</v>
      </c>
      <c r="E1739" s="1" t="s">
        <v>3679</v>
      </c>
      <c r="F1739" s="1" t="s">
        <v>15</v>
      </c>
      <c r="G1739" s="1" t="s">
        <v>32</v>
      </c>
      <c r="H1739">
        <v>225</v>
      </c>
      <c r="I1739">
        <v>109</v>
      </c>
      <c r="J1739">
        <v>960</v>
      </c>
      <c r="K1739" s="1" t="s">
        <v>17</v>
      </c>
      <c r="L1739" s="1" t="s">
        <v>18</v>
      </c>
      <c r="M1739" s="1" t="s">
        <v>3671</v>
      </c>
      <c r="N1739" s="1" t="s">
        <v>3680</v>
      </c>
    </row>
    <row r="1740" spans="1:14" x14ac:dyDescent="0.35">
      <c r="A1740">
        <v>3512052</v>
      </c>
      <c r="B1740" s="1" t="s">
        <v>2856</v>
      </c>
      <c r="C1740">
        <v>42352</v>
      </c>
      <c r="D1740">
        <v>881</v>
      </c>
      <c r="E1740" s="1" t="s">
        <v>3681</v>
      </c>
      <c r="F1740" s="1" t="s">
        <v>15</v>
      </c>
      <c r="G1740" s="1" t="s">
        <v>22</v>
      </c>
      <c r="H1740">
        <v>51</v>
      </c>
      <c r="I1740">
        <v>11</v>
      </c>
      <c r="K1740" s="1" t="s">
        <v>23</v>
      </c>
      <c r="L1740" s="1" t="s">
        <v>24</v>
      </c>
      <c r="M1740" s="1" t="s">
        <v>3671</v>
      </c>
      <c r="N1740" s="1" t="s">
        <v>3682</v>
      </c>
    </row>
    <row r="1741" spans="1:14" x14ac:dyDescent="0.35">
      <c r="A1741">
        <v>3512037</v>
      </c>
      <c r="B1741" s="1" t="s">
        <v>2856</v>
      </c>
      <c r="C1741">
        <v>42352</v>
      </c>
      <c r="D1741">
        <v>881</v>
      </c>
      <c r="E1741" s="1" t="s">
        <v>3683</v>
      </c>
      <c r="F1741" s="1" t="s">
        <v>15</v>
      </c>
      <c r="G1741" s="1" t="s">
        <v>22</v>
      </c>
      <c r="H1741">
        <v>103</v>
      </c>
      <c r="I1741">
        <v>27</v>
      </c>
      <c r="J1741">
        <v>242</v>
      </c>
      <c r="K1741" s="1" t="s">
        <v>17</v>
      </c>
      <c r="L1741" s="1" t="s">
        <v>18</v>
      </c>
      <c r="M1741" s="1" t="s">
        <v>3671</v>
      </c>
      <c r="N1741" s="1" t="s">
        <v>3684</v>
      </c>
    </row>
    <row r="1742" spans="1:14" x14ac:dyDescent="0.35">
      <c r="A1742">
        <v>3512036</v>
      </c>
      <c r="B1742" s="1" t="s">
        <v>2856</v>
      </c>
      <c r="C1742">
        <v>42352</v>
      </c>
      <c r="D1742">
        <v>881</v>
      </c>
      <c r="E1742" s="1" t="s">
        <v>3685</v>
      </c>
      <c r="F1742" s="1" t="s">
        <v>15</v>
      </c>
      <c r="G1742" s="1" t="s">
        <v>22</v>
      </c>
      <c r="H1742">
        <v>107</v>
      </c>
      <c r="I1742">
        <v>34</v>
      </c>
      <c r="J1742">
        <v>116</v>
      </c>
      <c r="K1742" s="1" t="s">
        <v>17</v>
      </c>
      <c r="L1742" s="1" t="s">
        <v>18</v>
      </c>
      <c r="M1742" s="1" t="s">
        <v>3671</v>
      </c>
      <c r="N1742" s="1" t="s">
        <v>3686</v>
      </c>
    </row>
    <row r="1743" spans="1:14" x14ac:dyDescent="0.35">
      <c r="A1743">
        <v>3512038</v>
      </c>
      <c r="B1743" s="1" t="s">
        <v>2856</v>
      </c>
      <c r="C1743">
        <v>42352</v>
      </c>
      <c r="D1743">
        <v>881</v>
      </c>
      <c r="E1743" s="1" t="s">
        <v>3687</v>
      </c>
      <c r="F1743" s="1" t="s">
        <v>15</v>
      </c>
      <c r="G1743" s="1" t="s">
        <v>22</v>
      </c>
      <c r="H1743">
        <v>85</v>
      </c>
      <c r="I1743">
        <v>39</v>
      </c>
      <c r="J1743">
        <v>229</v>
      </c>
      <c r="K1743" s="1" t="s">
        <v>23</v>
      </c>
      <c r="L1743" s="1" t="s">
        <v>24</v>
      </c>
      <c r="M1743" s="1" t="s">
        <v>3671</v>
      </c>
      <c r="N1743" s="1" t="s">
        <v>3688</v>
      </c>
    </row>
    <row r="1744" spans="1:14" x14ac:dyDescent="0.35">
      <c r="A1744">
        <v>3529026</v>
      </c>
      <c r="B1744" s="1" t="s">
        <v>2856</v>
      </c>
      <c r="C1744">
        <v>42352</v>
      </c>
      <c r="D1744">
        <v>881</v>
      </c>
      <c r="E1744" s="1" t="s">
        <v>3689</v>
      </c>
      <c r="F1744" s="1" t="s">
        <v>71</v>
      </c>
      <c r="G1744" s="1" t="s">
        <v>32</v>
      </c>
      <c r="H1744">
        <v>48</v>
      </c>
      <c r="I1744">
        <v>12</v>
      </c>
      <c r="J1744">
        <v>44</v>
      </c>
      <c r="K1744" s="1" t="s">
        <v>23</v>
      </c>
      <c r="L1744" s="1" t="s">
        <v>24</v>
      </c>
      <c r="M1744" s="1" t="s">
        <v>3690</v>
      </c>
      <c r="N1744" s="1" t="s">
        <v>3691</v>
      </c>
    </row>
    <row r="1745" spans="1:14" x14ac:dyDescent="0.35">
      <c r="A1745">
        <v>3529025</v>
      </c>
      <c r="B1745" s="1" t="s">
        <v>2856</v>
      </c>
      <c r="C1745">
        <v>42352</v>
      </c>
      <c r="D1745">
        <v>881</v>
      </c>
      <c r="E1745" s="1" t="s">
        <v>3692</v>
      </c>
      <c r="F1745" s="1" t="s">
        <v>15</v>
      </c>
      <c r="G1745" s="1" t="s">
        <v>32</v>
      </c>
      <c r="H1745">
        <v>153</v>
      </c>
      <c r="I1745">
        <v>29</v>
      </c>
      <c r="J1745">
        <v>198</v>
      </c>
      <c r="K1745" s="1" t="s">
        <v>444</v>
      </c>
      <c r="L1745" s="1" t="s">
        <v>24</v>
      </c>
      <c r="M1745" s="1" t="s">
        <v>3690</v>
      </c>
      <c r="N1745" s="1" t="s">
        <v>3693</v>
      </c>
    </row>
    <row r="1746" spans="1:14" x14ac:dyDescent="0.35">
      <c r="A1746">
        <v>3529029</v>
      </c>
      <c r="B1746" s="1" t="s">
        <v>2856</v>
      </c>
      <c r="C1746">
        <v>42352</v>
      </c>
      <c r="D1746">
        <v>881</v>
      </c>
      <c r="E1746" s="1" t="s">
        <v>3694</v>
      </c>
      <c r="F1746" s="1" t="s">
        <v>15</v>
      </c>
      <c r="G1746" s="1" t="s">
        <v>32</v>
      </c>
      <c r="H1746">
        <v>108</v>
      </c>
      <c r="I1746">
        <v>27</v>
      </c>
      <c r="J1746">
        <v>66</v>
      </c>
      <c r="K1746" s="1" t="s">
        <v>23</v>
      </c>
      <c r="L1746" s="1" t="s">
        <v>24</v>
      </c>
      <c r="M1746" s="1" t="s">
        <v>3690</v>
      </c>
      <c r="N1746" s="1" t="s">
        <v>3695</v>
      </c>
    </row>
    <row r="1747" spans="1:14" x14ac:dyDescent="0.35">
      <c r="A1747">
        <v>3529014</v>
      </c>
      <c r="B1747" s="1" t="s">
        <v>2856</v>
      </c>
      <c r="C1747">
        <v>42352</v>
      </c>
      <c r="D1747">
        <v>881</v>
      </c>
      <c r="E1747" s="1" t="s">
        <v>3696</v>
      </c>
      <c r="F1747" s="1" t="s">
        <v>15</v>
      </c>
      <c r="G1747" s="1" t="s">
        <v>32</v>
      </c>
      <c r="H1747">
        <v>224</v>
      </c>
      <c r="I1747">
        <v>125</v>
      </c>
      <c r="J1747">
        <v>270</v>
      </c>
      <c r="K1747" s="1" t="s">
        <v>17</v>
      </c>
      <c r="L1747" s="1" t="s">
        <v>18</v>
      </c>
      <c r="M1747" s="1" t="s">
        <v>3690</v>
      </c>
      <c r="N1747" s="1" t="s">
        <v>3697</v>
      </c>
    </row>
    <row r="1748" spans="1:14" x14ac:dyDescent="0.35">
      <c r="A1748">
        <v>3529040</v>
      </c>
      <c r="B1748" s="1" t="s">
        <v>2856</v>
      </c>
      <c r="C1748">
        <v>42352</v>
      </c>
      <c r="D1748">
        <v>881</v>
      </c>
      <c r="E1748" s="1" t="s">
        <v>3698</v>
      </c>
      <c r="F1748" s="1" t="s">
        <v>15</v>
      </c>
      <c r="G1748" s="1" t="s">
        <v>22</v>
      </c>
      <c r="H1748">
        <v>90</v>
      </c>
      <c r="I1748">
        <v>43</v>
      </c>
      <c r="K1748" s="1" t="s">
        <v>17</v>
      </c>
      <c r="L1748" s="1" t="s">
        <v>24</v>
      </c>
      <c r="M1748" s="1" t="s">
        <v>3690</v>
      </c>
      <c r="N1748" s="1" t="s">
        <v>3699</v>
      </c>
    </row>
    <row r="1749" spans="1:14" x14ac:dyDescent="0.35">
      <c r="A1749">
        <v>3503045</v>
      </c>
      <c r="B1749" s="1" t="s">
        <v>2856</v>
      </c>
      <c r="C1749">
        <v>42352</v>
      </c>
      <c r="D1749">
        <v>881</v>
      </c>
      <c r="E1749" s="1" t="s">
        <v>3700</v>
      </c>
      <c r="F1749" s="1" t="s">
        <v>71</v>
      </c>
      <c r="G1749" s="1" t="s">
        <v>32</v>
      </c>
      <c r="H1749">
        <v>35</v>
      </c>
      <c r="I1749">
        <v>21</v>
      </c>
      <c r="J1749">
        <v>65</v>
      </c>
      <c r="K1749" s="1" t="s">
        <v>84</v>
      </c>
      <c r="L1749" s="1" t="s">
        <v>24</v>
      </c>
      <c r="M1749" s="1" t="s">
        <v>3701</v>
      </c>
      <c r="N1749" s="1" t="s">
        <v>3702</v>
      </c>
    </row>
    <row r="1750" spans="1:14" x14ac:dyDescent="0.35">
      <c r="A1750">
        <v>3503011</v>
      </c>
      <c r="B1750" s="1" t="s">
        <v>2856</v>
      </c>
      <c r="C1750">
        <v>42352</v>
      </c>
      <c r="D1750">
        <v>881</v>
      </c>
      <c r="E1750" s="1" t="s">
        <v>3703</v>
      </c>
      <c r="F1750" s="1" t="s">
        <v>15</v>
      </c>
      <c r="G1750" s="1" t="s">
        <v>32</v>
      </c>
      <c r="H1750">
        <v>306</v>
      </c>
      <c r="I1750">
        <v>38</v>
      </c>
      <c r="J1750">
        <v>903</v>
      </c>
      <c r="K1750" s="1" t="s">
        <v>17</v>
      </c>
      <c r="L1750" s="1" t="s">
        <v>18</v>
      </c>
      <c r="M1750" s="1" t="s">
        <v>3701</v>
      </c>
      <c r="N1750" s="1" t="s">
        <v>3704</v>
      </c>
    </row>
    <row r="1751" spans="1:14" x14ac:dyDescent="0.35">
      <c r="A1751">
        <v>3503022</v>
      </c>
      <c r="B1751" s="1" t="s">
        <v>2856</v>
      </c>
      <c r="C1751">
        <v>42352</v>
      </c>
      <c r="D1751">
        <v>881</v>
      </c>
      <c r="E1751" s="1" t="s">
        <v>3705</v>
      </c>
      <c r="F1751" s="1" t="s">
        <v>15</v>
      </c>
      <c r="G1751" s="1" t="s">
        <v>22</v>
      </c>
      <c r="H1751">
        <v>49</v>
      </c>
      <c r="I1751">
        <v>22</v>
      </c>
      <c r="J1751">
        <v>123</v>
      </c>
      <c r="K1751" s="1" t="s">
        <v>84</v>
      </c>
      <c r="L1751" s="1" t="s">
        <v>24</v>
      </c>
      <c r="M1751" s="1" t="s">
        <v>3701</v>
      </c>
      <c r="N1751" s="1" t="s">
        <v>3706</v>
      </c>
    </row>
    <row r="1752" spans="1:14" x14ac:dyDescent="0.35">
      <c r="A1752">
        <v>3503062</v>
      </c>
      <c r="B1752" s="1" t="s">
        <v>2856</v>
      </c>
      <c r="C1752">
        <v>42352</v>
      </c>
      <c r="D1752">
        <v>881</v>
      </c>
      <c r="E1752" s="1" t="s">
        <v>3707</v>
      </c>
      <c r="F1752" s="1" t="s">
        <v>15</v>
      </c>
      <c r="G1752" s="1" t="s">
        <v>22</v>
      </c>
      <c r="H1752">
        <v>54</v>
      </c>
      <c r="I1752">
        <v>21</v>
      </c>
      <c r="K1752" s="1" t="s">
        <v>17</v>
      </c>
      <c r="L1752" s="1" t="s">
        <v>18</v>
      </c>
      <c r="M1752" s="1" t="s">
        <v>3701</v>
      </c>
      <c r="N1752" s="1" t="s">
        <v>3708</v>
      </c>
    </row>
    <row r="1753" spans="1:14" x14ac:dyDescent="0.35">
      <c r="A1753">
        <v>3523015</v>
      </c>
      <c r="B1753" s="1" t="s">
        <v>2856</v>
      </c>
      <c r="C1753">
        <v>42352</v>
      </c>
      <c r="D1753">
        <v>881</v>
      </c>
      <c r="E1753" s="1" t="s">
        <v>3709</v>
      </c>
      <c r="F1753" s="1" t="s">
        <v>15</v>
      </c>
      <c r="G1753" s="1" t="s">
        <v>16</v>
      </c>
      <c r="H1753">
        <v>408</v>
      </c>
      <c r="I1753">
        <v>108</v>
      </c>
      <c r="J1753">
        <v>1115</v>
      </c>
      <c r="K1753" s="1" t="s">
        <v>17</v>
      </c>
      <c r="L1753" s="1" t="s">
        <v>18</v>
      </c>
      <c r="M1753" s="1" t="s">
        <v>3710</v>
      </c>
      <c r="N1753" s="1" t="s">
        <v>3711</v>
      </c>
    </row>
    <row r="1754" spans="1:14" x14ac:dyDescent="0.35">
      <c r="A1754">
        <v>3523053</v>
      </c>
      <c r="B1754" s="1" t="s">
        <v>2856</v>
      </c>
      <c r="C1754">
        <v>42352</v>
      </c>
      <c r="D1754">
        <v>881</v>
      </c>
      <c r="E1754" s="1" t="s">
        <v>3712</v>
      </c>
      <c r="F1754" s="1" t="s">
        <v>15</v>
      </c>
      <c r="G1754" s="1" t="s">
        <v>32</v>
      </c>
      <c r="H1754">
        <v>116</v>
      </c>
      <c r="I1754">
        <v>56</v>
      </c>
      <c r="J1754">
        <v>339</v>
      </c>
      <c r="K1754" s="1" t="s">
        <v>23</v>
      </c>
      <c r="L1754" s="1" t="s">
        <v>24</v>
      </c>
      <c r="M1754" s="1" t="s">
        <v>3710</v>
      </c>
      <c r="N1754" s="1" t="s">
        <v>3713</v>
      </c>
    </row>
    <row r="1755" spans="1:14" x14ac:dyDescent="0.35">
      <c r="A1755">
        <v>3523041</v>
      </c>
      <c r="B1755" s="1" t="s">
        <v>2856</v>
      </c>
      <c r="C1755">
        <v>42352</v>
      </c>
      <c r="D1755">
        <v>881</v>
      </c>
      <c r="E1755" s="1" t="s">
        <v>3714</v>
      </c>
      <c r="F1755" s="1" t="s">
        <v>15</v>
      </c>
      <c r="G1755" s="1" t="s">
        <v>32</v>
      </c>
      <c r="H1755">
        <v>147</v>
      </c>
      <c r="I1755">
        <v>78</v>
      </c>
      <c r="J1755">
        <v>359</v>
      </c>
      <c r="K1755" s="1" t="s">
        <v>84</v>
      </c>
      <c r="L1755" s="1" t="s">
        <v>24</v>
      </c>
      <c r="M1755" s="1" t="s">
        <v>3710</v>
      </c>
      <c r="N1755" s="1" t="s">
        <v>3715</v>
      </c>
    </row>
    <row r="1756" spans="1:14" x14ac:dyDescent="0.35">
      <c r="A1756">
        <v>3523056</v>
      </c>
      <c r="B1756" s="1" t="s">
        <v>2856</v>
      </c>
      <c r="C1756">
        <v>42352</v>
      </c>
      <c r="D1756">
        <v>881</v>
      </c>
      <c r="E1756" s="1" t="s">
        <v>3716</v>
      </c>
      <c r="F1756" s="1" t="s">
        <v>15</v>
      </c>
      <c r="G1756" s="1" t="s">
        <v>22</v>
      </c>
      <c r="H1756">
        <v>70</v>
      </c>
      <c r="I1756">
        <v>29</v>
      </c>
      <c r="K1756" s="1" t="s">
        <v>90</v>
      </c>
      <c r="L1756" s="1" t="s">
        <v>24</v>
      </c>
      <c r="M1756" s="1" t="s">
        <v>3710</v>
      </c>
      <c r="N1756" s="1" t="s">
        <v>3717</v>
      </c>
    </row>
    <row r="1757" spans="1:14" x14ac:dyDescent="0.35">
      <c r="A1757">
        <v>3523052</v>
      </c>
      <c r="B1757" s="1" t="s">
        <v>2856</v>
      </c>
      <c r="C1757">
        <v>42352</v>
      </c>
      <c r="D1757">
        <v>881</v>
      </c>
      <c r="E1757" s="1" t="s">
        <v>3718</v>
      </c>
      <c r="F1757" s="1" t="s">
        <v>15</v>
      </c>
      <c r="G1757" s="1" t="s">
        <v>22</v>
      </c>
      <c r="H1757">
        <v>68</v>
      </c>
      <c r="I1757">
        <v>54</v>
      </c>
      <c r="J1757">
        <v>189</v>
      </c>
      <c r="K1757" s="1" t="s">
        <v>23</v>
      </c>
      <c r="L1757" s="1" t="s">
        <v>24</v>
      </c>
      <c r="M1757" s="1" t="s">
        <v>3710</v>
      </c>
      <c r="N1757" s="1" t="s">
        <v>3719</v>
      </c>
    </row>
    <row r="1758" spans="1:14" x14ac:dyDescent="0.35">
      <c r="A1758">
        <v>3523055</v>
      </c>
      <c r="B1758" s="1" t="s">
        <v>2856</v>
      </c>
      <c r="C1758">
        <v>42352</v>
      </c>
      <c r="D1758">
        <v>881</v>
      </c>
      <c r="E1758" s="1" t="s">
        <v>3720</v>
      </c>
      <c r="F1758" s="1" t="s">
        <v>15</v>
      </c>
      <c r="G1758" s="1" t="s">
        <v>22</v>
      </c>
      <c r="H1758">
        <v>100</v>
      </c>
      <c r="I1758">
        <v>26</v>
      </c>
      <c r="J1758">
        <v>133</v>
      </c>
      <c r="K1758" s="1" t="s">
        <v>17</v>
      </c>
      <c r="L1758" s="1" t="s">
        <v>18</v>
      </c>
      <c r="M1758" s="1" t="s">
        <v>3710</v>
      </c>
      <c r="N1758" s="1" t="s">
        <v>3721</v>
      </c>
    </row>
    <row r="1759" spans="1:14" x14ac:dyDescent="0.35">
      <c r="A1759">
        <v>3504078</v>
      </c>
      <c r="B1759" s="1" t="s">
        <v>2856</v>
      </c>
      <c r="C1759">
        <v>42352</v>
      </c>
      <c r="D1759">
        <v>881</v>
      </c>
      <c r="E1759" s="1" t="s">
        <v>3722</v>
      </c>
      <c r="F1759" s="1" t="s">
        <v>71</v>
      </c>
      <c r="G1759" s="1" t="s">
        <v>32</v>
      </c>
      <c r="H1759">
        <v>86</v>
      </c>
      <c r="I1759">
        <v>20</v>
      </c>
      <c r="J1759">
        <v>81</v>
      </c>
      <c r="K1759" s="1" t="s">
        <v>23</v>
      </c>
      <c r="L1759" s="1" t="s">
        <v>24</v>
      </c>
      <c r="M1759" s="1" t="s">
        <v>3723</v>
      </c>
      <c r="N1759" s="1" t="s">
        <v>3724</v>
      </c>
    </row>
    <row r="1760" spans="1:14" x14ac:dyDescent="0.35">
      <c r="A1760">
        <v>3504057</v>
      </c>
      <c r="B1760" s="1" t="s">
        <v>2856</v>
      </c>
      <c r="C1760">
        <v>42352</v>
      </c>
      <c r="D1760">
        <v>881</v>
      </c>
      <c r="E1760" s="1" t="s">
        <v>3725</v>
      </c>
      <c r="F1760" s="1" t="s">
        <v>71</v>
      </c>
      <c r="G1760" s="1" t="s">
        <v>32</v>
      </c>
      <c r="H1760">
        <v>49</v>
      </c>
      <c r="I1760">
        <v>12</v>
      </c>
      <c r="J1760">
        <v>63</v>
      </c>
      <c r="K1760" s="1" t="s">
        <v>23</v>
      </c>
      <c r="L1760" s="1" t="s">
        <v>24</v>
      </c>
      <c r="M1760" s="1" t="s">
        <v>3723</v>
      </c>
      <c r="N1760" s="1" t="s">
        <v>3726</v>
      </c>
    </row>
    <row r="1761" spans="1:14" x14ac:dyDescent="0.35">
      <c r="A1761">
        <v>3504074</v>
      </c>
      <c r="B1761" s="1" t="s">
        <v>2856</v>
      </c>
      <c r="C1761">
        <v>42352</v>
      </c>
      <c r="D1761">
        <v>881</v>
      </c>
      <c r="E1761" s="1" t="s">
        <v>3727</v>
      </c>
      <c r="F1761" s="1" t="s">
        <v>71</v>
      </c>
      <c r="G1761" s="1" t="s">
        <v>32</v>
      </c>
      <c r="H1761">
        <v>32</v>
      </c>
      <c r="I1761">
        <v>15</v>
      </c>
      <c r="J1761">
        <v>75</v>
      </c>
      <c r="K1761" s="1" t="s">
        <v>23</v>
      </c>
      <c r="L1761" s="1" t="s">
        <v>24</v>
      </c>
      <c r="M1761" s="1" t="s">
        <v>3723</v>
      </c>
      <c r="N1761" s="1" t="s">
        <v>3728</v>
      </c>
    </row>
    <row r="1762" spans="1:14" x14ac:dyDescent="0.35">
      <c r="A1762">
        <v>3504012</v>
      </c>
      <c r="B1762" s="1" t="s">
        <v>2856</v>
      </c>
      <c r="C1762">
        <v>42352</v>
      </c>
      <c r="D1762">
        <v>881</v>
      </c>
      <c r="E1762" s="1" t="s">
        <v>3729</v>
      </c>
      <c r="F1762" s="1" t="s">
        <v>15</v>
      </c>
      <c r="G1762" s="1" t="s">
        <v>16</v>
      </c>
      <c r="H1762">
        <v>500</v>
      </c>
      <c r="I1762">
        <v>98</v>
      </c>
      <c r="J1762">
        <v>1418</v>
      </c>
      <c r="K1762" s="1" t="s">
        <v>17</v>
      </c>
      <c r="L1762" s="1" t="s">
        <v>18</v>
      </c>
      <c r="M1762" s="1" t="s">
        <v>3723</v>
      </c>
      <c r="N1762" s="1" t="s">
        <v>3730</v>
      </c>
    </row>
    <row r="1763" spans="1:14" x14ac:dyDescent="0.35">
      <c r="A1763">
        <v>3504056</v>
      </c>
      <c r="B1763" s="1" t="s">
        <v>2856</v>
      </c>
      <c r="C1763">
        <v>42352</v>
      </c>
      <c r="D1763">
        <v>881</v>
      </c>
      <c r="E1763" s="1" t="s">
        <v>3731</v>
      </c>
      <c r="F1763" s="1" t="s">
        <v>15</v>
      </c>
      <c r="G1763" s="1" t="s">
        <v>32</v>
      </c>
      <c r="H1763">
        <v>100</v>
      </c>
      <c r="I1763">
        <v>30</v>
      </c>
      <c r="J1763">
        <v>163</v>
      </c>
      <c r="K1763" s="1" t="s">
        <v>23</v>
      </c>
      <c r="L1763" s="1" t="s">
        <v>24</v>
      </c>
      <c r="M1763" s="1" t="s">
        <v>3723</v>
      </c>
      <c r="N1763" s="1" t="s">
        <v>3732</v>
      </c>
    </row>
    <row r="1764" spans="1:14" x14ac:dyDescent="0.35">
      <c r="A1764">
        <v>3504068</v>
      </c>
      <c r="B1764" s="1" t="s">
        <v>2856</v>
      </c>
      <c r="C1764">
        <v>42352</v>
      </c>
      <c r="D1764">
        <v>881</v>
      </c>
      <c r="E1764" s="1" t="s">
        <v>3733</v>
      </c>
      <c r="F1764" s="1" t="s">
        <v>15</v>
      </c>
      <c r="G1764" s="1" t="s">
        <v>32</v>
      </c>
      <c r="H1764">
        <v>114</v>
      </c>
      <c r="I1764">
        <v>43</v>
      </c>
      <c r="J1764">
        <v>332</v>
      </c>
      <c r="K1764" s="1" t="s">
        <v>146</v>
      </c>
      <c r="L1764" s="1" t="s">
        <v>120</v>
      </c>
      <c r="M1764" s="1" t="s">
        <v>3723</v>
      </c>
      <c r="N1764" s="1" t="s">
        <v>3734</v>
      </c>
    </row>
    <row r="1765" spans="1:14" x14ac:dyDescent="0.35">
      <c r="A1765">
        <v>3504073</v>
      </c>
      <c r="B1765" s="1" t="s">
        <v>2856</v>
      </c>
      <c r="C1765">
        <v>42352</v>
      </c>
      <c r="D1765">
        <v>881</v>
      </c>
      <c r="E1765" s="1" t="s">
        <v>3735</v>
      </c>
      <c r="F1765" s="1" t="s">
        <v>15</v>
      </c>
      <c r="G1765" s="1" t="s">
        <v>32</v>
      </c>
      <c r="H1765">
        <v>98</v>
      </c>
      <c r="I1765">
        <v>33</v>
      </c>
      <c r="J1765">
        <v>173</v>
      </c>
      <c r="K1765" s="1" t="s">
        <v>23</v>
      </c>
      <c r="L1765" s="1" t="s">
        <v>24</v>
      </c>
      <c r="M1765" s="1" t="s">
        <v>3723</v>
      </c>
      <c r="N1765" s="1" t="s">
        <v>3736</v>
      </c>
    </row>
    <row r="1766" spans="1:14" x14ac:dyDescent="0.35">
      <c r="A1766">
        <v>3504045</v>
      </c>
      <c r="B1766" s="1" t="s">
        <v>2856</v>
      </c>
      <c r="C1766">
        <v>42352</v>
      </c>
      <c r="D1766">
        <v>881</v>
      </c>
      <c r="E1766" s="1" t="s">
        <v>3737</v>
      </c>
      <c r="F1766" s="1" t="s">
        <v>15</v>
      </c>
      <c r="G1766" s="1" t="s">
        <v>32</v>
      </c>
      <c r="H1766">
        <v>100</v>
      </c>
      <c r="I1766">
        <v>39</v>
      </c>
      <c r="J1766">
        <v>141</v>
      </c>
      <c r="K1766" s="1" t="s">
        <v>23</v>
      </c>
      <c r="L1766" s="1" t="s">
        <v>24</v>
      </c>
      <c r="M1766" s="1" t="s">
        <v>3723</v>
      </c>
      <c r="N1766" s="1" t="s">
        <v>3738</v>
      </c>
    </row>
    <row r="1767" spans="1:14" x14ac:dyDescent="0.35">
      <c r="A1767">
        <v>3504081</v>
      </c>
      <c r="B1767" s="1" t="s">
        <v>2856</v>
      </c>
      <c r="C1767">
        <v>42352</v>
      </c>
      <c r="D1767">
        <v>881</v>
      </c>
      <c r="E1767" s="1" t="s">
        <v>363</v>
      </c>
      <c r="F1767" s="1" t="s">
        <v>15</v>
      </c>
      <c r="G1767" s="1" t="s">
        <v>22</v>
      </c>
      <c r="H1767">
        <v>60</v>
      </c>
      <c r="I1767">
        <v>28</v>
      </c>
      <c r="J1767">
        <v>113</v>
      </c>
      <c r="K1767" s="1" t="s">
        <v>23</v>
      </c>
      <c r="L1767" s="1" t="s">
        <v>24</v>
      </c>
      <c r="M1767" s="1" t="s">
        <v>3723</v>
      </c>
      <c r="N1767" s="1" t="s">
        <v>3739</v>
      </c>
    </row>
    <row r="1768" spans="1:14" x14ac:dyDescent="0.35">
      <c r="A1768">
        <v>3504071</v>
      </c>
      <c r="B1768" s="1" t="s">
        <v>2856</v>
      </c>
      <c r="C1768">
        <v>42352</v>
      </c>
      <c r="D1768">
        <v>881</v>
      </c>
      <c r="E1768" s="1" t="s">
        <v>3740</v>
      </c>
      <c r="F1768" s="1" t="s">
        <v>15</v>
      </c>
      <c r="G1768" s="1" t="s">
        <v>22</v>
      </c>
      <c r="H1768">
        <v>66</v>
      </c>
      <c r="I1768">
        <v>50</v>
      </c>
      <c r="J1768">
        <v>93</v>
      </c>
      <c r="K1768" s="1" t="s">
        <v>444</v>
      </c>
      <c r="L1768" s="1" t="s">
        <v>24</v>
      </c>
      <c r="M1768" s="1" t="s">
        <v>3723</v>
      </c>
      <c r="N1768" s="1" t="s">
        <v>3741</v>
      </c>
    </row>
    <row r="1769" spans="1:14" x14ac:dyDescent="0.35">
      <c r="A1769">
        <v>3504087</v>
      </c>
      <c r="B1769" s="1" t="s">
        <v>2856</v>
      </c>
      <c r="C1769">
        <v>42352</v>
      </c>
      <c r="D1769">
        <v>881</v>
      </c>
      <c r="E1769" s="1" t="s">
        <v>3742</v>
      </c>
      <c r="F1769" s="1" t="s">
        <v>15</v>
      </c>
      <c r="G1769" s="1" t="s">
        <v>22</v>
      </c>
      <c r="H1769">
        <v>116</v>
      </c>
      <c r="I1769">
        <v>35</v>
      </c>
      <c r="K1769" s="1" t="s">
        <v>17</v>
      </c>
      <c r="L1769" s="1" t="s">
        <v>18</v>
      </c>
      <c r="M1769" s="1" t="s">
        <v>3723</v>
      </c>
      <c r="N1769" s="1" t="s">
        <v>3743</v>
      </c>
    </row>
    <row r="1770" spans="1:14" x14ac:dyDescent="0.35">
      <c r="A1770">
        <v>3504069</v>
      </c>
      <c r="B1770" s="1" t="s">
        <v>2856</v>
      </c>
      <c r="C1770">
        <v>42352</v>
      </c>
      <c r="D1770">
        <v>881</v>
      </c>
      <c r="E1770" s="1" t="s">
        <v>3744</v>
      </c>
      <c r="F1770" s="1" t="s">
        <v>15</v>
      </c>
      <c r="G1770" s="1" t="s">
        <v>22</v>
      </c>
      <c r="H1770">
        <v>65</v>
      </c>
      <c r="I1770">
        <v>20</v>
      </c>
      <c r="J1770">
        <v>90</v>
      </c>
      <c r="K1770" s="1" t="s">
        <v>23</v>
      </c>
      <c r="L1770" s="1" t="s">
        <v>24</v>
      </c>
      <c r="M1770" s="1" t="s">
        <v>3723</v>
      </c>
      <c r="N1770" s="1" t="s">
        <v>3745</v>
      </c>
    </row>
    <row r="1771" spans="1:14" x14ac:dyDescent="0.35">
      <c r="A1771">
        <v>3504070</v>
      </c>
      <c r="B1771" s="1" t="s">
        <v>2856</v>
      </c>
      <c r="C1771">
        <v>42352</v>
      </c>
      <c r="D1771">
        <v>881</v>
      </c>
      <c r="E1771" s="1" t="s">
        <v>3746</v>
      </c>
      <c r="F1771" s="1" t="s">
        <v>15</v>
      </c>
      <c r="G1771" s="1" t="s">
        <v>22</v>
      </c>
      <c r="H1771">
        <v>114</v>
      </c>
      <c r="I1771">
        <v>36</v>
      </c>
      <c r="J1771">
        <v>186</v>
      </c>
      <c r="K1771" s="1" t="s">
        <v>23</v>
      </c>
      <c r="L1771" s="1" t="s">
        <v>24</v>
      </c>
      <c r="M1771" s="1" t="s">
        <v>3723</v>
      </c>
      <c r="N1771" s="1" t="s">
        <v>3747</v>
      </c>
    </row>
    <row r="1772" spans="1:14" x14ac:dyDescent="0.35">
      <c r="A1772">
        <v>6102012</v>
      </c>
      <c r="B1772" s="1" t="s">
        <v>3748</v>
      </c>
      <c r="C1772">
        <v>5835</v>
      </c>
      <c r="D1772">
        <v>40</v>
      </c>
      <c r="E1772" s="1" t="s">
        <v>3749</v>
      </c>
      <c r="F1772" s="1" t="s">
        <v>15</v>
      </c>
      <c r="G1772" s="1" t="s">
        <v>32</v>
      </c>
      <c r="H1772">
        <v>104</v>
      </c>
      <c r="I1772">
        <v>27</v>
      </c>
      <c r="J1772">
        <v>213</v>
      </c>
      <c r="K1772" s="1" t="s">
        <v>17</v>
      </c>
      <c r="L1772" s="1" t="s">
        <v>18</v>
      </c>
      <c r="M1772" s="1" t="s">
        <v>3750</v>
      </c>
      <c r="N1772" s="1" t="s">
        <v>3751</v>
      </c>
    </row>
    <row r="1773" spans="1:14" x14ac:dyDescent="0.35">
      <c r="A1773">
        <v>6102055</v>
      </c>
      <c r="B1773" s="1" t="s">
        <v>3748</v>
      </c>
      <c r="C1773">
        <v>5835</v>
      </c>
      <c r="D1773">
        <v>40</v>
      </c>
      <c r="E1773" s="1" t="s">
        <v>3752</v>
      </c>
      <c r="F1773" s="1" t="s">
        <v>15</v>
      </c>
      <c r="G1773" s="1" t="s">
        <v>32</v>
      </c>
      <c r="H1773">
        <v>126</v>
      </c>
      <c r="I1773">
        <v>28</v>
      </c>
      <c r="J1773">
        <v>211</v>
      </c>
      <c r="K1773" s="1" t="s">
        <v>819</v>
      </c>
      <c r="L1773" s="1" t="s">
        <v>24</v>
      </c>
      <c r="M1773" s="1" t="s">
        <v>3750</v>
      </c>
      <c r="N1773" s="1" t="s">
        <v>3753</v>
      </c>
    </row>
    <row r="1774" spans="1:14" x14ac:dyDescent="0.35">
      <c r="A1774">
        <v>6108011</v>
      </c>
      <c r="B1774" s="1" t="s">
        <v>3748</v>
      </c>
      <c r="C1774">
        <v>5835</v>
      </c>
      <c r="D1774">
        <v>40</v>
      </c>
      <c r="E1774" s="1" t="s">
        <v>3754</v>
      </c>
      <c r="F1774" s="1" t="s">
        <v>15</v>
      </c>
      <c r="G1774" s="1" t="s">
        <v>32</v>
      </c>
      <c r="H1774">
        <v>100</v>
      </c>
      <c r="I1774">
        <v>24</v>
      </c>
      <c r="J1774">
        <v>527</v>
      </c>
      <c r="K1774" s="1" t="s">
        <v>17</v>
      </c>
      <c r="L1774" s="1" t="s">
        <v>18</v>
      </c>
      <c r="M1774" s="1" t="s">
        <v>3755</v>
      </c>
      <c r="N1774" s="1" t="s">
        <v>3756</v>
      </c>
    </row>
    <row r="1775" spans="1:14" x14ac:dyDescent="0.35">
      <c r="A1775">
        <v>6108014</v>
      </c>
      <c r="B1775" s="1" t="s">
        <v>3748</v>
      </c>
      <c r="C1775">
        <v>5835</v>
      </c>
      <c r="D1775">
        <v>40</v>
      </c>
      <c r="E1775" s="1" t="s">
        <v>3757</v>
      </c>
      <c r="F1775" s="1" t="s">
        <v>15</v>
      </c>
      <c r="G1775" s="1" t="s">
        <v>22</v>
      </c>
      <c r="H1775">
        <v>49</v>
      </c>
      <c r="I1775">
        <v>25</v>
      </c>
      <c r="J1775">
        <v>63</v>
      </c>
      <c r="K1775" s="1" t="s">
        <v>17</v>
      </c>
      <c r="L1775" s="1" t="s">
        <v>24</v>
      </c>
      <c r="M1775" s="1" t="s">
        <v>3755</v>
      </c>
      <c r="N1775" s="1" t="s">
        <v>3758</v>
      </c>
    </row>
    <row r="1776" spans="1:14" x14ac:dyDescent="0.35">
      <c r="A1776">
        <v>6108012</v>
      </c>
      <c r="B1776" s="1" t="s">
        <v>3748</v>
      </c>
      <c r="C1776">
        <v>5835</v>
      </c>
      <c r="D1776">
        <v>40</v>
      </c>
      <c r="E1776" s="1" t="s">
        <v>3759</v>
      </c>
      <c r="F1776" s="1" t="s">
        <v>15</v>
      </c>
      <c r="G1776" s="1" t="s">
        <v>22</v>
      </c>
      <c r="H1776">
        <v>50</v>
      </c>
      <c r="I1776">
        <v>17</v>
      </c>
      <c r="J1776">
        <v>27</v>
      </c>
      <c r="K1776" s="1" t="s">
        <v>17</v>
      </c>
      <c r="L1776" s="1" t="s">
        <v>24</v>
      </c>
      <c r="M1776" s="1" t="s">
        <v>3755</v>
      </c>
      <c r="N1776" s="1" t="s">
        <v>3760</v>
      </c>
    </row>
    <row r="1777" spans="1:14" x14ac:dyDescent="0.35">
      <c r="A1777">
        <v>6111002</v>
      </c>
      <c r="B1777" s="1" t="s">
        <v>3748</v>
      </c>
      <c r="C1777">
        <v>5835</v>
      </c>
      <c r="D1777">
        <v>40</v>
      </c>
      <c r="E1777" s="1" t="s">
        <v>3761</v>
      </c>
      <c r="F1777" s="1" t="s">
        <v>15</v>
      </c>
      <c r="G1777" s="1" t="s">
        <v>32</v>
      </c>
      <c r="H1777">
        <v>103</v>
      </c>
      <c r="I1777">
        <v>24</v>
      </c>
      <c r="J1777">
        <v>210</v>
      </c>
      <c r="K1777" s="1" t="s">
        <v>17</v>
      </c>
      <c r="L1777" s="1" t="s">
        <v>18</v>
      </c>
      <c r="M1777" s="1" t="s">
        <v>3762</v>
      </c>
      <c r="N1777" s="1" t="s">
        <v>3763</v>
      </c>
    </row>
    <row r="1778" spans="1:14" x14ac:dyDescent="0.35">
      <c r="A1778">
        <v>6106021</v>
      </c>
      <c r="B1778" s="1" t="s">
        <v>3748</v>
      </c>
      <c r="C1778">
        <v>5835</v>
      </c>
      <c r="D1778">
        <v>40</v>
      </c>
      <c r="E1778" s="1" t="s">
        <v>3764</v>
      </c>
      <c r="F1778" s="1" t="s">
        <v>71</v>
      </c>
      <c r="G1778" s="1" t="s">
        <v>32</v>
      </c>
      <c r="H1778">
        <v>30</v>
      </c>
      <c r="I1778">
        <v>14</v>
      </c>
      <c r="J1778">
        <v>116</v>
      </c>
      <c r="K1778" s="1" t="s">
        <v>90</v>
      </c>
      <c r="L1778" s="1" t="s">
        <v>24</v>
      </c>
      <c r="M1778" s="1" t="s">
        <v>3765</v>
      </c>
      <c r="N1778" s="1" t="s">
        <v>3766</v>
      </c>
    </row>
    <row r="1779" spans="1:14" x14ac:dyDescent="0.35">
      <c r="A1779">
        <v>6106016</v>
      </c>
      <c r="B1779" s="1" t="s">
        <v>3748</v>
      </c>
      <c r="C1779">
        <v>5835</v>
      </c>
      <c r="D1779">
        <v>40</v>
      </c>
      <c r="E1779" s="1" t="s">
        <v>3767</v>
      </c>
      <c r="F1779" s="1" t="s">
        <v>15</v>
      </c>
      <c r="G1779" s="1" t="s">
        <v>32</v>
      </c>
      <c r="H1779">
        <v>200</v>
      </c>
      <c r="I1779">
        <v>69</v>
      </c>
      <c r="J1779">
        <v>419</v>
      </c>
      <c r="K1779" s="1" t="s">
        <v>17</v>
      </c>
      <c r="L1779" s="1" t="s">
        <v>18</v>
      </c>
      <c r="M1779" s="1" t="s">
        <v>3765</v>
      </c>
      <c r="N1779" s="1" t="s">
        <v>3768</v>
      </c>
    </row>
    <row r="1780" spans="1:14" x14ac:dyDescent="0.35">
      <c r="A1780">
        <v>6106020</v>
      </c>
      <c r="B1780" s="1" t="s">
        <v>3748</v>
      </c>
      <c r="C1780">
        <v>5835</v>
      </c>
      <c r="D1780">
        <v>40</v>
      </c>
      <c r="E1780" s="1" t="s">
        <v>3769</v>
      </c>
      <c r="F1780" s="1" t="s">
        <v>15</v>
      </c>
      <c r="G1780" s="1" t="s">
        <v>32</v>
      </c>
      <c r="H1780">
        <v>135</v>
      </c>
      <c r="I1780">
        <v>61</v>
      </c>
      <c r="J1780">
        <v>440</v>
      </c>
      <c r="K1780" s="1" t="s">
        <v>572</v>
      </c>
      <c r="L1780" s="1" t="s">
        <v>24</v>
      </c>
      <c r="M1780" s="1" t="s">
        <v>3765</v>
      </c>
      <c r="N1780" s="1" t="s">
        <v>3770</v>
      </c>
    </row>
    <row r="1781" spans="1:14" x14ac:dyDescent="0.35">
      <c r="A1781">
        <v>6171136</v>
      </c>
      <c r="B1781" s="1" t="s">
        <v>3748</v>
      </c>
      <c r="C1781">
        <v>5835</v>
      </c>
      <c r="D1781">
        <v>40</v>
      </c>
      <c r="E1781" s="1" t="s">
        <v>3771</v>
      </c>
      <c r="F1781" s="1" t="s">
        <v>71</v>
      </c>
      <c r="G1781" s="1" t="s">
        <v>32</v>
      </c>
      <c r="H1781">
        <v>38</v>
      </c>
      <c r="I1781">
        <v>28</v>
      </c>
      <c r="J1781">
        <v>103</v>
      </c>
      <c r="K1781" s="1" t="s">
        <v>23</v>
      </c>
      <c r="L1781" s="1" t="s">
        <v>24</v>
      </c>
      <c r="M1781" s="1" t="s">
        <v>3772</v>
      </c>
      <c r="N1781" s="1" t="s">
        <v>3773</v>
      </c>
    </row>
    <row r="1782" spans="1:14" x14ac:dyDescent="0.35">
      <c r="A1782">
        <v>6171085</v>
      </c>
      <c r="B1782" s="1" t="s">
        <v>3748</v>
      </c>
      <c r="C1782">
        <v>5835</v>
      </c>
      <c r="D1782">
        <v>40</v>
      </c>
      <c r="E1782" s="1" t="s">
        <v>3774</v>
      </c>
      <c r="F1782" s="1" t="s">
        <v>71</v>
      </c>
      <c r="G1782" s="1" t="s">
        <v>32</v>
      </c>
      <c r="H1782">
        <v>33</v>
      </c>
      <c r="I1782">
        <v>14</v>
      </c>
      <c r="J1782">
        <v>122</v>
      </c>
      <c r="K1782" s="1" t="s">
        <v>90</v>
      </c>
      <c r="L1782" s="1" t="s">
        <v>24</v>
      </c>
      <c r="M1782" s="1" t="s">
        <v>3772</v>
      </c>
      <c r="N1782" s="1" t="s">
        <v>3775</v>
      </c>
    </row>
    <row r="1783" spans="1:14" x14ac:dyDescent="0.35">
      <c r="A1783">
        <v>6171011</v>
      </c>
      <c r="B1783" s="1" t="s">
        <v>3748</v>
      </c>
      <c r="C1783">
        <v>5835</v>
      </c>
      <c r="D1783">
        <v>40</v>
      </c>
      <c r="E1783" s="1" t="s">
        <v>3776</v>
      </c>
      <c r="F1783" s="1" t="s">
        <v>15</v>
      </c>
      <c r="G1783" s="1" t="s">
        <v>130</v>
      </c>
      <c r="H1783">
        <v>584</v>
      </c>
      <c r="I1783">
        <v>50</v>
      </c>
      <c r="J1783">
        <v>1241</v>
      </c>
      <c r="K1783" s="1" t="s">
        <v>124</v>
      </c>
      <c r="L1783" s="1" t="s">
        <v>18</v>
      </c>
      <c r="M1783" s="1" t="s">
        <v>3772</v>
      </c>
      <c r="N1783" s="1" t="s">
        <v>3777</v>
      </c>
    </row>
    <row r="1784" spans="1:14" x14ac:dyDescent="0.35">
      <c r="A1784">
        <v>6171033</v>
      </c>
      <c r="B1784" s="1" t="s">
        <v>3748</v>
      </c>
      <c r="C1784">
        <v>5835</v>
      </c>
      <c r="D1784">
        <v>40</v>
      </c>
      <c r="E1784" s="1" t="s">
        <v>3778</v>
      </c>
      <c r="F1784" s="1" t="s">
        <v>15</v>
      </c>
      <c r="G1784" s="1" t="s">
        <v>16</v>
      </c>
      <c r="H1784">
        <v>240</v>
      </c>
      <c r="I1784">
        <v>79</v>
      </c>
      <c r="J1784">
        <v>1138</v>
      </c>
      <c r="K1784" s="1" t="s">
        <v>84</v>
      </c>
      <c r="L1784" s="1" t="s">
        <v>24</v>
      </c>
      <c r="M1784" s="1" t="s">
        <v>3772</v>
      </c>
      <c r="N1784" s="1" t="s">
        <v>3779</v>
      </c>
    </row>
    <row r="1785" spans="1:14" x14ac:dyDescent="0.35">
      <c r="A1785">
        <v>6171139</v>
      </c>
      <c r="B1785" s="1" t="s">
        <v>3748</v>
      </c>
      <c r="C1785">
        <v>5835</v>
      </c>
      <c r="D1785">
        <v>40</v>
      </c>
      <c r="E1785" s="1" t="s">
        <v>3780</v>
      </c>
      <c r="F1785" s="1" t="s">
        <v>15</v>
      </c>
      <c r="G1785" s="1" t="s">
        <v>32</v>
      </c>
      <c r="H1785">
        <v>104</v>
      </c>
      <c r="I1785">
        <v>70</v>
      </c>
      <c r="J1785">
        <v>100</v>
      </c>
      <c r="K1785" s="1" t="s">
        <v>49</v>
      </c>
      <c r="L1785" s="1" t="s">
        <v>120</v>
      </c>
      <c r="M1785" s="1" t="s">
        <v>3772</v>
      </c>
      <c r="N1785" s="1" t="s">
        <v>3781</v>
      </c>
    </row>
    <row r="1786" spans="1:14" x14ac:dyDescent="0.35">
      <c r="A1786">
        <v>6171141</v>
      </c>
      <c r="B1786" s="1" t="s">
        <v>3748</v>
      </c>
      <c r="C1786">
        <v>5835</v>
      </c>
      <c r="D1786">
        <v>40</v>
      </c>
      <c r="E1786" s="1" t="s">
        <v>3782</v>
      </c>
      <c r="F1786" s="1" t="s">
        <v>15</v>
      </c>
      <c r="G1786" s="1" t="s">
        <v>32</v>
      </c>
      <c r="H1786">
        <v>137</v>
      </c>
      <c r="I1786">
        <v>56</v>
      </c>
      <c r="J1786">
        <v>394</v>
      </c>
      <c r="K1786" s="1" t="s">
        <v>90</v>
      </c>
      <c r="L1786" s="1" t="s">
        <v>24</v>
      </c>
      <c r="M1786" s="1" t="s">
        <v>3772</v>
      </c>
      <c r="N1786" s="1" t="s">
        <v>3783</v>
      </c>
    </row>
    <row r="1787" spans="1:14" x14ac:dyDescent="0.35">
      <c r="A1787">
        <v>6171067</v>
      </c>
      <c r="B1787" s="1" t="s">
        <v>3748</v>
      </c>
      <c r="C1787">
        <v>5835</v>
      </c>
      <c r="D1787">
        <v>40</v>
      </c>
      <c r="E1787" s="1" t="s">
        <v>3784</v>
      </c>
      <c r="F1787" s="1" t="s">
        <v>15</v>
      </c>
      <c r="G1787" s="1" t="s">
        <v>32</v>
      </c>
      <c r="H1787">
        <v>120</v>
      </c>
      <c r="I1787">
        <v>97</v>
      </c>
      <c r="J1787">
        <v>124</v>
      </c>
      <c r="K1787" s="1" t="s">
        <v>146</v>
      </c>
      <c r="L1787" s="1" t="s">
        <v>120</v>
      </c>
      <c r="M1787" s="1" t="s">
        <v>3772</v>
      </c>
      <c r="N1787" s="1" t="s">
        <v>3785</v>
      </c>
    </row>
    <row r="1788" spans="1:14" x14ac:dyDescent="0.35">
      <c r="A1788">
        <v>6171113</v>
      </c>
      <c r="B1788" s="1" t="s">
        <v>3748</v>
      </c>
      <c r="C1788">
        <v>5835</v>
      </c>
      <c r="D1788">
        <v>40</v>
      </c>
      <c r="E1788" s="1" t="s">
        <v>3786</v>
      </c>
      <c r="F1788" s="1" t="s">
        <v>15</v>
      </c>
      <c r="G1788" s="1" t="s">
        <v>32</v>
      </c>
      <c r="H1788">
        <v>129</v>
      </c>
      <c r="I1788">
        <v>22</v>
      </c>
      <c r="J1788">
        <v>187</v>
      </c>
      <c r="K1788" s="1" t="s">
        <v>444</v>
      </c>
      <c r="L1788" s="1" t="s">
        <v>24</v>
      </c>
      <c r="M1788" s="1" t="s">
        <v>3772</v>
      </c>
      <c r="N1788" s="1" t="s">
        <v>3787</v>
      </c>
    </row>
    <row r="1789" spans="1:14" x14ac:dyDescent="0.35">
      <c r="A1789">
        <v>6171138</v>
      </c>
      <c r="B1789" s="1" t="s">
        <v>3748</v>
      </c>
      <c r="C1789">
        <v>5835</v>
      </c>
      <c r="D1789">
        <v>40</v>
      </c>
      <c r="E1789" s="1" t="s">
        <v>3788</v>
      </c>
      <c r="F1789" s="1" t="s">
        <v>15</v>
      </c>
      <c r="G1789" s="1" t="s">
        <v>32</v>
      </c>
      <c r="H1789">
        <v>168</v>
      </c>
      <c r="I1789">
        <v>39</v>
      </c>
      <c r="J1789">
        <v>372</v>
      </c>
      <c r="K1789" s="1" t="s">
        <v>137</v>
      </c>
      <c r="L1789" s="1" t="s">
        <v>18</v>
      </c>
      <c r="M1789" s="1" t="s">
        <v>3772</v>
      </c>
      <c r="N1789" s="1" t="s">
        <v>3789</v>
      </c>
    </row>
    <row r="1790" spans="1:14" x14ac:dyDescent="0.35">
      <c r="A1790">
        <v>6171124</v>
      </c>
      <c r="B1790" s="1" t="s">
        <v>3748</v>
      </c>
      <c r="C1790">
        <v>5835</v>
      </c>
      <c r="D1790">
        <v>40</v>
      </c>
      <c r="E1790" s="1" t="s">
        <v>3790</v>
      </c>
      <c r="F1790" s="1" t="s">
        <v>15</v>
      </c>
      <c r="G1790" s="1" t="s">
        <v>32</v>
      </c>
      <c r="H1790">
        <v>105</v>
      </c>
      <c r="I1790">
        <v>35</v>
      </c>
      <c r="J1790">
        <v>281</v>
      </c>
      <c r="K1790" s="1" t="s">
        <v>23</v>
      </c>
      <c r="L1790" s="1" t="s">
        <v>24</v>
      </c>
      <c r="M1790" s="1" t="s">
        <v>3772</v>
      </c>
      <c r="N1790" s="1" t="s">
        <v>3791</v>
      </c>
    </row>
    <row r="1791" spans="1:14" x14ac:dyDescent="0.35">
      <c r="A1791">
        <v>6171140</v>
      </c>
      <c r="B1791" s="1" t="s">
        <v>3748</v>
      </c>
      <c r="C1791">
        <v>5835</v>
      </c>
      <c r="D1791">
        <v>40</v>
      </c>
      <c r="E1791" s="1" t="s">
        <v>3792</v>
      </c>
      <c r="F1791" s="1" t="s">
        <v>15</v>
      </c>
      <c r="G1791" s="1" t="s">
        <v>22</v>
      </c>
      <c r="H1791">
        <v>77</v>
      </c>
      <c r="I1791">
        <v>53</v>
      </c>
      <c r="J1791">
        <v>173</v>
      </c>
      <c r="K1791" s="1" t="s">
        <v>23</v>
      </c>
      <c r="L1791" s="1" t="s">
        <v>24</v>
      </c>
      <c r="M1791" s="1" t="s">
        <v>3772</v>
      </c>
      <c r="N1791" s="1" t="s">
        <v>3793</v>
      </c>
    </row>
    <row r="1792" spans="1:14" x14ac:dyDescent="0.35">
      <c r="A1792">
        <v>6171155</v>
      </c>
      <c r="B1792" s="1" t="s">
        <v>3748</v>
      </c>
      <c r="C1792">
        <v>5835</v>
      </c>
      <c r="D1792">
        <v>40</v>
      </c>
      <c r="E1792" s="1" t="s">
        <v>3794</v>
      </c>
      <c r="F1792" s="1" t="s">
        <v>15</v>
      </c>
      <c r="G1792" s="1" t="s">
        <v>22</v>
      </c>
      <c r="H1792">
        <v>97</v>
      </c>
      <c r="I1792">
        <v>29</v>
      </c>
      <c r="K1792" s="1" t="s">
        <v>90</v>
      </c>
      <c r="L1792" s="1" t="s">
        <v>24</v>
      </c>
      <c r="M1792" s="1" t="s">
        <v>3772</v>
      </c>
      <c r="N1792" s="1" t="s">
        <v>3795</v>
      </c>
    </row>
    <row r="1793" spans="1:14" x14ac:dyDescent="0.35">
      <c r="A1793">
        <v>6171078</v>
      </c>
      <c r="B1793" s="1" t="s">
        <v>3748</v>
      </c>
      <c r="C1793">
        <v>5835</v>
      </c>
      <c r="D1793">
        <v>40</v>
      </c>
      <c r="E1793" s="1" t="s">
        <v>3796</v>
      </c>
      <c r="F1793" s="1" t="s">
        <v>15</v>
      </c>
      <c r="G1793" s="1" t="s">
        <v>22</v>
      </c>
      <c r="H1793">
        <v>57</v>
      </c>
      <c r="I1793">
        <v>23</v>
      </c>
      <c r="J1793">
        <v>154</v>
      </c>
      <c r="K1793" s="1" t="s">
        <v>23</v>
      </c>
      <c r="L1793" s="1" t="s">
        <v>24</v>
      </c>
      <c r="M1793" s="1" t="s">
        <v>3772</v>
      </c>
      <c r="N1793" s="1" t="s">
        <v>3797</v>
      </c>
    </row>
    <row r="1794" spans="1:14" x14ac:dyDescent="0.35">
      <c r="A1794">
        <v>6171156</v>
      </c>
      <c r="B1794" s="1" t="s">
        <v>3748</v>
      </c>
      <c r="C1794">
        <v>5835</v>
      </c>
      <c r="D1794">
        <v>40</v>
      </c>
      <c r="E1794" s="1" t="s">
        <v>3798</v>
      </c>
      <c r="F1794" s="1" t="s">
        <v>15</v>
      </c>
      <c r="G1794" s="1" t="s">
        <v>22</v>
      </c>
      <c r="H1794">
        <v>50</v>
      </c>
      <c r="I1794">
        <v>16</v>
      </c>
      <c r="K1794" s="1" t="s">
        <v>137</v>
      </c>
      <c r="L1794" s="1" t="s">
        <v>24</v>
      </c>
      <c r="M1794" s="1" t="s">
        <v>3772</v>
      </c>
      <c r="N1794" s="1" t="s">
        <v>3799</v>
      </c>
    </row>
    <row r="1795" spans="1:14" x14ac:dyDescent="0.35">
      <c r="A1795">
        <v>6172002</v>
      </c>
      <c r="B1795" s="1" t="s">
        <v>3748</v>
      </c>
      <c r="C1795">
        <v>5835</v>
      </c>
      <c r="D1795">
        <v>40</v>
      </c>
      <c r="E1795" s="1" t="s">
        <v>3800</v>
      </c>
      <c r="F1795" s="1" t="s">
        <v>71</v>
      </c>
      <c r="G1795" s="1" t="s">
        <v>32</v>
      </c>
      <c r="H1795">
        <v>29</v>
      </c>
      <c r="I1795">
        <v>9</v>
      </c>
      <c r="J1795">
        <v>55</v>
      </c>
      <c r="K1795" s="1" t="s">
        <v>23</v>
      </c>
      <c r="L1795" s="1" t="s">
        <v>24</v>
      </c>
      <c r="M1795" s="1" t="s">
        <v>3801</v>
      </c>
      <c r="N1795" s="1" t="s">
        <v>3802</v>
      </c>
    </row>
    <row r="1796" spans="1:14" x14ac:dyDescent="0.35">
      <c r="A1796">
        <v>6172066</v>
      </c>
      <c r="B1796" s="1" t="s">
        <v>3748</v>
      </c>
      <c r="C1796">
        <v>5835</v>
      </c>
      <c r="D1796">
        <v>40</v>
      </c>
      <c r="E1796" s="1" t="s">
        <v>3803</v>
      </c>
      <c r="F1796" s="1" t="s">
        <v>129</v>
      </c>
      <c r="G1796" s="1" t="s">
        <v>16</v>
      </c>
      <c r="H1796">
        <v>700</v>
      </c>
      <c r="I1796">
        <v>24</v>
      </c>
      <c r="J1796">
        <v>379</v>
      </c>
      <c r="K1796" s="1" t="s">
        <v>124</v>
      </c>
      <c r="L1796" s="1" t="s">
        <v>18</v>
      </c>
      <c r="M1796" s="1" t="s">
        <v>3801</v>
      </c>
      <c r="N1796" s="1" t="s">
        <v>3804</v>
      </c>
    </row>
    <row r="1797" spans="1:14" x14ac:dyDescent="0.35">
      <c r="A1797">
        <v>6172011</v>
      </c>
      <c r="B1797" s="1" t="s">
        <v>3748</v>
      </c>
      <c r="C1797">
        <v>5835</v>
      </c>
      <c r="D1797">
        <v>40</v>
      </c>
      <c r="E1797" s="1" t="s">
        <v>3805</v>
      </c>
      <c r="F1797" s="1" t="s">
        <v>15</v>
      </c>
      <c r="G1797" s="1" t="s">
        <v>16</v>
      </c>
      <c r="H1797">
        <v>236</v>
      </c>
      <c r="I1797">
        <v>53</v>
      </c>
      <c r="J1797">
        <v>657</v>
      </c>
      <c r="K1797" s="1" t="s">
        <v>137</v>
      </c>
      <c r="L1797" s="1" t="s">
        <v>18</v>
      </c>
      <c r="M1797" s="1" t="s">
        <v>3801</v>
      </c>
      <c r="N1797" s="1" t="s">
        <v>3806</v>
      </c>
    </row>
    <row r="1798" spans="1:14" x14ac:dyDescent="0.35">
      <c r="A1798">
        <v>6172113</v>
      </c>
      <c r="B1798" s="1" t="s">
        <v>3748</v>
      </c>
      <c r="C1798">
        <v>5835</v>
      </c>
      <c r="D1798">
        <v>40</v>
      </c>
      <c r="E1798" s="1" t="s">
        <v>3807</v>
      </c>
      <c r="F1798" s="1" t="s">
        <v>15</v>
      </c>
      <c r="G1798" s="1" t="s">
        <v>32</v>
      </c>
      <c r="H1798">
        <v>194</v>
      </c>
      <c r="I1798">
        <v>32</v>
      </c>
      <c r="J1798">
        <v>416</v>
      </c>
      <c r="K1798" s="1" t="s">
        <v>572</v>
      </c>
      <c r="L1798" s="1" t="s">
        <v>24</v>
      </c>
      <c r="M1798" s="1" t="s">
        <v>3801</v>
      </c>
      <c r="N1798" s="1" t="s">
        <v>3808</v>
      </c>
    </row>
    <row r="1799" spans="1:14" x14ac:dyDescent="0.35">
      <c r="A1799">
        <v>6172124</v>
      </c>
      <c r="B1799" s="1" t="s">
        <v>3748</v>
      </c>
      <c r="C1799">
        <v>5835</v>
      </c>
      <c r="D1799">
        <v>40</v>
      </c>
      <c r="E1799" s="1" t="s">
        <v>3809</v>
      </c>
      <c r="F1799" s="1" t="s">
        <v>15</v>
      </c>
      <c r="G1799" s="1" t="s">
        <v>32</v>
      </c>
      <c r="H1799">
        <v>170</v>
      </c>
      <c r="I1799">
        <v>35</v>
      </c>
      <c r="J1799">
        <v>399</v>
      </c>
      <c r="K1799" s="1" t="s">
        <v>90</v>
      </c>
      <c r="L1799" s="1" t="s">
        <v>24</v>
      </c>
      <c r="M1799" s="1" t="s">
        <v>3801</v>
      </c>
      <c r="N1799" s="1" t="s">
        <v>3810</v>
      </c>
    </row>
    <row r="1800" spans="1:14" x14ac:dyDescent="0.35">
      <c r="A1800">
        <v>6172044</v>
      </c>
      <c r="B1800" s="1" t="s">
        <v>3748</v>
      </c>
      <c r="C1800">
        <v>5835</v>
      </c>
      <c r="D1800">
        <v>40</v>
      </c>
      <c r="E1800" s="1" t="s">
        <v>3811</v>
      </c>
      <c r="F1800" s="1" t="s">
        <v>15</v>
      </c>
      <c r="G1800" s="1" t="s">
        <v>22</v>
      </c>
      <c r="H1800">
        <v>72</v>
      </c>
      <c r="I1800">
        <v>29</v>
      </c>
      <c r="J1800">
        <v>142</v>
      </c>
      <c r="K1800" s="1" t="s">
        <v>27</v>
      </c>
      <c r="L1800" s="1" t="s">
        <v>24</v>
      </c>
      <c r="M1800" s="1" t="s">
        <v>3801</v>
      </c>
      <c r="N1800" s="1" t="s">
        <v>3812</v>
      </c>
    </row>
    <row r="1801" spans="1:14" x14ac:dyDescent="0.35">
      <c r="A1801">
        <v>6172135</v>
      </c>
      <c r="B1801" s="1" t="s">
        <v>3748</v>
      </c>
      <c r="C1801">
        <v>5835</v>
      </c>
      <c r="D1801">
        <v>40</v>
      </c>
      <c r="E1801" s="1" t="s">
        <v>3813</v>
      </c>
      <c r="F1801" s="1" t="s">
        <v>15</v>
      </c>
      <c r="G1801" s="1" t="s">
        <v>22</v>
      </c>
      <c r="H1801">
        <v>88</v>
      </c>
      <c r="I1801">
        <v>20</v>
      </c>
      <c r="K1801" s="1" t="s">
        <v>23</v>
      </c>
      <c r="L1801" s="1" t="s">
        <v>24</v>
      </c>
      <c r="M1801" s="1" t="s">
        <v>3801</v>
      </c>
      <c r="N1801" s="1" t="s">
        <v>3814</v>
      </c>
    </row>
    <row r="1802" spans="1:14" x14ac:dyDescent="0.35">
      <c r="A1802">
        <v>6112002</v>
      </c>
      <c r="B1802" s="1" t="s">
        <v>3748</v>
      </c>
      <c r="C1802">
        <v>5835</v>
      </c>
      <c r="D1802">
        <v>40</v>
      </c>
      <c r="E1802" s="1" t="s">
        <v>3815</v>
      </c>
      <c r="F1802" s="1" t="s">
        <v>71</v>
      </c>
      <c r="G1802" s="1" t="s">
        <v>32</v>
      </c>
      <c r="H1802">
        <v>50</v>
      </c>
      <c r="I1802">
        <v>24</v>
      </c>
      <c r="J1802">
        <v>116</v>
      </c>
      <c r="K1802" s="1" t="s">
        <v>90</v>
      </c>
      <c r="L1802" s="1" t="s">
        <v>24</v>
      </c>
      <c r="M1802" s="1" t="s">
        <v>3816</v>
      </c>
      <c r="N1802" s="1" t="s">
        <v>3817</v>
      </c>
    </row>
    <row r="1803" spans="1:14" x14ac:dyDescent="0.35">
      <c r="A1803">
        <v>6112135</v>
      </c>
      <c r="B1803" s="1" t="s">
        <v>3748</v>
      </c>
      <c r="C1803">
        <v>5835</v>
      </c>
      <c r="D1803">
        <v>40</v>
      </c>
      <c r="E1803" s="1" t="s">
        <v>3818</v>
      </c>
      <c r="F1803" s="1" t="s">
        <v>15</v>
      </c>
      <c r="G1803" s="1" t="s">
        <v>32</v>
      </c>
      <c r="H1803">
        <v>64</v>
      </c>
      <c r="I1803">
        <v>27</v>
      </c>
      <c r="J1803">
        <v>94</v>
      </c>
      <c r="K1803" s="1" t="s">
        <v>974</v>
      </c>
      <c r="L1803" s="1" t="s">
        <v>24</v>
      </c>
      <c r="M1803" s="1" t="s">
        <v>3816</v>
      </c>
      <c r="N1803" s="1" t="s">
        <v>3819</v>
      </c>
    </row>
    <row r="1804" spans="1:14" x14ac:dyDescent="0.35">
      <c r="A1804">
        <v>6171022</v>
      </c>
      <c r="B1804" s="1" t="s">
        <v>3748</v>
      </c>
      <c r="C1804">
        <v>5835</v>
      </c>
      <c r="D1804">
        <v>40</v>
      </c>
      <c r="E1804" s="1" t="s">
        <v>3820</v>
      </c>
      <c r="F1804" s="1" t="s">
        <v>15</v>
      </c>
      <c r="G1804" s="1" t="s">
        <v>32</v>
      </c>
      <c r="H1804">
        <v>175</v>
      </c>
      <c r="I1804">
        <v>31</v>
      </c>
      <c r="J1804">
        <v>19</v>
      </c>
      <c r="K1804" s="1" t="s">
        <v>27</v>
      </c>
      <c r="L1804" s="1" t="s">
        <v>120</v>
      </c>
      <c r="M1804" s="1" t="s">
        <v>3816</v>
      </c>
      <c r="N1804" s="1" t="s">
        <v>3821</v>
      </c>
    </row>
    <row r="1805" spans="1:14" x14ac:dyDescent="0.35">
      <c r="A1805">
        <v>6112003</v>
      </c>
      <c r="B1805" s="1" t="s">
        <v>3748</v>
      </c>
      <c r="C1805">
        <v>5835</v>
      </c>
      <c r="D1805">
        <v>40</v>
      </c>
      <c r="E1805" s="1" t="s">
        <v>3822</v>
      </c>
      <c r="F1805" s="1" t="s">
        <v>15</v>
      </c>
      <c r="G1805" s="1" t="s">
        <v>22</v>
      </c>
      <c r="H1805">
        <v>50</v>
      </c>
      <c r="I1805">
        <v>27</v>
      </c>
      <c r="J1805">
        <v>126</v>
      </c>
      <c r="K1805" s="1" t="s">
        <v>17</v>
      </c>
      <c r="L1805" s="1" t="s">
        <v>18</v>
      </c>
      <c r="M1805" s="1" t="s">
        <v>3816</v>
      </c>
      <c r="N1805" s="1" t="s">
        <v>3823</v>
      </c>
    </row>
    <row r="1806" spans="1:14" x14ac:dyDescent="0.35">
      <c r="A1806">
        <v>6103013</v>
      </c>
      <c r="B1806" s="1" t="s">
        <v>3748</v>
      </c>
      <c r="C1806">
        <v>5835</v>
      </c>
      <c r="D1806">
        <v>40</v>
      </c>
      <c r="E1806" s="1" t="s">
        <v>3824</v>
      </c>
      <c r="F1806" s="1" t="s">
        <v>15</v>
      </c>
      <c r="G1806" s="1" t="s">
        <v>32</v>
      </c>
      <c r="H1806">
        <v>116</v>
      </c>
      <c r="I1806">
        <v>30</v>
      </c>
      <c r="J1806">
        <v>277</v>
      </c>
      <c r="K1806" s="1" t="s">
        <v>17</v>
      </c>
      <c r="L1806" s="1" t="s">
        <v>18</v>
      </c>
      <c r="M1806" s="1" t="s">
        <v>3825</v>
      </c>
      <c r="N1806" s="1" t="s">
        <v>3826</v>
      </c>
    </row>
    <row r="1807" spans="1:14" x14ac:dyDescent="0.35">
      <c r="A1807">
        <v>6103024</v>
      </c>
      <c r="B1807" s="1" t="s">
        <v>3748</v>
      </c>
      <c r="C1807">
        <v>5835</v>
      </c>
      <c r="D1807">
        <v>40</v>
      </c>
      <c r="E1807" s="1" t="s">
        <v>3827</v>
      </c>
      <c r="F1807" s="1" t="s">
        <v>15</v>
      </c>
      <c r="G1807" s="1" t="s">
        <v>52</v>
      </c>
      <c r="H1807">
        <v>63</v>
      </c>
      <c r="I1807">
        <v>14</v>
      </c>
      <c r="K1807" s="1" t="s">
        <v>17</v>
      </c>
      <c r="L1807" s="1" t="s">
        <v>24</v>
      </c>
      <c r="M1807" s="1" t="s">
        <v>3825</v>
      </c>
      <c r="N1807" s="1" t="s">
        <v>3828</v>
      </c>
    </row>
    <row r="1808" spans="1:14" x14ac:dyDescent="0.35">
      <c r="A1808">
        <v>6110012</v>
      </c>
      <c r="B1808" s="1" t="s">
        <v>3748</v>
      </c>
      <c r="C1808">
        <v>5835</v>
      </c>
      <c r="D1808">
        <v>40</v>
      </c>
      <c r="E1808" s="1" t="s">
        <v>3829</v>
      </c>
      <c r="F1808" s="1" t="s">
        <v>15</v>
      </c>
      <c r="G1808" s="1" t="s">
        <v>32</v>
      </c>
      <c r="H1808">
        <v>100</v>
      </c>
      <c r="I1808">
        <v>25</v>
      </c>
      <c r="J1808">
        <v>305</v>
      </c>
      <c r="K1808" s="1" t="s">
        <v>17</v>
      </c>
      <c r="L1808" s="1" t="s">
        <v>18</v>
      </c>
      <c r="M1808" s="1" t="s">
        <v>3830</v>
      </c>
      <c r="N1808" s="1" t="s">
        <v>3831</v>
      </c>
    </row>
    <row r="1809" spans="1:14" x14ac:dyDescent="0.35">
      <c r="A1809">
        <v>6110016</v>
      </c>
      <c r="B1809" s="1" t="s">
        <v>3748</v>
      </c>
      <c r="C1809">
        <v>5835</v>
      </c>
      <c r="D1809">
        <v>40</v>
      </c>
      <c r="E1809" s="1" t="s">
        <v>3832</v>
      </c>
      <c r="F1809" s="1" t="s">
        <v>15</v>
      </c>
      <c r="G1809" s="1" t="s">
        <v>22</v>
      </c>
      <c r="H1809">
        <v>50</v>
      </c>
      <c r="I1809">
        <v>17</v>
      </c>
      <c r="J1809">
        <v>7</v>
      </c>
      <c r="K1809" s="1" t="s">
        <v>17</v>
      </c>
      <c r="L1809" s="1" t="s">
        <v>18</v>
      </c>
      <c r="M1809" s="1" t="s">
        <v>3830</v>
      </c>
      <c r="N1809" s="1" t="s">
        <v>3833</v>
      </c>
    </row>
    <row r="1810" spans="1:14" x14ac:dyDescent="0.35">
      <c r="A1810">
        <v>6110013</v>
      </c>
      <c r="B1810" s="1" t="s">
        <v>3748</v>
      </c>
      <c r="C1810">
        <v>5835</v>
      </c>
      <c r="D1810">
        <v>40</v>
      </c>
      <c r="E1810" s="1" t="s">
        <v>3834</v>
      </c>
      <c r="F1810" s="1" t="s">
        <v>15</v>
      </c>
      <c r="G1810" s="1" t="s">
        <v>22</v>
      </c>
      <c r="H1810">
        <v>70</v>
      </c>
      <c r="I1810">
        <v>23</v>
      </c>
      <c r="J1810">
        <v>58</v>
      </c>
      <c r="K1810" s="1" t="s">
        <v>90</v>
      </c>
      <c r="L1810" s="1" t="s">
        <v>24</v>
      </c>
      <c r="M1810" s="1" t="s">
        <v>3830</v>
      </c>
      <c r="N1810" s="1" t="s">
        <v>3835</v>
      </c>
    </row>
    <row r="1811" spans="1:14" x14ac:dyDescent="0.35">
      <c r="A1811">
        <v>6110015</v>
      </c>
      <c r="B1811" s="1" t="s">
        <v>3748</v>
      </c>
      <c r="C1811">
        <v>5835</v>
      </c>
      <c r="D1811">
        <v>40</v>
      </c>
      <c r="E1811" s="1" t="s">
        <v>3836</v>
      </c>
      <c r="F1811" s="1" t="s">
        <v>15</v>
      </c>
      <c r="G1811" s="1" t="s">
        <v>22</v>
      </c>
      <c r="H1811">
        <v>56</v>
      </c>
      <c r="I1811">
        <v>33</v>
      </c>
      <c r="J1811">
        <v>75</v>
      </c>
      <c r="K1811" s="1" t="s">
        <v>90</v>
      </c>
      <c r="L1811" s="1" t="s">
        <v>24</v>
      </c>
      <c r="M1811" s="1" t="s">
        <v>3830</v>
      </c>
      <c r="N1811" s="1" t="s">
        <v>3837</v>
      </c>
    </row>
    <row r="1812" spans="1:14" x14ac:dyDescent="0.35">
      <c r="A1812">
        <v>6104014</v>
      </c>
      <c r="B1812" s="1" t="s">
        <v>3748</v>
      </c>
      <c r="C1812">
        <v>5835</v>
      </c>
      <c r="D1812">
        <v>40</v>
      </c>
      <c r="E1812" s="1" t="s">
        <v>3838</v>
      </c>
      <c r="F1812" s="1" t="s">
        <v>15</v>
      </c>
      <c r="G1812" s="1" t="s">
        <v>32</v>
      </c>
      <c r="H1812">
        <v>168</v>
      </c>
      <c r="I1812">
        <v>72</v>
      </c>
      <c r="J1812">
        <v>325</v>
      </c>
      <c r="K1812" s="1" t="s">
        <v>17</v>
      </c>
      <c r="L1812" s="1" t="s">
        <v>18</v>
      </c>
      <c r="M1812" s="1" t="s">
        <v>3839</v>
      </c>
      <c r="N1812" s="1" t="s">
        <v>3840</v>
      </c>
    </row>
    <row r="1813" spans="1:14" x14ac:dyDescent="0.35">
      <c r="A1813">
        <v>6101033</v>
      </c>
      <c r="B1813" s="1" t="s">
        <v>3748</v>
      </c>
      <c r="C1813">
        <v>5835</v>
      </c>
      <c r="D1813">
        <v>40</v>
      </c>
      <c r="E1813" s="1" t="s">
        <v>3841</v>
      </c>
      <c r="F1813" s="1" t="s">
        <v>15</v>
      </c>
      <c r="G1813" s="1" t="s">
        <v>32</v>
      </c>
      <c r="H1813">
        <v>195</v>
      </c>
      <c r="I1813">
        <v>58</v>
      </c>
      <c r="J1813">
        <v>387</v>
      </c>
      <c r="K1813" s="1" t="s">
        <v>17</v>
      </c>
      <c r="L1813" s="1" t="s">
        <v>18</v>
      </c>
      <c r="M1813" s="1" t="s">
        <v>3842</v>
      </c>
      <c r="N1813" s="1" t="s">
        <v>3843</v>
      </c>
    </row>
    <row r="1814" spans="1:14" x14ac:dyDescent="0.35">
      <c r="A1814">
        <v>6101022</v>
      </c>
      <c r="B1814" s="1" t="s">
        <v>3748</v>
      </c>
      <c r="C1814">
        <v>5835</v>
      </c>
      <c r="D1814">
        <v>40</v>
      </c>
      <c r="E1814" s="1" t="s">
        <v>3844</v>
      </c>
      <c r="F1814" s="1" t="s">
        <v>15</v>
      </c>
      <c r="G1814" s="1" t="s">
        <v>32</v>
      </c>
      <c r="H1814">
        <v>182</v>
      </c>
      <c r="I1814">
        <v>42</v>
      </c>
      <c r="J1814">
        <v>188</v>
      </c>
      <c r="K1814" s="1" t="s">
        <v>17</v>
      </c>
      <c r="L1814" s="1" t="s">
        <v>18</v>
      </c>
      <c r="M1814" s="1" t="s">
        <v>3842</v>
      </c>
      <c r="N1814" s="1" t="s">
        <v>3845</v>
      </c>
    </row>
    <row r="1815" spans="1:14" x14ac:dyDescent="0.35">
      <c r="A1815">
        <v>6101135</v>
      </c>
      <c r="B1815" s="1" t="s">
        <v>3748</v>
      </c>
      <c r="C1815">
        <v>5835</v>
      </c>
      <c r="D1815">
        <v>40</v>
      </c>
      <c r="E1815" s="1" t="s">
        <v>3846</v>
      </c>
      <c r="F1815" s="1" t="s">
        <v>15</v>
      </c>
      <c r="G1815" s="1" t="s">
        <v>22</v>
      </c>
      <c r="H1815">
        <v>58</v>
      </c>
      <c r="I1815">
        <v>17</v>
      </c>
      <c r="J1815">
        <v>70</v>
      </c>
      <c r="K1815" s="1" t="s">
        <v>572</v>
      </c>
      <c r="L1815" s="1" t="s">
        <v>24</v>
      </c>
      <c r="M1815" s="1" t="s">
        <v>3842</v>
      </c>
      <c r="N1815" s="1" t="s">
        <v>3847</v>
      </c>
    </row>
    <row r="1816" spans="1:14" x14ac:dyDescent="0.35">
      <c r="A1816">
        <v>6101137</v>
      </c>
      <c r="B1816" s="1" t="s">
        <v>3748</v>
      </c>
      <c r="C1816">
        <v>5835</v>
      </c>
      <c r="D1816">
        <v>40</v>
      </c>
      <c r="E1816" s="1" t="s">
        <v>3848</v>
      </c>
      <c r="F1816" s="1" t="s">
        <v>15</v>
      </c>
      <c r="G1816" s="1" t="s">
        <v>22</v>
      </c>
      <c r="H1816">
        <v>32</v>
      </c>
      <c r="I1816">
        <v>18</v>
      </c>
      <c r="J1816">
        <v>91</v>
      </c>
      <c r="K1816" s="1" t="s">
        <v>17</v>
      </c>
      <c r="L1816" s="1" t="s">
        <v>24</v>
      </c>
      <c r="M1816" s="1" t="s">
        <v>3842</v>
      </c>
      <c r="N1816" s="1" t="s">
        <v>3849</v>
      </c>
    </row>
    <row r="1817" spans="1:14" x14ac:dyDescent="0.35">
      <c r="A1817">
        <v>6105026</v>
      </c>
      <c r="B1817" s="1" t="s">
        <v>3748</v>
      </c>
      <c r="C1817">
        <v>5835</v>
      </c>
      <c r="D1817">
        <v>40</v>
      </c>
      <c r="E1817" s="1" t="s">
        <v>3850</v>
      </c>
      <c r="F1817" s="1" t="s">
        <v>15</v>
      </c>
      <c r="G1817" s="1" t="s">
        <v>32</v>
      </c>
      <c r="H1817">
        <v>100</v>
      </c>
      <c r="I1817">
        <v>24</v>
      </c>
      <c r="J1817">
        <v>109</v>
      </c>
      <c r="K1817" s="1" t="s">
        <v>90</v>
      </c>
      <c r="L1817" s="1" t="s">
        <v>24</v>
      </c>
      <c r="M1817" s="1" t="s">
        <v>3851</v>
      </c>
      <c r="N1817" s="1" t="s">
        <v>3852</v>
      </c>
    </row>
    <row r="1818" spans="1:14" x14ac:dyDescent="0.35">
      <c r="A1818">
        <v>6105015</v>
      </c>
      <c r="B1818" s="1" t="s">
        <v>3748</v>
      </c>
      <c r="C1818">
        <v>5835</v>
      </c>
      <c r="D1818">
        <v>40</v>
      </c>
      <c r="E1818" s="1" t="s">
        <v>3853</v>
      </c>
      <c r="F1818" s="1" t="s">
        <v>15</v>
      </c>
      <c r="G1818" s="1" t="s">
        <v>32</v>
      </c>
      <c r="H1818">
        <v>170</v>
      </c>
      <c r="I1818">
        <v>30</v>
      </c>
      <c r="J1818">
        <v>716</v>
      </c>
      <c r="K1818" s="1" t="s">
        <v>17</v>
      </c>
      <c r="L1818" s="1" t="s">
        <v>18</v>
      </c>
      <c r="M1818" s="1" t="s">
        <v>3851</v>
      </c>
      <c r="N1818" s="1" t="s">
        <v>3854</v>
      </c>
    </row>
    <row r="1819" spans="1:14" x14ac:dyDescent="0.35">
      <c r="A1819">
        <v>6105028</v>
      </c>
      <c r="B1819" s="1" t="s">
        <v>3748</v>
      </c>
      <c r="C1819">
        <v>5835</v>
      </c>
      <c r="D1819">
        <v>40</v>
      </c>
      <c r="E1819" s="1" t="s">
        <v>3855</v>
      </c>
      <c r="F1819" s="1" t="s">
        <v>15</v>
      </c>
      <c r="G1819" s="1" t="s">
        <v>22</v>
      </c>
      <c r="H1819">
        <v>53</v>
      </c>
      <c r="I1819">
        <v>21</v>
      </c>
      <c r="J1819">
        <v>111</v>
      </c>
      <c r="K1819" s="1" t="s">
        <v>90</v>
      </c>
      <c r="L1819" s="1" t="s">
        <v>24</v>
      </c>
      <c r="M1819" s="1" t="s">
        <v>3851</v>
      </c>
      <c r="N1819" s="1" t="s">
        <v>3856</v>
      </c>
    </row>
    <row r="1820" spans="1:14" x14ac:dyDescent="0.35">
      <c r="A1820">
        <v>6105031</v>
      </c>
      <c r="B1820" s="1" t="s">
        <v>3748</v>
      </c>
      <c r="C1820">
        <v>5835</v>
      </c>
      <c r="D1820">
        <v>40</v>
      </c>
      <c r="E1820" s="1" t="s">
        <v>3857</v>
      </c>
      <c r="F1820" s="1" t="s">
        <v>15</v>
      </c>
      <c r="G1820" s="1" t="s">
        <v>22</v>
      </c>
      <c r="H1820">
        <v>54</v>
      </c>
      <c r="I1820">
        <v>13</v>
      </c>
      <c r="J1820">
        <v>80</v>
      </c>
      <c r="K1820" s="1" t="s">
        <v>17</v>
      </c>
      <c r="L1820" s="1" t="s">
        <v>24</v>
      </c>
      <c r="M1820" s="1" t="s">
        <v>3851</v>
      </c>
      <c r="N1820" s="1" t="s">
        <v>3858</v>
      </c>
    </row>
    <row r="1821" spans="1:14" x14ac:dyDescent="0.35">
      <c r="A1821">
        <v>6109012</v>
      </c>
      <c r="B1821" s="1" t="s">
        <v>3748</v>
      </c>
      <c r="C1821">
        <v>5835</v>
      </c>
      <c r="D1821">
        <v>40</v>
      </c>
      <c r="E1821" s="1" t="s">
        <v>3859</v>
      </c>
      <c r="F1821" s="1" t="s">
        <v>15</v>
      </c>
      <c r="G1821" s="1" t="s">
        <v>32</v>
      </c>
      <c r="H1821">
        <v>104</v>
      </c>
      <c r="I1821">
        <v>26</v>
      </c>
      <c r="J1821">
        <v>343</v>
      </c>
      <c r="K1821" s="1" t="s">
        <v>17</v>
      </c>
      <c r="L1821" s="1" t="s">
        <v>18</v>
      </c>
      <c r="M1821" s="1" t="s">
        <v>3860</v>
      </c>
      <c r="N1821" s="1" t="s">
        <v>3861</v>
      </c>
    </row>
    <row r="1822" spans="1:14" x14ac:dyDescent="0.35">
      <c r="A1822">
        <v>6109023</v>
      </c>
      <c r="B1822" s="1" t="s">
        <v>3748</v>
      </c>
      <c r="C1822">
        <v>5835</v>
      </c>
      <c r="D1822">
        <v>40</v>
      </c>
      <c r="E1822" s="1" t="s">
        <v>3862</v>
      </c>
      <c r="F1822" s="1" t="s">
        <v>15</v>
      </c>
      <c r="G1822" s="1" t="s">
        <v>52</v>
      </c>
      <c r="H1822">
        <v>36</v>
      </c>
      <c r="I1822">
        <v>15</v>
      </c>
      <c r="K1822" s="1" t="s">
        <v>17</v>
      </c>
      <c r="L1822" s="1" t="s">
        <v>24</v>
      </c>
      <c r="M1822" s="1" t="s">
        <v>3860</v>
      </c>
      <c r="N1822" s="1" t="s">
        <v>3863</v>
      </c>
    </row>
    <row r="1823" spans="1:14" x14ac:dyDescent="0.35">
      <c r="A1823">
        <v>6107024</v>
      </c>
      <c r="B1823" s="1" t="s">
        <v>3748</v>
      </c>
      <c r="C1823">
        <v>5835</v>
      </c>
      <c r="D1823">
        <v>40</v>
      </c>
      <c r="E1823" s="1" t="s">
        <v>3864</v>
      </c>
      <c r="F1823" s="1" t="s">
        <v>71</v>
      </c>
      <c r="G1823" s="1" t="s">
        <v>32</v>
      </c>
      <c r="H1823">
        <v>27</v>
      </c>
      <c r="I1823">
        <v>28</v>
      </c>
      <c r="J1823">
        <v>33</v>
      </c>
      <c r="K1823" s="1" t="s">
        <v>90</v>
      </c>
      <c r="L1823" s="1" t="s">
        <v>24</v>
      </c>
      <c r="M1823" s="1" t="s">
        <v>3865</v>
      </c>
      <c r="N1823" s="1" t="s">
        <v>3866</v>
      </c>
    </row>
    <row r="1824" spans="1:14" x14ac:dyDescent="0.35">
      <c r="A1824">
        <v>6107038</v>
      </c>
      <c r="B1824" s="1" t="s">
        <v>3748</v>
      </c>
      <c r="C1824">
        <v>5835</v>
      </c>
      <c r="D1824">
        <v>40</v>
      </c>
      <c r="E1824" s="1" t="s">
        <v>3867</v>
      </c>
      <c r="F1824" s="1" t="s">
        <v>129</v>
      </c>
      <c r="G1824" s="1" t="s">
        <v>32</v>
      </c>
      <c r="H1824">
        <v>36</v>
      </c>
      <c r="I1824">
        <v>25</v>
      </c>
      <c r="K1824" s="1" t="s">
        <v>17</v>
      </c>
      <c r="L1824" s="1" t="s">
        <v>24</v>
      </c>
      <c r="M1824" s="1" t="s">
        <v>3865</v>
      </c>
      <c r="N1824" s="1" t="s">
        <v>3868</v>
      </c>
    </row>
    <row r="1825" spans="1:14" x14ac:dyDescent="0.35">
      <c r="A1825">
        <v>6107010</v>
      </c>
      <c r="B1825" s="1" t="s">
        <v>3748</v>
      </c>
      <c r="C1825">
        <v>5835</v>
      </c>
      <c r="D1825">
        <v>40</v>
      </c>
      <c r="E1825" s="1" t="s">
        <v>3869</v>
      </c>
      <c r="F1825" s="1" t="s">
        <v>15</v>
      </c>
      <c r="G1825" s="1" t="s">
        <v>16</v>
      </c>
      <c r="H1825">
        <v>204</v>
      </c>
      <c r="I1825">
        <v>140</v>
      </c>
      <c r="J1825">
        <v>455</v>
      </c>
      <c r="K1825" s="1" t="s">
        <v>17</v>
      </c>
      <c r="L1825" s="1" t="s">
        <v>18</v>
      </c>
      <c r="M1825" s="1" t="s">
        <v>3865</v>
      </c>
      <c r="N1825" s="1" t="s">
        <v>3870</v>
      </c>
    </row>
    <row r="1826" spans="1:14" x14ac:dyDescent="0.35">
      <c r="A1826">
        <v>6107022</v>
      </c>
      <c r="B1826" s="1" t="s">
        <v>3748</v>
      </c>
      <c r="C1826">
        <v>5835</v>
      </c>
      <c r="D1826">
        <v>40</v>
      </c>
      <c r="E1826" s="1" t="s">
        <v>3871</v>
      </c>
      <c r="F1826" s="1" t="s">
        <v>15</v>
      </c>
      <c r="G1826" s="1" t="s">
        <v>22</v>
      </c>
      <c r="H1826">
        <v>98</v>
      </c>
      <c r="I1826">
        <v>31</v>
      </c>
      <c r="J1826">
        <v>30</v>
      </c>
      <c r="K1826" s="1" t="s">
        <v>27</v>
      </c>
      <c r="L1826" s="1" t="s">
        <v>24</v>
      </c>
      <c r="M1826" s="1" t="s">
        <v>3865</v>
      </c>
      <c r="N1826" s="1" t="s">
        <v>3872</v>
      </c>
    </row>
    <row r="1827" spans="1:14" x14ac:dyDescent="0.35">
      <c r="A1827">
        <v>6107027</v>
      </c>
      <c r="B1827" s="1" t="s">
        <v>3748</v>
      </c>
      <c r="C1827">
        <v>5835</v>
      </c>
      <c r="D1827">
        <v>40</v>
      </c>
      <c r="E1827" s="1" t="s">
        <v>3873</v>
      </c>
      <c r="F1827" s="1" t="s">
        <v>15</v>
      </c>
      <c r="G1827" s="1" t="s">
        <v>22</v>
      </c>
      <c r="H1827">
        <v>21</v>
      </c>
      <c r="I1827">
        <v>14</v>
      </c>
      <c r="J1827">
        <v>24</v>
      </c>
      <c r="K1827" s="1" t="s">
        <v>90</v>
      </c>
      <c r="L1827" s="1" t="s">
        <v>24</v>
      </c>
      <c r="M1827" s="1" t="s">
        <v>3865</v>
      </c>
      <c r="N1827" s="1" t="s">
        <v>3874</v>
      </c>
    </row>
    <row r="1828" spans="1:14" x14ac:dyDescent="0.35">
      <c r="A1828">
        <v>6107025</v>
      </c>
      <c r="B1828" s="1" t="s">
        <v>3748</v>
      </c>
      <c r="C1828">
        <v>5835</v>
      </c>
      <c r="D1828">
        <v>40</v>
      </c>
      <c r="E1828" s="1" t="s">
        <v>3875</v>
      </c>
      <c r="F1828" s="1" t="s">
        <v>15</v>
      </c>
      <c r="G1828" s="1" t="s">
        <v>22</v>
      </c>
      <c r="H1828">
        <v>52</v>
      </c>
      <c r="I1828">
        <v>34</v>
      </c>
      <c r="J1828">
        <v>31</v>
      </c>
      <c r="K1828" s="1" t="s">
        <v>90</v>
      </c>
      <c r="L1828" s="1" t="s">
        <v>24</v>
      </c>
      <c r="M1828" s="1" t="s">
        <v>3865</v>
      </c>
      <c r="N1828" s="1" t="s">
        <v>3876</v>
      </c>
    </row>
    <row r="1829" spans="1:14" x14ac:dyDescent="0.35">
      <c r="A1829">
        <v>6107026</v>
      </c>
      <c r="B1829" s="1" t="s">
        <v>3748</v>
      </c>
      <c r="C1829">
        <v>5835</v>
      </c>
      <c r="D1829">
        <v>40</v>
      </c>
      <c r="E1829" s="1" t="s">
        <v>3877</v>
      </c>
      <c r="F1829" s="1" t="s">
        <v>15</v>
      </c>
      <c r="G1829" s="1" t="s">
        <v>22</v>
      </c>
      <c r="H1829">
        <v>26</v>
      </c>
      <c r="I1829">
        <v>16</v>
      </c>
      <c r="J1829">
        <v>52</v>
      </c>
      <c r="K1829" s="1" t="s">
        <v>17</v>
      </c>
      <c r="L1829" s="1" t="s">
        <v>18</v>
      </c>
      <c r="M1829" s="1" t="s">
        <v>3865</v>
      </c>
      <c r="N1829" s="1" t="s">
        <v>3878</v>
      </c>
    </row>
    <row r="1830" spans="1:14" x14ac:dyDescent="0.35">
      <c r="A1830">
        <v>6311016</v>
      </c>
      <c r="B1830" s="1" t="s">
        <v>3879</v>
      </c>
      <c r="C1830">
        <v>4372.1000000000004</v>
      </c>
      <c r="D1830">
        <v>118</v>
      </c>
      <c r="E1830" s="1" t="s">
        <v>3880</v>
      </c>
      <c r="F1830" s="1" t="s">
        <v>15</v>
      </c>
      <c r="G1830" s="1" t="s">
        <v>32</v>
      </c>
      <c r="H1830">
        <v>122</v>
      </c>
      <c r="I1830">
        <v>31</v>
      </c>
      <c r="J1830">
        <v>607</v>
      </c>
      <c r="K1830" s="1" t="s">
        <v>17</v>
      </c>
      <c r="L1830" s="1" t="s">
        <v>18</v>
      </c>
      <c r="M1830" s="1" t="s">
        <v>3881</v>
      </c>
      <c r="N1830" s="1" t="s">
        <v>3882</v>
      </c>
    </row>
    <row r="1831" spans="1:14" x14ac:dyDescent="0.35">
      <c r="A1831">
        <v>6303028</v>
      </c>
      <c r="B1831" s="1" t="s">
        <v>3879</v>
      </c>
      <c r="C1831">
        <v>4372.1000000000004</v>
      </c>
      <c r="D1831">
        <v>118</v>
      </c>
      <c r="E1831" s="1" t="s">
        <v>390</v>
      </c>
      <c r="F1831" s="1" t="s">
        <v>71</v>
      </c>
      <c r="G1831" s="1" t="s">
        <v>32</v>
      </c>
      <c r="H1831">
        <v>25</v>
      </c>
      <c r="I1831">
        <v>16</v>
      </c>
      <c r="K1831" s="1" t="s">
        <v>95</v>
      </c>
      <c r="L1831" s="1" t="s">
        <v>24</v>
      </c>
      <c r="M1831" s="1" t="s">
        <v>3883</v>
      </c>
      <c r="N1831" s="1" t="s">
        <v>3884</v>
      </c>
    </row>
    <row r="1832" spans="1:14" x14ac:dyDescent="0.35">
      <c r="A1832">
        <v>6304016</v>
      </c>
      <c r="B1832" s="1" t="s">
        <v>3879</v>
      </c>
      <c r="C1832">
        <v>4372.1000000000004</v>
      </c>
      <c r="D1832">
        <v>118</v>
      </c>
      <c r="E1832" s="1" t="s">
        <v>3885</v>
      </c>
      <c r="F1832" s="1" t="s">
        <v>129</v>
      </c>
      <c r="G1832" s="1" t="s">
        <v>130</v>
      </c>
      <c r="H1832">
        <v>129</v>
      </c>
      <c r="I1832">
        <v>41</v>
      </c>
      <c r="J1832">
        <v>513</v>
      </c>
      <c r="K1832" s="1" t="s">
        <v>124</v>
      </c>
      <c r="L1832" s="1" t="s">
        <v>18</v>
      </c>
      <c r="M1832" s="1" t="s">
        <v>3883</v>
      </c>
      <c r="N1832" s="1" t="s">
        <v>3886</v>
      </c>
    </row>
    <row r="1833" spans="1:14" x14ac:dyDescent="0.35">
      <c r="A1833">
        <v>6303015</v>
      </c>
      <c r="B1833" s="1" t="s">
        <v>3879</v>
      </c>
      <c r="C1833">
        <v>4372.1000000000004</v>
      </c>
      <c r="D1833">
        <v>118</v>
      </c>
      <c r="E1833" s="1" t="s">
        <v>3887</v>
      </c>
      <c r="F1833" s="1" t="s">
        <v>15</v>
      </c>
      <c r="G1833" s="1" t="s">
        <v>16</v>
      </c>
      <c r="H1833">
        <v>272</v>
      </c>
      <c r="I1833">
        <v>49</v>
      </c>
      <c r="J1833">
        <v>833</v>
      </c>
      <c r="K1833" s="1" t="s">
        <v>17</v>
      </c>
      <c r="L1833" s="1" t="s">
        <v>18</v>
      </c>
      <c r="M1833" s="1" t="s">
        <v>3883</v>
      </c>
      <c r="N1833" s="1" t="s">
        <v>3888</v>
      </c>
    </row>
    <row r="1834" spans="1:14" x14ac:dyDescent="0.35">
      <c r="A1834">
        <v>6303033</v>
      </c>
      <c r="B1834" s="1" t="s">
        <v>3879</v>
      </c>
      <c r="C1834">
        <v>4372.1000000000004</v>
      </c>
      <c r="D1834">
        <v>118</v>
      </c>
      <c r="E1834" s="1" t="s">
        <v>3889</v>
      </c>
      <c r="F1834" s="1" t="s">
        <v>15</v>
      </c>
      <c r="G1834" s="1" t="s">
        <v>16</v>
      </c>
      <c r="H1834">
        <v>205</v>
      </c>
      <c r="I1834">
        <v>53</v>
      </c>
      <c r="J1834">
        <v>235</v>
      </c>
      <c r="K1834" s="1" t="s">
        <v>90</v>
      </c>
      <c r="L1834" s="1" t="s">
        <v>24</v>
      </c>
      <c r="M1834" s="1" t="s">
        <v>3883</v>
      </c>
      <c r="N1834" s="1" t="s">
        <v>3890</v>
      </c>
    </row>
    <row r="1835" spans="1:14" x14ac:dyDescent="0.35">
      <c r="A1835">
        <v>6303027</v>
      </c>
      <c r="B1835" s="1" t="s">
        <v>3879</v>
      </c>
      <c r="C1835">
        <v>4372.1000000000004</v>
      </c>
      <c r="D1835">
        <v>118</v>
      </c>
      <c r="E1835" s="1" t="s">
        <v>3891</v>
      </c>
      <c r="F1835" s="1" t="s">
        <v>15</v>
      </c>
      <c r="G1835" s="1" t="s">
        <v>32</v>
      </c>
      <c r="H1835">
        <v>108</v>
      </c>
      <c r="I1835">
        <v>42</v>
      </c>
      <c r="J1835">
        <v>256</v>
      </c>
      <c r="K1835" s="1" t="s">
        <v>23</v>
      </c>
      <c r="L1835" s="1" t="s">
        <v>24</v>
      </c>
      <c r="M1835" s="1" t="s">
        <v>3883</v>
      </c>
      <c r="N1835" s="1" t="s">
        <v>3892</v>
      </c>
    </row>
    <row r="1836" spans="1:14" x14ac:dyDescent="0.35">
      <c r="A1836">
        <v>6303030</v>
      </c>
      <c r="B1836" s="1" t="s">
        <v>3879</v>
      </c>
      <c r="C1836">
        <v>4372.1000000000004</v>
      </c>
      <c r="D1836">
        <v>118</v>
      </c>
      <c r="E1836" s="1" t="s">
        <v>3893</v>
      </c>
      <c r="F1836" s="1" t="s">
        <v>15</v>
      </c>
      <c r="G1836" s="1" t="s">
        <v>22</v>
      </c>
      <c r="H1836">
        <v>47</v>
      </c>
      <c r="I1836">
        <v>29</v>
      </c>
      <c r="J1836">
        <v>50</v>
      </c>
      <c r="K1836" s="1" t="s">
        <v>90</v>
      </c>
      <c r="L1836" s="1" t="s">
        <v>24</v>
      </c>
      <c r="M1836" s="1" t="s">
        <v>3883</v>
      </c>
      <c r="N1836" s="1" t="s">
        <v>3894</v>
      </c>
    </row>
    <row r="1837" spans="1:14" x14ac:dyDescent="0.35">
      <c r="A1837">
        <v>6304020</v>
      </c>
      <c r="B1837" s="1" t="s">
        <v>3879</v>
      </c>
      <c r="C1837">
        <v>4372.1000000000004</v>
      </c>
      <c r="D1837">
        <v>118</v>
      </c>
      <c r="E1837" s="1" t="s">
        <v>3895</v>
      </c>
      <c r="F1837" s="1" t="s">
        <v>15</v>
      </c>
      <c r="G1837" s="1" t="s">
        <v>32</v>
      </c>
      <c r="H1837">
        <v>110</v>
      </c>
      <c r="I1837">
        <v>28</v>
      </c>
      <c r="J1837">
        <v>275</v>
      </c>
      <c r="K1837" s="1" t="s">
        <v>17</v>
      </c>
      <c r="L1837" s="1" t="s">
        <v>18</v>
      </c>
      <c r="M1837" s="1" t="s">
        <v>3896</v>
      </c>
      <c r="N1837" s="1" t="s">
        <v>3897</v>
      </c>
    </row>
    <row r="1838" spans="1:14" x14ac:dyDescent="0.35">
      <c r="A1838">
        <v>6306025</v>
      </c>
      <c r="B1838" s="1" t="s">
        <v>3879</v>
      </c>
      <c r="C1838">
        <v>4372.1000000000004</v>
      </c>
      <c r="D1838">
        <v>118</v>
      </c>
      <c r="E1838" s="1" t="s">
        <v>3764</v>
      </c>
      <c r="F1838" s="1" t="s">
        <v>71</v>
      </c>
      <c r="G1838" s="1" t="s">
        <v>32</v>
      </c>
      <c r="H1838">
        <v>26</v>
      </c>
      <c r="I1838">
        <v>27</v>
      </c>
      <c r="J1838">
        <v>23</v>
      </c>
      <c r="K1838" s="1" t="s">
        <v>23</v>
      </c>
      <c r="L1838" s="1" t="s">
        <v>24</v>
      </c>
      <c r="M1838" s="1" t="s">
        <v>3898</v>
      </c>
      <c r="N1838" s="1" t="s">
        <v>3899</v>
      </c>
    </row>
    <row r="1839" spans="1:14" x14ac:dyDescent="0.35">
      <c r="A1839">
        <v>6306011</v>
      </c>
      <c r="B1839" s="1" t="s">
        <v>3879</v>
      </c>
      <c r="C1839">
        <v>4372.1000000000004</v>
      </c>
      <c r="D1839">
        <v>118</v>
      </c>
      <c r="E1839" s="1" t="s">
        <v>3900</v>
      </c>
      <c r="F1839" s="1" t="s">
        <v>15</v>
      </c>
      <c r="G1839" s="1" t="s">
        <v>16</v>
      </c>
      <c r="H1839">
        <v>234</v>
      </c>
      <c r="I1839">
        <v>52</v>
      </c>
      <c r="J1839">
        <v>372</v>
      </c>
      <c r="K1839" s="1" t="s">
        <v>17</v>
      </c>
      <c r="L1839" s="1" t="s">
        <v>18</v>
      </c>
      <c r="M1839" s="1" t="s">
        <v>3898</v>
      </c>
      <c r="N1839" s="1" t="s">
        <v>3901</v>
      </c>
    </row>
    <row r="1840" spans="1:14" x14ac:dyDescent="0.35">
      <c r="A1840">
        <v>6306024</v>
      </c>
      <c r="B1840" s="1" t="s">
        <v>3879</v>
      </c>
      <c r="C1840">
        <v>4372.1000000000004</v>
      </c>
      <c r="D1840">
        <v>118</v>
      </c>
      <c r="E1840" s="1" t="s">
        <v>3902</v>
      </c>
      <c r="F1840" s="1" t="s">
        <v>15</v>
      </c>
      <c r="G1840" s="1" t="s">
        <v>22</v>
      </c>
      <c r="H1840">
        <v>54</v>
      </c>
      <c r="I1840">
        <v>12</v>
      </c>
      <c r="J1840">
        <v>90</v>
      </c>
      <c r="K1840" s="1" t="s">
        <v>17</v>
      </c>
      <c r="L1840" s="1" t="s">
        <v>18</v>
      </c>
      <c r="M1840" s="1" t="s">
        <v>3898</v>
      </c>
      <c r="N1840" s="1" t="s">
        <v>3903</v>
      </c>
    </row>
    <row r="1841" spans="1:14" x14ac:dyDescent="0.35">
      <c r="A1841">
        <v>6306023</v>
      </c>
      <c r="B1841" s="1" t="s">
        <v>3879</v>
      </c>
      <c r="C1841">
        <v>4372.1000000000004</v>
      </c>
      <c r="D1841">
        <v>118</v>
      </c>
      <c r="E1841" s="1" t="s">
        <v>3904</v>
      </c>
      <c r="F1841" s="1" t="s">
        <v>15</v>
      </c>
      <c r="G1841" s="1" t="s">
        <v>22</v>
      </c>
      <c r="H1841">
        <v>54</v>
      </c>
      <c r="I1841">
        <v>34</v>
      </c>
      <c r="J1841">
        <v>199</v>
      </c>
      <c r="K1841" s="1" t="s">
        <v>23</v>
      </c>
      <c r="L1841" s="1" t="s">
        <v>24</v>
      </c>
      <c r="M1841" s="1" t="s">
        <v>3898</v>
      </c>
      <c r="N1841" s="1" t="s">
        <v>3905</v>
      </c>
    </row>
    <row r="1842" spans="1:14" x14ac:dyDescent="0.35">
      <c r="A1842">
        <v>6306026</v>
      </c>
      <c r="B1842" s="1" t="s">
        <v>3879</v>
      </c>
      <c r="C1842">
        <v>4372.1000000000004</v>
      </c>
      <c r="D1842">
        <v>118</v>
      </c>
      <c r="E1842" s="1" t="s">
        <v>3906</v>
      </c>
      <c r="F1842" s="1" t="s">
        <v>15</v>
      </c>
      <c r="G1842" s="1" t="s">
        <v>22</v>
      </c>
      <c r="H1842">
        <v>62</v>
      </c>
      <c r="I1842">
        <v>9</v>
      </c>
      <c r="K1842" s="1" t="s">
        <v>23</v>
      </c>
      <c r="L1842" s="1" t="s">
        <v>24</v>
      </c>
      <c r="M1842" s="1" t="s">
        <v>3898</v>
      </c>
      <c r="N1842" s="1" t="s">
        <v>3907</v>
      </c>
    </row>
    <row r="1843" spans="1:14" x14ac:dyDescent="0.35">
      <c r="A1843">
        <v>6307012</v>
      </c>
      <c r="B1843" s="1" t="s">
        <v>3879</v>
      </c>
      <c r="C1843">
        <v>4372.1000000000004</v>
      </c>
      <c r="D1843">
        <v>118</v>
      </c>
      <c r="E1843" s="1" t="s">
        <v>3908</v>
      </c>
      <c r="F1843" s="1" t="s">
        <v>15</v>
      </c>
      <c r="G1843" s="1" t="s">
        <v>32</v>
      </c>
      <c r="H1843">
        <v>323</v>
      </c>
      <c r="I1843">
        <v>123</v>
      </c>
      <c r="K1843" s="1" t="s">
        <v>17</v>
      </c>
      <c r="L1843" s="1" t="s">
        <v>18</v>
      </c>
      <c r="M1843" s="1" t="s">
        <v>3909</v>
      </c>
      <c r="N1843" s="1" t="s">
        <v>3910</v>
      </c>
    </row>
    <row r="1844" spans="1:14" x14ac:dyDescent="0.35">
      <c r="A1844">
        <v>6308013</v>
      </c>
      <c r="B1844" s="1" t="s">
        <v>3879</v>
      </c>
      <c r="C1844">
        <v>4372.1000000000004</v>
      </c>
      <c r="D1844">
        <v>118</v>
      </c>
      <c r="E1844" s="1" t="s">
        <v>3911</v>
      </c>
      <c r="F1844" s="1" t="s">
        <v>15</v>
      </c>
      <c r="G1844" s="1" t="s">
        <v>32</v>
      </c>
      <c r="H1844">
        <v>240</v>
      </c>
      <c r="I1844">
        <v>76</v>
      </c>
      <c r="J1844">
        <v>524</v>
      </c>
      <c r="K1844" s="1" t="s">
        <v>17</v>
      </c>
      <c r="L1844" s="1" t="s">
        <v>18</v>
      </c>
      <c r="M1844" s="1" t="s">
        <v>3912</v>
      </c>
      <c r="N1844" s="1" t="s">
        <v>3913</v>
      </c>
    </row>
    <row r="1845" spans="1:14" x14ac:dyDescent="0.35">
      <c r="A1845">
        <v>6308014</v>
      </c>
      <c r="B1845" s="1" t="s">
        <v>3879</v>
      </c>
      <c r="C1845">
        <v>4372.1000000000004</v>
      </c>
      <c r="D1845">
        <v>118</v>
      </c>
      <c r="E1845" s="1" t="s">
        <v>3914</v>
      </c>
      <c r="F1845" s="1" t="s">
        <v>15</v>
      </c>
      <c r="G1845" s="1" t="s">
        <v>22</v>
      </c>
      <c r="H1845">
        <v>43</v>
      </c>
      <c r="I1845">
        <v>19</v>
      </c>
      <c r="J1845">
        <v>63</v>
      </c>
      <c r="K1845" s="1" t="s">
        <v>23</v>
      </c>
      <c r="L1845" s="1" t="s">
        <v>24</v>
      </c>
      <c r="M1845" s="1" t="s">
        <v>3912</v>
      </c>
      <c r="N1845" s="1" t="s">
        <v>3915</v>
      </c>
    </row>
    <row r="1846" spans="1:14" x14ac:dyDescent="0.35">
      <c r="A1846">
        <v>6372014</v>
      </c>
      <c r="B1846" s="1" t="s">
        <v>3879</v>
      </c>
      <c r="C1846">
        <v>4372.1000000000004</v>
      </c>
      <c r="D1846">
        <v>118</v>
      </c>
      <c r="E1846" s="1" t="s">
        <v>3916</v>
      </c>
      <c r="F1846" s="1" t="s">
        <v>15</v>
      </c>
      <c r="G1846" s="1" t="s">
        <v>32</v>
      </c>
      <c r="H1846">
        <v>247</v>
      </c>
      <c r="I1846">
        <v>62</v>
      </c>
      <c r="J1846">
        <v>935</v>
      </c>
      <c r="K1846" s="1" t="s">
        <v>137</v>
      </c>
      <c r="L1846" s="1" t="s">
        <v>18</v>
      </c>
      <c r="M1846" s="1" t="s">
        <v>3917</v>
      </c>
      <c r="N1846" s="1" t="s">
        <v>3918</v>
      </c>
    </row>
    <row r="1847" spans="1:14" x14ac:dyDescent="0.35">
      <c r="A1847">
        <v>6372022</v>
      </c>
      <c r="B1847" s="1" t="s">
        <v>3879</v>
      </c>
      <c r="C1847">
        <v>4372.1000000000004</v>
      </c>
      <c r="D1847">
        <v>118</v>
      </c>
      <c r="E1847" s="1" t="s">
        <v>3919</v>
      </c>
      <c r="F1847" s="1" t="s">
        <v>15</v>
      </c>
      <c r="G1847" s="1" t="s">
        <v>32</v>
      </c>
      <c r="H1847">
        <v>177</v>
      </c>
      <c r="I1847">
        <v>36</v>
      </c>
      <c r="J1847">
        <v>22</v>
      </c>
      <c r="K1847" s="1" t="s">
        <v>23</v>
      </c>
      <c r="L1847" s="1" t="s">
        <v>24</v>
      </c>
      <c r="M1847" s="1" t="s">
        <v>3917</v>
      </c>
      <c r="N1847" s="1" t="s">
        <v>3920</v>
      </c>
    </row>
    <row r="1848" spans="1:14" x14ac:dyDescent="0.35">
      <c r="A1848">
        <v>6372017</v>
      </c>
      <c r="B1848" s="1" t="s">
        <v>3879</v>
      </c>
      <c r="C1848">
        <v>4372.1000000000004</v>
      </c>
      <c r="D1848">
        <v>118</v>
      </c>
      <c r="E1848" s="1" t="s">
        <v>3921</v>
      </c>
      <c r="F1848" s="1" t="s">
        <v>15</v>
      </c>
      <c r="G1848" s="1" t="s">
        <v>32</v>
      </c>
      <c r="H1848">
        <v>174</v>
      </c>
      <c r="I1848">
        <v>60</v>
      </c>
      <c r="J1848">
        <v>126</v>
      </c>
      <c r="K1848" s="1" t="s">
        <v>95</v>
      </c>
      <c r="L1848" s="1" t="s">
        <v>24</v>
      </c>
      <c r="M1848" s="1" t="s">
        <v>3917</v>
      </c>
      <c r="N1848" s="1" t="s">
        <v>3922</v>
      </c>
    </row>
    <row r="1849" spans="1:14" x14ac:dyDescent="0.35">
      <c r="A1849">
        <v>6372021</v>
      </c>
      <c r="B1849" s="1" t="s">
        <v>3879</v>
      </c>
      <c r="C1849">
        <v>4372.1000000000004</v>
      </c>
      <c r="D1849">
        <v>118</v>
      </c>
      <c r="E1849" s="1" t="s">
        <v>3923</v>
      </c>
      <c r="F1849" s="1" t="s">
        <v>15</v>
      </c>
      <c r="G1849" s="1" t="s">
        <v>22</v>
      </c>
      <c r="H1849">
        <v>50</v>
      </c>
      <c r="I1849">
        <v>49</v>
      </c>
      <c r="J1849">
        <v>21</v>
      </c>
      <c r="K1849" s="1" t="s">
        <v>23</v>
      </c>
      <c r="L1849" s="1" t="s">
        <v>24</v>
      </c>
      <c r="M1849" s="1" t="s">
        <v>3917</v>
      </c>
      <c r="N1849" s="1" t="s">
        <v>3924</v>
      </c>
    </row>
    <row r="1850" spans="1:14" x14ac:dyDescent="0.35">
      <c r="A1850">
        <v>6372019</v>
      </c>
      <c r="B1850" s="1" t="s">
        <v>3879</v>
      </c>
      <c r="C1850">
        <v>4372.1000000000004</v>
      </c>
      <c r="D1850">
        <v>118</v>
      </c>
      <c r="E1850" s="1" t="s">
        <v>3925</v>
      </c>
      <c r="F1850" s="1" t="s">
        <v>15</v>
      </c>
      <c r="G1850" s="1" t="s">
        <v>22</v>
      </c>
      <c r="H1850">
        <v>56</v>
      </c>
      <c r="I1850">
        <v>47</v>
      </c>
      <c r="J1850">
        <v>91</v>
      </c>
      <c r="K1850" s="1" t="s">
        <v>90</v>
      </c>
      <c r="L1850" s="1" t="s">
        <v>24</v>
      </c>
      <c r="M1850" s="1" t="s">
        <v>3917</v>
      </c>
      <c r="N1850" s="1" t="s">
        <v>3926</v>
      </c>
    </row>
    <row r="1851" spans="1:14" x14ac:dyDescent="0.35">
      <c r="A1851">
        <v>6371141</v>
      </c>
      <c r="B1851" s="1" t="s">
        <v>3879</v>
      </c>
      <c r="C1851">
        <v>4372.1000000000004</v>
      </c>
      <c r="D1851">
        <v>118</v>
      </c>
      <c r="E1851" s="1" t="s">
        <v>3927</v>
      </c>
      <c r="F1851" s="1" t="s">
        <v>15</v>
      </c>
      <c r="G1851" s="1" t="s">
        <v>22</v>
      </c>
      <c r="H1851">
        <v>50</v>
      </c>
      <c r="I1851">
        <v>17</v>
      </c>
      <c r="J1851">
        <v>70</v>
      </c>
      <c r="K1851" s="1" t="s">
        <v>974</v>
      </c>
      <c r="L1851" s="1" t="s">
        <v>24</v>
      </c>
      <c r="M1851" s="1" t="s">
        <v>3917</v>
      </c>
      <c r="N1851" s="1" t="s">
        <v>3928</v>
      </c>
    </row>
    <row r="1852" spans="1:14" x14ac:dyDescent="0.35">
      <c r="A1852">
        <v>6372016</v>
      </c>
      <c r="B1852" s="1" t="s">
        <v>3879</v>
      </c>
      <c r="C1852">
        <v>4372.1000000000004</v>
      </c>
      <c r="D1852">
        <v>118</v>
      </c>
      <c r="E1852" s="1" t="s">
        <v>3929</v>
      </c>
      <c r="F1852" s="1" t="s">
        <v>15</v>
      </c>
      <c r="G1852" s="1" t="s">
        <v>22</v>
      </c>
      <c r="H1852">
        <v>55</v>
      </c>
      <c r="I1852">
        <v>26</v>
      </c>
      <c r="J1852">
        <v>38</v>
      </c>
      <c r="K1852" s="1" t="s">
        <v>27</v>
      </c>
      <c r="L1852" s="1" t="s">
        <v>24</v>
      </c>
      <c r="M1852" s="1" t="s">
        <v>3917</v>
      </c>
      <c r="N1852" s="1" t="s">
        <v>3930</v>
      </c>
    </row>
    <row r="1853" spans="1:14" x14ac:dyDescent="0.35">
      <c r="A1853">
        <v>6372018</v>
      </c>
      <c r="B1853" s="1" t="s">
        <v>3879</v>
      </c>
      <c r="C1853">
        <v>4372.1000000000004</v>
      </c>
      <c r="D1853">
        <v>118</v>
      </c>
      <c r="E1853" s="1" t="s">
        <v>3931</v>
      </c>
      <c r="F1853" s="1" t="s">
        <v>15</v>
      </c>
      <c r="G1853" s="1" t="s">
        <v>22</v>
      </c>
      <c r="H1853">
        <v>72</v>
      </c>
      <c r="I1853">
        <v>21</v>
      </c>
      <c r="J1853">
        <v>66</v>
      </c>
      <c r="K1853" s="1" t="s">
        <v>90</v>
      </c>
      <c r="L1853" s="1" t="s">
        <v>24</v>
      </c>
      <c r="M1853" s="1" t="s">
        <v>3917</v>
      </c>
      <c r="N1853" s="1" t="s">
        <v>3932</v>
      </c>
    </row>
    <row r="1854" spans="1:14" x14ac:dyDescent="0.35">
      <c r="A1854">
        <v>6371130</v>
      </c>
      <c r="B1854" s="1" t="s">
        <v>3879</v>
      </c>
      <c r="C1854">
        <v>4372.1000000000004</v>
      </c>
      <c r="D1854">
        <v>118</v>
      </c>
      <c r="E1854" s="1" t="s">
        <v>3933</v>
      </c>
      <c r="F1854" s="1" t="s">
        <v>220</v>
      </c>
      <c r="G1854" s="1" t="s">
        <v>16</v>
      </c>
      <c r="H1854">
        <v>75</v>
      </c>
      <c r="I1854">
        <v>48</v>
      </c>
      <c r="J1854">
        <v>144</v>
      </c>
      <c r="K1854" s="1" t="s">
        <v>23</v>
      </c>
      <c r="L1854" s="1" t="s">
        <v>24</v>
      </c>
      <c r="M1854" s="1" t="s">
        <v>3934</v>
      </c>
      <c r="N1854" s="1" t="s">
        <v>3935</v>
      </c>
    </row>
    <row r="1855" spans="1:14" x14ac:dyDescent="0.35">
      <c r="A1855">
        <v>6371153</v>
      </c>
      <c r="B1855" s="1" t="s">
        <v>3879</v>
      </c>
      <c r="C1855">
        <v>4372.1000000000004</v>
      </c>
      <c r="D1855">
        <v>118</v>
      </c>
      <c r="E1855" s="1" t="s">
        <v>3936</v>
      </c>
      <c r="F1855" s="1" t="s">
        <v>119</v>
      </c>
      <c r="G1855" s="1" t="s">
        <v>16</v>
      </c>
      <c r="H1855">
        <v>50</v>
      </c>
      <c r="I1855">
        <v>21</v>
      </c>
      <c r="J1855">
        <v>194</v>
      </c>
      <c r="K1855" s="1" t="s">
        <v>124</v>
      </c>
      <c r="L1855" s="1" t="s">
        <v>24</v>
      </c>
      <c r="M1855" s="1" t="s">
        <v>3934</v>
      </c>
      <c r="N1855" s="1" t="s">
        <v>3937</v>
      </c>
    </row>
    <row r="1856" spans="1:14" x14ac:dyDescent="0.35">
      <c r="A1856">
        <v>6371155</v>
      </c>
      <c r="B1856" s="1" t="s">
        <v>3879</v>
      </c>
      <c r="C1856">
        <v>4372.1000000000004</v>
      </c>
      <c r="D1856">
        <v>118</v>
      </c>
      <c r="E1856" s="1" t="s">
        <v>1179</v>
      </c>
      <c r="F1856" s="1" t="s">
        <v>71</v>
      </c>
      <c r="G1856" s="1" t="s">
        <v>32</v>
      </c>
      <c r="H1856">
        <v>33</v>
      </c>
      <c r="I1856">
        <v>17</v>
      </c>
      <c r="J1856">
        <v>100</v>
      </c>
      <c r="K1856" s="1" t="s">
        <v>23</v>
      </c>
      <c r="L1856" s="1" t="s">
        <v>24</v>
      </c>
      <c r="M1856" s="1" t="s">
        <v>3934</v>
      </c>
      <c r="N1856" s="1" t="s">
        <v>3938</v>
      </c>
    </row>
    <row r="1857" spans="1:14" x14ac:dyDescent="0.35">
      <c r="A1857">
        <v>6371170</v>
      </c>
      <c r="B1857" s="1" t="s">
        <v>3879</v>
      </c>
      <c r="C1857">
        <v>4372.1000000000004</v>
      </c>
      <c r="D1857">
        <v>118</v>
      </c>
      <c r="E1857" s="1" t="s">
        <v>3939</v>
      </c>
      <c r="F1857" s="1" t="s">
        <v>71</v>
      </c>
      <c r="G1857" s="1" t="s">
        <v>32</v>
      </c>
      <c r="H1857">
        <v>64</v>
      </c>
      <c r="I1857">
        <v>25</v>
      </c>
      <c r="J1857">
        <v>8</v>
      </c>
      <c r="K1857" s="1" t="s">
        <v>23</v>
      </c>
      <c r="L1857" s="1" t="s">
        <v>24</v>
      </c>
      <c r="M1857" s="1" t="s">
        <v>3934</v>
      </c>
      <c r="N1857" s="1" t="s">
        <v>3940</v>
      </c>
    </row>
    <row r="1858" spans="1:14" x14ac:dyDescent="0.35">
      <c r="A1858">
        <v>6371013</v>
      </c>
      <c r="B1858" s="1" t="s">
        <v>3879</v>
      </c>
      <c r="C1858">
        <v>4372.1000000000004</v>
      </c>
      <c r="D1858">
        <v>118</v>
      </c>
      <c r="E1858" s="1" t="s">
        <v>3941</v>
      </c>
      <c r="F1858" s="1" t="s">
        <v>15</v>
      </c>
      <c r="G1858" s="1" t="s">
        <v>130</v>
      </c>
      <c r="H1858">
        <v>649</v>
      </c>
      <c r="I1858">
        <v>155</v>
      </c>
      <c r="J1858">
        <v>2170</v>
      </c>
      <c r="K1858" s="1" t="s">
        <v>124</v>
      </c>
      <c r="L1858" s="1" t="s">
        <v>18</v>
      </c>
      <c r="M1858" s="1" t="s">
        <v>3934</v>
      </c>
      <c r="N1858" s="1" t="s">
        <v>3942</v>
      </c>
    </row>
    <row r="1859" spans="1:14" x14ac:dyDescent="0.35">
      <c r="A1859">
        <v>6371072</v>
      </c>
      <c r="B1859" s="1" t="s">
        <v>3879</v>
      </c>
      <c r="C1859">
        <v>4372.1000000000004</v>
      </c>
      <c r="D1859">
        <v>118</v>
      </c>
      <c r="E1859" s="1" t="s">
        <v>3943</v>
      </c>
      <c r="F1859" s="1" t="s">
        <v>15</v>
      </c>
      <c r="G1859" s="1" t="s">
        <v>16</v>
      </c>
      <c r="H1859">
        <v>264</v>
      </c>
      <c r="I1859">
        <v>130</v>
      </c>
      <c r="J1859">
        <v>208</v>
      </c>
      <c r="K1859" s="1" t="s">
        <v>124</v>
      </c>
      <c r="L1859" s="1" t="s">
        <v>18</v>
      </c>
      <c r="M1859" s="1" t="s">
        <v>3934</v>
      </c>
      <c r="N1859" s="1" t="s">
        <v>3944</v>
      </c>
    </row>
    <row r="1860" spans="1:14" x14ac:dyDescent="0.35">
      <c r="A1860">
        <v>6371046</v>
      </c>
      <c r="B1860" s="1" t="s">
        <v>3879</v>
      </c>
      <c r="C1860">
        <v>4372.1000000000004</v>
      </c>
      <c r="D1860">
        <v>118</v>
      </c>
      <c r="E1860" s="1" t="s">
        <v>3945</v>
      </c>
      <c r="F1860" s="1" t="s">
        <v>15</v>
      </c>
      <c r="G1860" s="1" t="s">
        <v>32</v>
      </c>
      <c r="H1860">
        <v>120</v>
      </c>
      <c r="I1860">
        <v>40</v>
      </c>
      <c r="J1860">
        <v>394</v>
      </c>
      <c r="K1860" s="1" t="s">
        <v>444</v>
      </c>
      <c r="L1860" s="1" t="s">
        <v>24</v>
      </c>
      <c r="M1860" s="1" t="s">
        <v>3934</v>
      </c>
      <c r="N1860" s="1" t="s">
        <v>3946</v>
      </c>
    </row>
    <row r="1861" spans="1:14" x14ac:dyDescent="0.35">
      <c r="A1861">
        <v>6371094</v>
      </c>
      <c r="B1861" s="1" t="s">
        <v>3879</v>
      </c>
      <c r="C1861">
        <v>4372.1000000000004</v>
      </c>
      <c r="D1861">
        <v>118</v>
      </c>
      <c r="E1861" s="1" t="s">
        <v>3947</v>
      </c>
      <c r="F1861" s="1" t="s">
        <v>15</v>
      </c>
      <c r="G1861" s="1" t="s">
        <v>32</v>
      </c>
      <c r="H1861">
        <v>139</v>
      </c>
      <c r="I1861">
        <v>38</v>
      </c>
      <c r="J1861">
        <v>266</v>
      </c>
      <c r="K1861" s="1" t="s">
        <v>84</v>
      </c>
      <c r="L1861" s="1" t="s">
        <v>24</v>
      </c>
      <c r="M1861" s="1" t="s">
        <v>3934</v>
      </c>
      <c r="N1861" s="1" t="s">
        <v>3948</v>
      </c>
    </row>
    <row r="1862" spans="1:14" x14ac:dyDescent="0.35">
      <c r="A1862">
        <v>6371024</v>
      </c>
      <c r="B1862" s="1" t="s">
        <v>3879</v>
      </c>
      <c r="C1862">
        <v>4372.1000000000004</v>
      </c>
      <c r="D1862">
        <v>118</v>
      </c>
      <c r="E1862" s="1" t="s">
        <v>3949</v>
      </c>
      <c r="F1862" s="1" t="s">
        <v>15</v>
      </c>
      <c r="G1862" s="1" t="s">
        <v>32</v>
      </c>
      <c r="H1862">
        <v>100</v>
      </c>
      <c r="I1862">
        <v>48</v>
      </c>
      <c r="J1862">
        <v>467</v>
      </c>
      <c r="K1862" s="1" t="s">
        <v>84</v>
      </c>
      <c r="L1862" s="1" t="s">
        <v>24</v>
      </c>
      <c r="M1862" s="1" t="s">
        <v>3934</v>
      </c>
      <c r="N1862" s="1" t="s">
        <v>3950</v>
      </c>
    </row>
    <row r="1863" spans="1:14" x14ac:dyDescent="0.35">
      <c r="A1863">
        <v>6371152</v>
      </c>
      <c r="B1863" s="1" t="s">
        <v>3879</v>
      </c>
      <c r="C1863">
        <v>4372.1000000000004</v>
      </c>
      <c r="D1863">
        <v>118</v>
      </c>
      <c r="E1863" s="1" t="s">
        <v>3951</v>
      </c>
      <c r="F1863" s="1" t="s">
        <v>15</v>
      </c>
      <c r="G1863" s="1" t="s">
        <v>32</v>
      </c>
      <c r="H1863">
        <v>114</v>
      </c>
      <c r="I1863">
        <v>22</v>
      </c>
      <c r="J1863">
        <v>295</v>
      </c>
      <c r="K1863" s="1" t="s">
        <v>146</v>
      </c>
      <c r="L1863" s="1" t="s">
        <v>120</v>
      </c>
      <c r="M1863" s="1" t="s">
        <v>3934</v>
      </c>
      <c r="N1863" s="1" t="s">
        <v>3952</v>
      </c>
    </row>
    <row r="1864" spans="1:14" x14ac:dyDescent="0.35">
      <c r="A1864">
        <v>6371050</v>
      </c>
      <c r="B1864" s="1" t="s">
        <v>3879</v>
      </c>
      <c r="C1864">
        <v>4372.1000000000004</v>
      </c>
      <c r="D1864">
        <v>118</v>
      </c>
      <c r="E1864" s="1" t="s">
        <v>3953</v>
      </c>
      <c r="F1864" s="1" t="s">
        <v>15</v>
      </c>
      <c r="G1864" s="1" t="s">
        <v>32</v>
      </c>
      <c r="H1864">
        <v>230</v>
      </c>
      <c r="I1864">
        <v>40</v>
      </c>
      <c r="J1864">
        <v>325</v>
      </c>
      <c r="K1864" s="1" t="s">
        <v>27</v>
      </c>
      <c r="L1864" s="1" t="s">
        <v>24</v>
      </c>
      <c r="M1864" s="1" t="s">
        <v>3934</v>
      </c>
      <c r="N1864" s="1" t="s">
        <v>3954</v>
      </c>
    </row>
    <row r="1865" spans="1:14" x14ac:dyDescent="0.35">
      <c r="A1865">
        <v>6371156</v>
      </c>
      <c r="B1865" s="1" t="s">
        <v>3879</v>
      </c>
      <c r="C1865">
        <v>4372.1000000000004</v>
      </c>
      <c r="D1865">
        <v>118</v>
      </c>
      <c r="E1865" s="1" t="s">
        <v>3955</v>
      </c>
      <c r="F1865" s="1" t="s">
        <v>15</v>
      </c>
      <c r="G1865" s="1" t="s">
        <v>32</v>
      </c>
      <c r="H1865">
        <v>334</v>
      </c>
      <c r="I1865">
        <v>39</v>
      </c>
      <c r="J1865">
        <v>394</v>
      </c>
      <c r="K1865" s="1" t="s">
        <v>137</v>
      </c>
      <c r="L1865" s="1" t="s">
        <v>18</v>
      </c>
      <c r="M1865" s="1" t="s">
        <v>3934</v>
      </c>
      <c r="N1865" s="1" t="s">
        <v>3956</v>
      </c>
    </row>
    <row r="1866" spans="1:14" x14ac:dyDescent="0.35">
      <c r="A1866">
        <v>6371158</v>
      </c>
      <c r="B1866" s="1" t="s">
        <v>3879</v>
      </c>
      <c r="C1866">
        <v>4372.1000000000004</v>
      </c>
      <c r="D1866">
        <v>118</v>
      </c>
      <c r="E1866" s="1" t="s">
        <v>3957</v>
      </c>
      <c r="F1866" s="1" t="s">
        <v>15</v>
      </c>
      <c r="G1866" s="1" t="s">
        <v>22</v>
      </c>
      <c r="H1866">
        <v>53</v>
      </c>
      <c r="I1866">
        <v>55</v>
      </c>
      <c r="J1866">
        <v>65</v>
      </c>
      <c r="K1866" s="1" t="s">
        <v>23</v>
      </c>
      <c r="L1866" s="1" t="s">
        <v>24</v>
      </c>
      <c r="M1866" s="1" t="s">
        <v>3934</v>
      </c>
      <c r="N1866" s="1" t="s">
        <v>3958</v>
      </c>
    </row>
    <row r="1867" spans="1:14" x14ac:dyDescent="0.35">
      <c r="A1867">
        <v>6302014</v>
      </c>
      <c r="B1867" s="1" t="s">
        <v>3879</v>
      </c>
      <c r="C1867">
        <v>4372.1000000000004</v>
      </c>
      <c r="D1867">
        <v>118</v>
      </c>
      <c r="E1867" s="1" t="s">
        <v>3959</v>
      </c>
      <c r="F1867" s="1" t="s">
        <v>15</v>
      </c>
      <c r="G1867" s="1" t="s">
        <v>32</v>
      </c>
      <c r="H1867">
        <v>132</v>
      </c>
      <c r="I1867">
        <v>42</v>
      </c>
      <c r="J1867">
        <v>269</v>
      </c>
      <c r="K1867" s="1" t="s">
        <v>17</v>
      </c>
      <c r="L1867" s="1" t="s">
        <v>18</v>
      </c>
      <c r="M1867" s="1" t="s">
        <v>3960</v>
      </c>
      <c r="N1867" s="1" t="s">
        <v>3961</v>
      </c>
    </row>
    <row r="1868" spans="1:14" x14ac:dyDescent="0.35">
      <c r="A1868">
        <v>6302026</v>
      </c>
      <c r="B1868" s="1" t="s">
        <v>3879</v>
      </c>
      <c r="C1868">
        <v>4372.1000000000004</v>
      </c>
      <c r="D1868">
        <v>118</v>
      </c>
      <c r="E1868" s="1" t="s">
        <v>3962</v>
      </c>
      <c r="F1868" s="1" t="s">
        <v>15</v>
      </c>
      <c r="G1868" s="1" t="s">
        <v>22</v>
      </c>
      <c r="H1868">
        <v>52</v>
      </c>
      <c r="I1868">
        <v>20</v>
      </c>
      <c r="K1868" s="1" t="s">
        <v>17</v>
      </c>
      <c r="L1868" s="1" t="s">
        <v>24</v>
      </c>
      <c r="M1868" s="1" t="s">
        <v>3960</v>
      </c>
      <c r="N1868" s="1" t="s">
        <v>3963</v>
      </c>
    </row>
    <row r="1869" spans="1:14" x14ac:dyDescent="0.35">
      <c r="A1869">
        <v>6309025</v>
      </c>
      <c r="B1869" s="1" t="s">
        <v>3879</v>
      </c>
      <c r="C1869">
        <v>4372.1000000000004</v>
      </c>
      <c r="D1869">
        <v>118</v>
      </c>
      <c r="E1869" s="1" t="s">
        <v>3964</v>
      </c>
      <c r="F1869" s="1" t="s">
        <v>15</v>
      </c>
      <c r="G1869" s="1" t="s">
        <v>32</v>
      </c>
      <c r="H1869">
        <v>111</v>
      </c>
      <c r="I1869">
        <v>49</v>
      </c>
      <c r="J1869">
        <v>150</v>
      </c>
      <c r="K1869" s="1" t="s">
        <v>61</v>
      </c>
      <c r="L1869" s="1" t="s">
        <v>24</v>
      </c>
      <c r="M1869" s="1" t="s">
        <v>3965</v>
      </c>
      <c r="N1869" s="1" t="s">
        <v>3966</v>
      </c>
    </row>
    <row r="1870" spans="1:14" x14ac:dyDescent="0.35">
      <c r="A1870">
        <v>6309014</v>
      </c>
      <c r="B1870" s="1" t="s">
        <v>3879</v>
      </c>
      <c r="C1870">
        <v>4372.1000000000004</v>
      </c>
      <c r="D1870">
        <v>118</v>
      </c>
      <c r="E1870" s="1" t="s">
        <v>3967</v>
      </c>
      <c r="F1870" s="1" t="s">
        <v>15</v>
      </c>
      <c r="G1870" s="1" t="s">
        <v>32</v>
      </c>
      <c r="H1870">
        <v>169</v>
      </c>
      <c r="I1870">
        <v>27</v>
      </c>
      <c r="J1870">
        <v>36</v>
      </c>
      <c r="K1870" s="1" t="s">
        <v>17</v>
      </c>
      <c r="L1870" s="1" t="s">
        <v>18</v>
      </c>
      <c r="M1870" s="1" t="s">
        <v>3965</v>
      </c>
      <c r="N1870" s="1" t="s">
        <v>3968</v>
      </c>
    </row>
    <row r="1871" spans="1:14" x14ac:dyDescent="0.35">
      <c r="A1871">
        <v>6310016</v>
      </c>
      <c r="B1871" s="1" t="s">
        <v>3879</v>
      </c>
      <c r="C1871">
        <v>4372.1000000000004</v>
      </c>
      <c r="D1871">
        <v>118</v>
      </c>
      <c r="E1871" s="1" t="s">
        <v>3969</v>
      </c>
      <c r="F1871" s="1" t="s">
        <v>71</v>
      </c>
      <c r="G1871" s="1" t="s">
        <v>32</v>
      </c>
      <c r="H1871">
        <v>50</v>
      </c>
      <c r="I1871">
        <v>18</v>
      </c>
      <c r="J1871">
        <v>50</v>
      </c>
      <c r="K1871" s="1" t="s">
        <v>23</v>
      </c>
      <c r="L1871" s="1" t="s">
        <v>24</v>
      </c>
      <c r="M1871" s="1" t="s">
        <v>3970</v>
      </c>
      <c r="N1871" s="1" t="s">
        <v>3971</v>
      </c>
    </row>
    <row r="1872" spans="1:14" x14ac:dyDescent="0.35">
      <c r="A1872">
        <v>6310015</v>
      </c>
      <c r="B1872" s="1" t="s">
        <v>3879</v>
      </c>
      <c r="C1872">
        <v>4372.1000000000004</v>
      </c>
      <c r="D1872">
        <v>118</v>
      </c>
      <c r="E1872" s="1" t="s">
        <v>3972</v>
      </c>
      <c r="F1872" s="1" t="s">
        <v>15</v>
      </c>
      <c r="G1872" s="1" t="s">
        <v>16</v>
      </c>
      <c r="H1872">
        <v>170</v>
      </c>
      <c r="I1872">
        <v>47</v>
      </c>
      <c r="J1872">
        <v>671</v>
      </c>
      <c r="K1872" s="1" t="s">
        <v>17</v>
      </c>
      <c r="L1872" s="1" t="s">
        <v>18</v>
      </c>
      <c r="M1872" s="1" t="s">
        <v>3970</v>
      </c>
      <c r="N1872" s="1" t="s">
        <v>3973</v>
      </c>
    </row>
    <row r="1873" spans="1:14" x14ac:dyDescent="0.35">
      <c r="A1873">
        <v>6310018</v>
      </c>
      <c r="B1873" s="1" t="s">
        <v>3879</v>
      </c>
      <c r="C1873">
        <v>4372.1000000000004</v>
      </c>
      <c r="D1873">
        <v>118</v>
      </c>
      <c r="E1873" s="1" t="s">
        <v>3974</v>
      </c>
      <c r="F1873" s="1" t="s">
        <v>15</v>
      </c>
      <c r="G1873" s="1" t="s">
        <v>32</v>
      </c>
      <c r="H1873">
        <v>125</v>
      </c>
      <c r="I1873">
        <v>40</v>
      </c>
      <c r="J1873">
        <v>186</v>
      </c>
      <c r="K1873" s="1" t="s">
        <v>23</v>
      </c>
      <c r="L1873" s="1" t="s">
        <v>24</v>
      </c>
      <c r="M1873" s="1" t="s">
        <v>3970</v>
      </c>
      <c r="N1873" s="1" t="s">
        <v>3975</v>
      </c>
    </row>
    <row r="1874" spans="1:14" x14ac:dyDescent="0.35">
      <c r="A1874">
        <v>6301016</v>
      </c>
      <c r="B1874" s="1" t="s">
        <v>3879</v>
      </c>
      <c r="C1874">
        <v>4372.1000000000004</v>
      </c>
      <c r="D1874">
        <v>118</v>
      </c>
      <c r="E1874" s="1" t="s">
        <v>3976</v>
      </c>
      <c r="F1874" s="1" t="s">
        <v>71</v>
      </c>
      <c r="G1874" s="1" t="s">
        <v>32</v>
      </c>
      <c r="H1874">
        <v>40</v>
      </c>
      <c r="I1874">
        <v>14</v>
      </c>
      <c r="J1874">
        <v>48</v>
      </c>
      <c r="K1874" s="1" t="s">
        <v>95</v>
      </c>
      <c r="L1874" s="1" t="s">
        <v>24</v>
      </c>
      <c r="M1874" s="1" t="s">
        <v>3977</v>
      </c>
      <c r="N1874" s="1" t="s">
        <v>3978</v>
      </c>
    </row>
    <row r="1875" spans="1:14" x14ac:dyDescent="0.35">
      <c r="A1875">
        <v>6301015</v>
      </c>
      <c r="B1875" s="1" t="s">
        <v>3879</v>
      </c>
      <c r="C1875">
        <v>4372.1000000000004</v>
      </c>
      <c r="D1875">
        <v>118</v>
      </c>
      <c r="E1875" s="1" t="s">
        <v>3979</v>
      </c>
      <c r="F1875" s="1" t="s">
        <v>15</v>
      </c>
      <c r="G1875" s="1" t="s">
        <v>32</v>
      </c>
      <c r="H1875">
        <v>156</v>
      </c>
      <c r="I1875">
        <v>34</v>
      </c>
      <c r="J1875">
        <v>229</v>
      </c>
      <c r="K1875" s="1" t="s">
        <v>23</v>
      </c>
      <c r="L1875" s="1" t="s">
        <v>24</v>
      </c>
      <c r="M1875" s="1" t="s">
        <v>3977</v>
      </c>
      <c r="N1875" s="1" t="s">
        <v>3980</v>
      </c>
    </row>
    <row r="1876" spans="1:14" x14ac:dyDescent="0.35">
      <c r="A1876">
        <v>6301013</v>
      </c>
      <c r="B1876" s="1" t="s">
        <v>3879</v>
      </c>
      <c r="C1876">
        <v>4372.1000000000004</v>
      </c>
      <c r="D1876">
        <v>118</v>
      </c>
      <c r="E1876" s="1" t="s">
        <v>3981</v>
      </c>
      <c r="F1876" s="1" t="s">
        <v>15</v>
      </c>
      <c r="G1876" s="1" t="s">
        <v>32</v>
      </c>
      <c r="H1876">
        <v>185</v>
      </c>
      <c r="I1876">
        <v>43</v>
      </c>
      <c r="J1876">
        <v>503</v>
      </c>
      <c r="K1876" s="1" t="s">
        <v>17</v>
      </c>
      <c r="L1876" s="1" t="s">
        <v>18</v>
      </c>
      <c r="M1876" s="1" t="s">
        <v>3977</v>
      </c>
      <c r="N1876" s="1" t="s">
        <v>3982</v>
      </c>
    </row>
    <row r="1877" spans="1:14" x14ac:dyDescent="0.35">
      <c r="A1877">
        <v>6301020</v>
      </c>
      <c r="B1877" s="1" t="s">
        <v>3879</v>
      </c>
      <c r="C1877">
        <v>4372.1000000000004</v>
      </c>
      <c r="D1877">
        <v>118</v>
      </c>
      <c r="E1877" s="1" t="s">
        <v>3983</v>
      </c>
      <c r="F1877" s="1" t="s">
        <v>15</v>
      </c>
      <c r="G1877" s="1" t="s">
        <v>22</v>
      </c>
      <c r="H1877">
        <v>87</v>
      </c>
      <c r="I1877">
        <v>23</v>
      </c>
      <c r="J1877">
        <v>131</v>
      </c>
      <c r="K1877" s="1" t="s">
        <v>17</v>
      </c>
      <c r="L1877" s="1" t="s">
        <v>18</v>
      </c>
      <c r="M1877" s="1" t="s">
        <v>3977</v>
      </c>
      <c r="N1877" s="1" t="s">
        <v>3984</v>
      </c>
    </row>
    <row r="1878" spans="1:14" x14ac:dyDescent="0.35">
      <c r="A1878">
        <v>6305010</v>
      </c>
      <c r="B1878" s="1" t="s">
        <v>3879</v>
      </c>
      <c r="C1878">
        <v>4372.1000000000004</v>
      </c>
      <c r="D1878">
        <v>118</v>
      </c>
      <c r="E1878" s="1" t="s">
        <v>3985</v>
      </c>
      <c r="F1878" s="1" t="s">
        <v>15</v>
      </c>
      <c r="G1878" s="1" t="s">
        <v>32</v>
      </c>
      <c r="H1878">
        <v>100</v>
      </c>
      <c r="I1878">
        <v>43</v>
      </c>
      <c r="J1878">
        <v>421</v>
      </c>
      <c r="K1878" s="1" t="s">
        <v>17</v>
      </c>
      <c r="L1878" s="1" t="s">
        <v>18</v>
      </c>
      <c r="M1878" s="1" t="s">
        <v>3986</v>
      </c>
      <c r="N1878" s="1" t="s">
        <v>3987</v>
      </c>
    </row>
    <row r="1879" spans="1:14" x14ac:dyDescent="0.35">
      <c r="A1879">
        <v>6305011</v>
      </c>
      <c r="B1879" s="1" t="s">
        <v>3879</v>
      </c>
      <c r="C1879">
        <v>4372.1000000000004</v>
      </c>
      <c r="D1879">
        <v>118</v>
      </c>
      <c r="E1879" s="1" t="s">
        <v>3988</v>
      </c>
      <c r="F1879" s="1" t="s">
        <v>15</v>
      </c>
      <c r="G1879" s="1" t="s">
        <v>22</v>
      </c>
      <c r="H1879">
        <v>53</v>
      </c>
      <c r="I1879">
        <v>32</v>
      </c>
      <c r="J1879">
        <v>45</v>
      </c>
      <c r="K1879" s="1" t="s">
        <v>23</v>
      </c>
      <c r="L1879" s="1" t="s">
        <v>24</v>
      </c>
      <c r="M1879" s="1" t="s">
        <v>3986</v>
      </c>
      <c r="N1879" s="1" t="s">
        <v>3989</v>
      </c>
    </row>
    <row r="1880" spans="1:14" x14ac:dyDescent="0.35">
      <c r="A1880">
        <v>6204016</v>
      </c>
      <c r="B1880" s="1" t="s">
        <v>3990</v>
      </c>
      <c r="C1880">
        <v>2879.5</v>
      </c>
      <c r="D1880">
        <v>19</v>
      </c>
      <c r="E1880" s="1" t="s">
        <v>3991</v>
      </c>
      <c r="F1880" s="1" t="s">
        <v>15</v>
      </c>
      <c r="G1880" s="1" t="s">
        <v>32</v>
      </c>
      <c r="H1880">
        <v>147</v>
      </c>
      <c r="I1880">
        <v>33</v>
      </c>
      <c r="J1880">
        <v>313</v>
      </c>
      <c r="K1880" s="1" t="s">
        <v>17</v>
      </c>
      <c r="L1880" s="1" t="s">
        <v>18</v>
      </c>
      <c r="M1880" s="1" t="s">
        <v>3992</v>
      </c>
      <c r="N1880" s="1" t="s">
        <v>3993</v>
      </c>
    </row>
    <row r="1881" spans="1:14" x14ac:dyDescent="0.35">
      <c r="A1881">
        <v>6212020</v>
      </c>
      <c r="B1881" s="1" t="s">
        <v>3990</v>
      </c>
      <c r="C1881">
        <v>2879.5</v>
      </c>
      <c r="D1881">
        <v>19</v>
      </c>
      <c r="E1881" s="1" t="s">
        <v>3994</v>
      </c>
      <c r="F1881" s="1" t="s">
        <v>15</v>
      </c>
      <c r="G1881" s="1" t="s">
        <v>32</v>
      </c>
      <c r="H1881">
        <v>122</v>
      </c>
      <c r="I1881">
        <v>61</v>
      </c>
      <c r="J1881">
        <v>304</v>
      </c>
      <c r="K1881" s="1" t="s">
        <v>17</v>
      </c>
      <c r="L1881" s="1" t="s">
        <v>18</v>
      </c>
      <c r="M1881" s="1" t="s">
        <v>3995</v>
      </c>
      <c r="N1881" s="1" t="s">
        <v>3996</v>
      </c>
    </row>
    <row r="1882" spans="1:14" x14ac:dyDescent="0.35">
      <c r="A1882">
        <v>6205011</v>
      </c>
      <c r="B1882" s="1" t="s">
        <v>3990</v>
      </c>
      <c r="C1882">
        <v>2879.5</v>
      </c>
      <c r="D1882">
        <v>19</v>
      </c>
      <c r="E1882" s="1" t="s">
        <v>3997</v>
      </c>
      <c r="F1882" s="1" t="s">
        <v>15</v>
      </c>
      <c r="G1882" s="1" t="s">
        <v>32</v>
      </c>
      <c r="H1882">
        <v>147</v>
      </c>
      <c r="I1882">
        <v>30</v>
      </c>
      <c r="J1882">
        <v>455</v>
      </c>
      <c r="K1882" s="1" t="s">
        <v>17</v>
      </c>
      <c r="L1882" s="1" t="s">
        <v>18</v>
      </c>
      <c r="M1882" s="1" t="s">
        <v>3998</v>
      </c>
      <c r="N1882" s="1" t="s">
        <v>3999</v>
      </c>
    </row>
    <row r="1883" spans="1:14" x14ac:dyDescent="0.35">
      <c r="A1883">
        <v>6211026</v>
      </c>
      <c r="B1883" s="1" t="s">
        <v>3990</v>
      </c>
      <c r="C1883">
        <v>2879.5</v>
      </c>
      <c r="D1883">
        <v>19</v>
      </c>
      <c r="E1883" s="1" t="s">
        <v>4000</v>
      </c>
      <c r="F1883" s="1" t="s">
        <v>15</v>
      </c>
      <c r="G1883" s="1" t="s">
        <v>32</v>
      </c>
      <c r="H1883">
        <v>96</v>
      </c>
      <c r="I1883">
        <v>28</v>
      </c>
      <c r="J1883">
        <v>283</v>
      </c>
      <c r="K1883" s="1" t="s">
        <v>17</v>
      </c>
      <c r="L1883" s="1" t="s">
        <v>18</v>
      </c>
      <c r="M1883" s="1" t="s">
        <v>4001</v>
      </c>
      <c r="N1883" s="1" t="s">
        <v>4002</v>
      </c>
    </row>
    <row r="1884" spans="1:14" x14ac:dyDescent="0.35">
      <c r="A1884">
        <v>6211016</v>
      </c>
      <c r="B1884" s="1" t="s">
        <v>3990</v>
      </c>
      <c r="C1884">
        <v>2879.5</v>
      </c>
      <c r="D1884">
        <v>19</v>
      </c>
      <c r="E1884" s="1" t="s">
        <v>4003</v>
      </c>
      <c r="F1884" s="1" t="s">
        <v>15</v>
      </c>
      <c r="G1884" s="1" t="s">
        <v>52</v>
      </c>
      <c r="I1884">
        <v>7</v>
      </c>
      <c r="K1884" s="1" t="s">
        <v>17</v>
      </c>
      <c r="L1884" s="1" t="s">
        <v>24</v>
      </c>
      <c r="M1884" s="1" t="s">
        <v>4001</v>
      </c>
      <c r="N1884" s="1" t="s">
        <v>4004</v>
      </c>
    </row>
    <row r="1885" spans="1:14" x14ac:dyDescent="0.35">
      <c r="A1885">
        <v>6203015</v>
      </c>
      <c r="B1885" s="1" t="s">
        <v>3990</v>
      </c>
      <c r="C1885">
        <v>2879.5</v>
      </c>
      <c r="D1885">
        <v>19</v>
      </c>
      <c r="E1885" s="1" t="s">
        <v>4005</v>
      </c>
      <c r="F1885" s="1" t="s">
        <v>15</v>
      </c>
      <c r="G1885" s="1" t="s">
        <v>32</v>
      </c>
      <c r="H1885">
        <v>175</v>
      </c>
      <c r="I1885">
        <v>32</v>
      </c>
      <c r="J1885">
        <v>568</v>
      </c>
      <c r="K1885" s="1" t="s">
        <v>17</v>
      </c>
      <c r="L1885" s="1" t="s">
        <v>18</v>
      </c>
      <c r="M1885" s="1" t="s">
        <v>4006</v>
      </c>
      <c r="N1885" s="1" t="s">
        <v>4007</v>
      </c>
    </row>
    <row r="1886" spans="1:14" x14ac:dyDescent="0.35">
      <c r="A1886">
        <v>6209024</v>
      </c>
      <c r="B1886" s="1" t="s">
        <v>3990</v>
      </c>
      <c r="C1886">
        <v>2879.5</v>
      </c>
      <c r="D1886">
        <v>19</v>
      </c>
      <c r="E1886" s="1" t="s">
        <v>4008</v>
      </c>
      <c r="F1886" s="1" t="s">
        <v>15</v>
      </c>
      <c r="G1886" s="1" t="s">
        <v>32</v>
      </c>
      <c r="H1886">
        <v>117</v>
      </c>
      <c r="I1886">
        <v>30</v>
      </c>
      <c r="J1886">
        <v>148</v>
      </c>
      <c r="K1886" s="1" t="s">
        <v>17</v>
      </c>
      <c r="L1886" s="1" t="s">
        <v>18</v>
      </c>
      <c r="M1886" s="1" t="s">
        <v>4009</v>
      </c>
      <c r="N1886" s="1" t="s">
        <v>4010</v>
      </c>
    </row>
    <row r="1887" spans="1:14" x14ac:dyDescent="0.35">
      <c r="A1887">
        <v>6209035</v>
      </c>
      <c r="B1887" s="1" t="s">
        <v>3990</v>
      </c>
      <c r="C1887">
        <v>2879.5</v>
      </c>
      <c r="D1887">
        <v>19</v>
      </c>
      <c r="E1887" s="1" t="s">
        <v>4011</v>
      </c>
      <c r="F1887" s="1" t="s">
        <v>15</v>
      </c>
      <c r="G1887" s="1" t="s">
        <v>52</v>
      </c>
      <c r="H1887">
        <v>40</v>
      </c>
      <c r="I1887">
        <v>4</v>
      </c>
      <c r="K1887" s="1" t="s">
        <v>17</v>
      </c>
      <c r="L1887" s="1" t="s">
        <v>24</v>
      </c>
      <c r="M1887" s="1" t="s">
        <v>4009</v>
      </c>
      <c r="N1887" s="1" t="s">
        <v>4012</v>
      </c>
    </row>
    <row r="1888" spans="1:14" x14ac:dyDescent="0.35">
      <c r="A1888">
        <v>6271031</v>
      </c>
      <c r="B1888" s="1" t="s">
        <v>3990</v>
      </c>
      <c r="C1888">
        <v>2879.5</v>
      </c>
      <c r="D1888">
        <v>19</v>
      </c>
      <c r="E1888" s="1" t="s">
        <v>4013</v>
      </c>
      <c r="F1888" s="1" t="s">
        <v>71</v>
      </c>
      <c r="G1888" s="1" t="s">
        <v>32</v>
      </c>
      <c r="H1888">
        <v>76</v>
      </c>
      <c r="I1888">
        <v>17</v>
      </c>
      <c r="J1888">
        <v>33</v>
      </c>
      <c r="K1888" s="1" t="s">
        <v>23</v>
      </c>
      <c r="L1888" s="1" t="s">
        <v>24</v>
      </c>
      <c r="M1888" s="1" t="s">
        <v>4014</v>
      </c>
      <c r="N1888" s="1" t="s">
        <v>4015</v>
      </c>
    </row>
    <row r="1889" spans="1:14" x14ac:dyDescent="0.35">
      <c r="A1889">
        <v>6271028</v>
      </c>
      <c r="B1889" s="1" t="s">
        <v>3990</v>
      </c>
      <c r="C1889">
        <v>2879.5</v>
      </c>
      <c r="D1889">
        <v>19</v>
      </c>
      <c r="E1889" s="1" t="s">
        <v>4016</v>
      </c>
      <c r="F1889" s="1" t="s">
        <v>71</v>
      </c>
      <c r="G1889" s="1" t="s">
        <v>32</v>
      </c>
      <c r="H1889">
        <v>45</v>
      </c>
      <c r="I1889">
        <v>26</v>
      </c>
      <c r="J1889">
        <v>81</v>
      </c>
      <c r="K1889" s="1" t="s">
        <v>23</v>
      </c>
      <c r="L1889" s="1" t="s">
        <v>24</v>
      </c>
      <c r="M1889" s="1" t="s">
        <v>4014</v>
      </c>
      <c r="N1889" s="1" t="s">
        <v>4017</v>
      </c>
    </row>
    <row r="1890" spans="1:14" x14ac:dyDescent="0.35">
      <c r="A1890">
        <v>6271012</v>
      </c>
      <c r="B1890" s="1" t="s">
        <v>3990</v>
      </c>
      <c r="C1890">
        <v>2879.5</v>
      </c>
      <c r="D1890">
        <v>19</v>
      </c>
      <c r="E1890" s="1" t="s">
        <v>4018</v>
      </c>
      <c r="F1890" s="1" t="s">
        <v>15</v>
      </c>
      <c r="G1890" s="1" t="s">
        <v>16</v>
      </c>
      <c r="H1890">
        <v>365</v>
      </c>
      <c r="I1890">
        <v>55</v>
      </c>
      <c r="J1890">
        <v>1372</v>
      </c>
      <c r="K1890" s="1" t="s">
        <v>124</v>
      </c>
      <c r="L1890" s="1" t="s">
        <v>18</v>
      </c>
      <c r="M1890" s="1" t="s">
        <v>4014</v>
      </c>
      <c r="N1890" s="1" t="s">
        <v>4019</v>
      </c>
    </row>
    <row r="1891" spans="1:14" x14ac:dyDescent="0.35">
      <c r="A1891">
        <v>6271029</v>
      </c>
      <c r="B1891" s="1" t="s">
        <v>3990</v>
      </c>
      <c r="C1891">
        <v>2879.5</v>
      </c>
      <c r="D1891">
        <v>19</v>
      </c>
      <c r="E1891" s="1" t="s">
        <v>655</v>
      </c>
      <c r="F1891" s="1" t="s">
        <v>15</v>
      </c>
      <c r="G1891" s="1" t="s">
        <v>32</v>
      </c>
      <c r="H1891">
        <v>51</v>
      </c>
      <c r="I1891">
        <v>37</v>
      </c>
      <c r="J1891">
        <v>138</v>
      </c>
      <c r="K1891" s="1" t="s">
        <v>23</v>
      </c>
      <c r="L1891" s="1" t="s">
        <v>24</v>
      </c>
      <c r="M1891" s="1" t="s">
        <v>4014</v>
      </c>
      <c r="N1891" s="1" t="s">
        <v>4020</v>
      </c>
    </row>
    <row r="1892" spans="1:14" x14ac:dyDescent="0.35">
      <c r="A1892">
        <v>6271030</v>
      </c>
      <c r="B1892" s="1" t="s">
        <v>3990</v>
      </c>
      <c r="C1892">
        <v>2879.5</v>
      </c>
      <c r="D1892">
        <v>19</v>
      </c>
      <c r="E1892" s="1" t="s">
        <v>4021</v>
      </c>
      <c r="F1892" s="1" t="s">
        <v>15</v>
      </c>
      <c r="G1892" s="1" t="s">
        <v>32</v>
      </c>
      <c r="H1892">
        <v>102</v>
      </c>
      <c r="I1892">
        <v>51</v>
      </c>
      <c r="J1892">
        <v>190</v>
      </c>
      <c r="K1892" s="1" t="s">
        <v>90</v>
      </c>
      <c r="L1892" s="1" t="s">
        <v>24</v>
      </c>
      <c r="M1892" s="1" t="s">
        <v>4014</v>
      </c>
      <c r="N1892" s="1" t="s">
        <v>4022</v>
      </c>
    </row>
    <row r="1893" spans="1:14" x14ac:dyDescent="0.35">
      <c r="A1893">
        <v>6271027</v>
      </c>
      <c r="B1893" s="1" t="s">
        <v>3990</v>
      </c>
      <c r="C1893">
        <v>2879.5</v>
      </c>
      <c r="D1893">
        <v>19</v>
      </c>
      <c r="E1893" s="1" t="s">
        <v>4023</v>
      </c>
      <c r="F1893" s="1" t="s">
        <v>15</v>
      </c>
      <c r="G1893" s="1" t="s">
        <v>32</v>
      </c>
      <c r="H1893">
        <v>116</v>
      </c>
      <c r="I1893">
        <v>58</v>
      </c>
      <c r="J1893">
        <v>255</v>
      </c>
      <c r="K1893" s="1" t="s">
        <v>90</v>
      </c>
      <c r="L1893" s="1" t="s">
        <v>24</v>
      </c>
      <c r="M1893" s="1" t="s">
        <v>4014</v>
      </c>
      <c r="N1893" s="1" t="s">
        <v>4024</v>
      </c>
    </row>
    <row r="1894" spans="1:14" x14ac:dyDescent="0.35">
      <c r="A1894">
        <v>6271025</v>
      </c>
      <c r="B1894" s="1" t="s">
        <v>3990</v>
      </c>
      <c r="C1894">
        <v>2879.5</v>
      </c>
      <c r="D1894">
        <v>19</v>
      </c>
      <c r="E1894" s="1" t="s">
        <v>4025</v>
      </c>
      <c r="F1894" s="1" t="s">
        <v>15</v>
      </c>
      <c r="G1894" s="1" t="s">
        <v>32</v>
      </c>
      <c r="H1894">
        <v>101</v>
      </c>
      <c r="I1894">
        <v>68</v>
      </c>
      <c r="J1894">
        <v>199</v>
      </c>
      <c r="K1894" s="1" t="s">
        <v>146</v>
      </c>
      <c r="L1894" s="1" t="s">
        <v>120</v>
      </c>
      <c r="M1894" s="1" t="s">
        <v>4014</v>
      </c>
      <c r="N1894" s="1" t="s">
        <v>4026</v>
      </c>
    </row>
    <row r="1895" spans="1:14" x14ac:dyDescent="0.35">
      <c r="A1895">
        <v>6271026</v>
      </c>
      <c r="B1895" s="1" t="s">
        <v>3990</v>
      </c>
      <c r="C1895">
        <v>2879.5</v>
      </c>
      <c r="D1895">
        <v>19</v>
      </c>
      <c r="E1895" s="1" t="s">
        <v>4027</v>
      </c>
      <c r="F1895" s="1" t="s">
        <v>15</v>
      </c>
      <c r="G1895" s="1" t="s">
        <v>32</v>
      </c>
      <c r="H1895">
        <v>107</v>
      </c>
      <c r="I1895">
        <v>27</v>
      </c>
      <c r="J1895">
        <v>360</v>
      </c>
      <c r="K1895" s="1" t="s">
        <v>137</v>
      </c>
      <c r="L1895" s="1" t="s">
        <v>18</v>
      </c>
      <c r="M1895" s="1" t="s">
        <v>4014</v>
      </c>
      <c r="N1895" s="1" t="s">
        <v>4028</v>
      </c>
    </row>
    <row r="1896" spans="1:14" x14ac:dyDescent="0.35">
      <c r="A1896">
        <v>6271024</v>
      </c>
      <c r="B1896" s="1" t="s">
        <v>3990</v>
      </c>
      <c r="C1896">
        <v>2879.5</v>
      </c>
      <c r="D1896">
        <v>19</v>
      </c>
      <c r="E1896" s="1" t="s">
        <v>4029</v>
      </c>
      <c r="F1896" s="1" t="s">
        <v>15</v>
      </c>
      <c r="G1896" s="1" t="s">
        <v>32</v>
      </c>
      <c r="H1896">
        <v>104</v>
      </c>
      <c r="I1896">
        <v>39</v>
      </c>
      <c r="J1896">
        <v>261</v>
      </c>
      <c r="K1896" s="1" t="s">
        <v>444</v>
      </c>
      <c r="L1896" s="1" t="s">
        <v>24</v>
      </c>
      <c r="M1896" s="1" t="s">
        <v>4014</v>
      </c>
      <c r="N1896" s="1" t="s">
        <v>4030</v>
      </c>
    </row>
    <row r="1897" spans="1:14" x14ac:dyDescent="0.35">
      <c r="A1897">
        <v>6271023</v>
      </c>
      <c r="B1897" s="1" t="s">
        <v>3990</v>
      </c>
      <c r="C1897">
        <v>2879.5</v>
      </c>
      <c r="D1897">
        <v>19</v>
      </c>
      <c r="E1897" s="1" t="s">
        <v>4031</v>
      </c>
      <c r="F1897" s="1" t="s">
        <v>15</v>
      </c>
      <c r="G1897" s="1" t="s">
        <v>22</v>
      </c>
      <c r="H1897">
        <v>60</v>
      </c>
      <c r="I1897">
        <v>28</v>
      </c>
      <c r="J1897">
        <v>50</v>
      </c>
      <c r="K1897" s="1" t="s">
        <v>27</v>
      </c>
      <c r="L1897" s="1" t="s">
        <v>24</v>
      </c>
      <c r="M1897" s="1" t="s">
        <v>4014</v>
      </c>
      <c r="N1897" s="1" t="s">
        <v>4032</v>
      </c>
    </row>
    <row r="1898" spans="1:14" x14ac:dyDescent="0.35">
      <c r="A1898">
        <v>6271080</v>
      </c>
      <c r="B1898" s="1" t="s">
        <v>3990</v>
      </c>
      <c r="C1898">
        <v>2879.5</v>
      </c>
      <c r="D1898">
        <v>19</v>
      </c>
      <c r="E1898" s="1" t="s">
        <v>4033</v>
      </c>
      <c r="F1898" s="1" t="s">
        <v>15</v>
      </c>
      <c r="G1898" s="1" t="s">
        <v>22</v>
      </c>
      <c r="H1898">
        <v>51</v>
      </c>
      <c r="I1898">
        <v>47</v>
      </c>
      <c r="K1898" s="1" t="s">
        <v>23</v>
      </c>
      <c r="L1898" s="1" t="s">
        <v>24</v>
      </c>
      <c r="M1898" s="1" t="s">
        <v>4014</v>
      </c>
      <c r="N1898" s="1" t="s">
        <v>4034</v>
      </c>
    </row>
    <row r="1899" spans="1:14" x14ac:dyDescent="0.35">
      <c r="A1899">
        <v>6201012</v>
      </c>
      <c r="B1899" s="1" t="s">
        <v>3990</v>
      </c>
      <c r="C1899">
        <v>2879.5</v>
      </c>
      <c r="D1899">
        <v>19</v>
      </c>
      <c r="E1899" s="1" t="s">
        <v>4035</v>
      </c>
      <c r="F1899" s="1" t="s">
        <v>15</v>
      </c>
      <c r="G1899" s="1" t="s">
        <v>16</v>
      </c>
      <c r="H1899">
        <v>235</v>
      </c>
      <c r="I1899">
        <v>119</v>
      </c>
      <c r="J1899">
        <v>254</v>
      </c>
      <c r="K1899" s="1" t="s">
        <v>17</v>
      </c>
      <c r="L1899" s="1" t="s">
        <v>18</v>
      </c>
      <c r="M1899" s="1" t="s">
        <v>4036</v>
      </c>
      <c r="N1899" s="1" t="s">
        <v>4037</v>
      </c>
    </row>
    <row r="1900" spans="1:14" x14ac:dyDescent="0.35">
      <c r="A1900">
        <v>6201013</v>
      </c>
      <c r="B1900" s="1" t="s">
        <v>3990</v>
      </c>
      <c r="C1900">
        <v>2879.5</v>
      </c>
      <c r="D1900">
        <v>19</v>
      </c>
      <c r="E1900" s="1" t="s">
        <v>4038</v>
      </c>
      <c r="F1900" s="1" t="s">
        <v>15</v>
      </c>
      <c r="G1900" s="1" t="s">
        <v>22</v>
      </c>
      <c r="H1900">
        <v>52</v>
      </c>
      <c r="I1900">
        <v>46</v>
      </c>
      <c r="J1900">
        <v>48</v>
      </c>
      <c r="K1900" s="1" t="s">
        <v>90</v>
      </c>
      <c r="L1900" s="1" t="s">
        <v>24</v>
      </c>
      <c r="M1900" s="1" t="s">
        <v>4036</v>
      </c>
      <c r="N1900" s="1" t="s">
        <v>4039</v>
      </c>
    </row>
    <row r="1901" spans="1:14" x14ac:dyDescent="0.35">
      <c r="A1901">
        <v>6201016</v>
      </c>
      <c r="B1901" s="1" t="s">
        <v>3990</v>
      </c>
      <c r="C1901">
        <v>2879.5</v>
      </c>
      <c r="D1901">
        <v>19</v>
      </c>
      <c r="E1901" s="1" t="s">
        <v>4040</v>
      </c>
      <c r="F1901" s="1" t="s">
        <v>15</v>
      </c>
      <c r="G1901" s="1" t="s">
        <v>22</v>
      </c>
      <c r="H1901">
        <v>54</v>
      </c>
      <c r="I1901">
        <v>29</v>
      </c>
      <c r="J1901">
        <v>99</v>
      </c>
      <c r="K1901" s="1" t="s">
        <v>23</v>
      </c>
      <c r="L1901" s="1" t="s">
        <v>24</v>
      </c>
      <c r="M1901" s="1" t="s">
        <v>4036</v>
      </c>
      <c r="N1901" s="1" t="s">
        <v>4041</v>
      </c>
    </row>
    <row r="1902" spans="1:14" x14ac:dyDescent="0.35">
      <c r="A1902">
        <v>6201027</v>
      </c>
      <c r="B1902" s="1" t="s">
        <v>3990</v>
      </c>
      <c r="C1902">
        <v>2879.5</v>
      </c>
      <c r="D1902">
        <v>19</v>
      </c>
      <c r="E1902" s="1" t="s">
        <v>4042</v>
      </c>
      <c r="F1902" s="1" t="s">
        <v>15</v>
      </c>
      <c r="G1902" s="1" t="s">
        <v>52</v>
      </c>
      <c r="H1902">
        <v>30</v>
      </c>
      <c r="I1902">
        <v>16</v>
      </c>
      <c r="K1902" s="1" t="s">
        <v>17</v>
      </c>
      <c r="L1902" s="1" t="s">
        <v>24</v>
      </c>
      <c r="M1902" s="1" t="s">
        <v>4036</v>
      </c>
      <c r="N1902" s="1" t="s">
        <v>4043</v>
      </c>
    </row>
    <row r="1903" spans="1:14" x14ac:dyDescent="0.35">
      <c r="A1903">
        <v>6202013</v>
      </c>
      <c r="B1903" s="1" t="s">
        <v>3990</v>
      </c>
      <c r="C1903">
        <v>2879.5</v>
      </c>
      <c r="D1903">
        <v>19</v>
      </c>
      <c r="E1903" s="1" t="s">
        <v>4044</v>
      </c>
      <c r="F1903" s="1" t="s">
        <v>15</v>
      </c>
      <c r="G1903" s="1" t="s">
        <v>16</v>
      </c>
      <c r="H1903">
        <v>302</v>
      </c>
      <c r="I1903">
        <v>89</v>
      </c>
      <c r="J1903">
        <v>695</v>
      </c>
      <c r="K1903" s="1" t="s">
        <v>17</v>
      </c>
      <c r="L1903" s="1" t="s">
        <v>18</v>
      </c>
      <c r="M1903" s="1" t="s">
        <v>4045</v>
      </c>
      <c r="N1903" s="1" t="s">
        <v>4046</v>
      </c>
    </row>
    <row r="1904" spans="1:14" x14ac:dyDescent="0.35">
      <c r="A1904">
        <v>6202025</v>
      </c>
      <c r="B1904" s="1" t="s">
        <v>3990</v>
      </c>
      <c r="C1904">
        <v>2879.5</v>
      </c>
      <c r="D1904">
        <v>19</v>
      </c>
      <c r="E1904" s="1" t="s">
        <v>4047</v>
      </c>
      <c r="F1904" s="1" t="s">
        <v>15</v>
      </c>
      <c r="G1904" s="1" t="s">
        <v>52</v>
      </c>
      <c r="I1904">
        <v>10</v>
      </c>
      <c r="J1904">
        <v>38</v>
      </c>
      <c r="K1904" s="1" t="s">
        <v>17</v>
      </c>
      <c r="L1904" s="1" t="s">
        <v>18</v>
      </c>
      <c r="M1904" s="1" t="s">
        <v>4045</v>
      </c>
      <c r="N1904" s="1" t="s">
        <v>4048</v>
      </c>
    </row>
    <row r="1905" spans="1:14" x14ac:dyDescent="0.35">
      <c r="A1905">
        <v>6207012</v>
      </c>
      <c r="B1905" s="1" t="s">
        <v>3990</v>
      </c>
      <c r="C1905">
        <v>2879.5</v>
      </c>
      <c r="D1905">
        <v>19</v>
      </c>
      <c r="E1905" s="1" t="s">
        <v>4049</v>
      </c>
      <c r="F1905" s="1" t="s">
        <v>15</v>
      </c>
      <c r="G1905" s="1" t="s">
        <v>32</v>
      </c>
      <c r="H1905">
        <v>150</v>
      </c>
      <c r="I1905">
        <v>23</v>
      </c>
      <c r="J1905">
        <v>193</v>
      </c>
      <c r="K1905" s="1" t="s">
        <v>17</v>
      </c>
      <c r="L1905" s="1" t="s">
        <v>18</v>
      </c>
      <c r="M1905" s="1" t="s">
        <v>4050</v>
      </c>
      <c r="N1905" s="1" t="s">
        <v>4051</v>
      </c>
    </row>
    <row r="1906" spans="1:14" x14ac:dyDescent="0.35">
      <c r="A1906">
        <v>6213022</v>
      </c>
      <c r="B1906" s="1" t="s">
        <v>3990</v>
      </c>
      <c r="C1906">
        <v>2879.5</v>
      </c>
      <c r="D1906">
        <v>19</v>
      </c>
      <c r="E1906" s="1" t="s">
        <v>4052</v>
      </c>
      <c r="F1906" s="1" t="s">
        <v>15</v>
      </c>
      <c r="G1906" s="1" t="s">
        <v>32</v>
      </c>
      <c r="H1906">
        <v>155</v>
      </c>
      <c r="I1906">
        <v>35</v>
      </c>
      <c r="J1906">
        <v>344</v>
      </c>
      <c r="K1906" s="1" t="s">
        <v>17</v>
      </c>
      <c r="L1906" s="1" t="s">
        <v>18</v>
      </c>
      <c r="M1906" s="1" t="s">
        <v>4053</v>
      </c>
      <c r="N1906" s="1" t="s">
        <v>4054</v>
      </c>
    </row>
    <row r="1907" spans="1:14" x14ac:dyDescent="0.35">
      <c r="A1907">
        <v>6271068</v>
      </c>
      <c r="B1907" s="1" t="s">
        <v>3990</v>
      </c>
      <c r="C1907">
        <v>2879.5</v>
      </c>
      <c r="D1907">
        <v>19</v>
      </c>
      <c r="E1907" s="1" t="s">
        <v>4055</v>
      </c>
      <c r="F1907" s="1" t="s">
        <v>129</v>
      </c>
      <c r="G1907" s="1" t="s">
        <v>16</v>
      </c>
      <c r="H1907">
        <v>84</v>
      </c>
      <c r="I1907">
        <v>36</v>
      </c>
      <c r="J1907">
        <v>87</v>
      </c>
      <c r="K1907" s="1" t="s">
        <v>124</v>
      </c>
      <c r="L1907" s="1" t="s">
        <v>18</v>
      </c>
      <c r="M1907" s="1" t="s">
        <v>4056</v>
      </c>
      <c r="N1907" s="1" t="s">
        <v>4057</v>
      </c>
    </row>
    <row r="1908" spans="1:14" x14ac:dyDescent="0.35">
      <c r="A1908">
        <v>6210015</v>
      </c>
      <c r="B1908" s="1" t="s">
        <v>3990</v>
      </c>
      <c r="C1908">
        <v>2879.5</v>
      </c>
      <c r="D1908">
        <v>19</v>
      </c>
      <c r="E1908" s="1" t="s">
        <v>4058</v>
      </c>
      <c r="F1908" s="1" t="s">
        <v>15</v>
      </c>
      <c r="G1908" s="1" t="s">
        <v>32</v>
      </c>
      <c r="H1908">
        <v>145</v>
      </c>
      <c r="I1908">
        <v>19</v>
      </c>
      <c r="J1908">
        <v>193</v>
      </c>
      <c r="K1908" s="1" t="s">
        <v>17</v>
      </c>
      <c r="L1908" s="1" t="s">
        <v>18</v>
      </c>
      <c r="M1908" s="1" t="s">
        <v>4056</v>
      </c>
      <c r="N1908" s="1" t="s">
        <v>4059</v>
      </c>
    </row>
    <row r="1909" spans="1:14" x14ac:dyDescent="0.35">
      <c r="A1909">
        <v>6208013</v>
      </c>
      <c r="B1909" s="1" t="s">
        <v>3990</v>
      </c>
      <c r="C1909">
        <v>2879.5</v>
      </c>
      <c r="D1909">
        <v>19</v>
      </c>
      <c r="E1909" s="1" t="s">
        <v>4060</v>
      </c>
      <c r="F1909" s="1" t="s">
        <v>15</v>
      </c>
      <c r="G1909" s="1" t="s">
        <v>32</v>
      </c>
      <c r="H1909">
        <v>101</v>
      </c>
      <c r="I1909">
        <v>21</v>
      </c>
      <c r="J1909">
        <v>237</v>
      </c>
      <c r="K1909" s="1" t="s">
        <v>124</v>
      </c>
      <c r="L1909" s="1" t="s">
        <v>18</v>
      </c>
      <c r="M1909" s="1" t="s">
        <v>4061</v>
      </c>
      <c r="N1909" s="1" t="s">
        <v>4062</v>
      </c>
    </row>
    <row r="1910" spans="1:14" x14ac:dyDescent="0.35">
      <c r="A1910">
        <v>6208014</v>
      </c>
      <c r="B1910" s="1" t="s">
        <v>3990</v>
      </c>
      <c r="C1910">
        <v>2879.5</v>
      </c>
      <c r="D1910">
        <v>19</v>
      </c>
      <c r="E1910" s="1" t="s">
        <v>4063</v>
      </c>
      <c r="F1910" s="1" t="s">
        <v>15</v>
      </c>
      <c r="G1910" s="1" t="s">
        <v>32</v>
      </c>
      <c r="H1910">
        <v>105</v>
      </c>
      <c r="I1910">
        <v>43</v>
      </c>
      <c r="J1910">
        <v>337</v>
      </c>
      <c r="K1910" s="1" t="s">
        <v>17</v>
      </c>
      <c r="L1910" s="1" t="s">
        <v>18</v>
      </c>
      <c r="M1910" s="1" t="s">
        <v>4061</v>
      </c>
      <c r="N1910" s="1" t="s">
        <v>4064</v>
      </c>
    </row>
    <row r="1911" spans="1:14" x14ac:dyDescent="0.35">
      <c r="A1911">
        <v>6207033</v>
      </c>
      <c r="B1911" s="1" t="s">
        <v>3990</v>
      </c>
      <c r="C1911">
        <v>2879.5</v>
      </c>
      <c r="D1911">
        <v>19</v>
      </c>
      <c r="E1911" s="1" t="s">
        <v>4065</v>
      </c>
      <c r="F1911" s="1" t="s">
        <v>15</v>
      </c>
      <c r="G1911" s="1" t="s">
        <v>32</v>
      </c>
      <c r="H1911">
        <v>104</v>
      </c>
      <c r="I1911">
        <v>32</v>
      </c>
      <c r="J1911">
        <v>334</v>
      </c>
      <c r="K1911" s="1" t="s">
        <v>17</v>
      </c>
      <c r="L1911" s="1" t="s">
        <v>18</v>
      </c>
      <c r="M1911" s="1" t="s">
        <v>4066</v>
      </c>
      <c r="N1911" s="1" t="s">
        <v>4067</v>
      </c>
    </row>
    <row r="1912" spans="1:14" x14ac:dyDescent="0.35">
      <c r="A1912">
        <v>6405011</v>
      </c>
      <c r="B1912" s="1" t="s">
        <v>4068</v>
      </c>
      <c r="C1912">
        <v>4478.3999999999996</v>
      </c>
      <c r="D1912">
        <v>35</v>
      </c>
      <c r="E1912" s="1" t="s">
        <v>4069</v>
      </c>
      <c r="F1912" s="1" t="s">
        <v>15</v>
      </c>
      <c r="G1912" s="1" t="s">
        <v>32</v>
      </c>
      <c r="H1912">
        <v>261</v>
      </c>
      <c r="I1912">
        <v>49</v>
      </c>
      <c r="J1912">
        <v>689</v>
      </c>
      <c r="K1912" s="1" t="s">
        <v>17</v>
      </c>
      <c r="L1912" s="1" t="s">
        <v>18</v>
      </c>
      <c r="M1912" s="1" t="s">
        <v>4070</v>
      </c>
      <c r="N1912" s="1" t="s">
        <v>4071</v>
      </c>
    </row>
    <row r="1913" spans="1:14" x14ac:dyDescent="0.35">
      <c r="A1913">
        <v>6405012</v>
      </c>
      <c r="B1913" s="1" t="s">
        <v>4068</v>
      </c>
      <c r="C1913">
        <v>4478.3999999999996</v>
      </c>
      <c r="D1913">
        <v>35</v>
      </c>
      <c r="E1913" s="1" t="s">
        <v>4072</v>
      </c>
      <c r="F1913" s="1" t="s">
        <v>15</v>
      </c>
      <c r="G1913" s="1" t="s">
        <v>22</v>
      </c>
      <c r="H1913">
        <v>67</v>
      </c>
      <c r="I1913">
        <v>21</v>
      </c>
      <c r="J1913">
        <v>131</v>
      </c>
      <c r="K1913" s="1" t="s">
        <v>17</v>
      </c>
      <c r="L1913" s="1" t="s">
        <v>24</v>
      </c>
      <c r="M1913" s="1" t="s">
        <v>4070</v>
      </c>
      <c r="N1913" s="1" t="s">
        <v>4073</v>
      </c>
    </row>
    <row r="1914" spans="1:14" x14ac:dyDescent="0.35">
      <c r="A1914">
        <v>6471074</v>
      </c>
      <c r="B1914" s="1" t="s">
        <v>4068</v>
      </c>
      <c r="C1914">
        <v>4478.3999999999996</v>
      </c>
      <c r="D1914">
        <v>35</v>
      </c>
      <c r="E1914" s="1" t="s">
        <v>4074</v>
      </c>
      <c r="F1914" s="1" t="s">
        <v>71</v>
      </c>
      <c r="G1914" s="1" t="s">
        <v>32</v>
      </c>
      <c r="H1914">
        <v>42</v>
      </c>
      <c r="I1914">
        <v>20</v>
      </c>
      <c r="J1914">
        <v>77</v>
      </c>
      <c r="K1914" s="1" t="s">
        <v>23</v>
      </c>
      <c r="L1914" s="1" t="s">
        <v>24</v>
      </c>
      <c r="M1914" s="1" t="s">
        <v>4075</v>
      </c>
      <c r="N1914" s="1" t="s">
        <v>4076</v>
      </c>
    </row>
    <row r="1915" spans="1:14" x14ac:dyDescent="0.35">
      <c r="A1915">
        <v>6471085</v>
      </c>
      <c r="B1915" s="1" t="s">
        <v>4068</v>
      </c>
      <c r="C1915">
        <v>4478.3999999999996</v>
      </c>
      <c r="D1915">
        <v>35</v>
      </c>
      <c r="E1915" s="1" t="s">
        <v>4077</v>
      </c>
      <c r="F1915" s="1" t="s">
        <v>71</v>
      </c>
      <c r="G1915" s="1" t="s">
        <v>32</v>
      </c>
      <c r="H1915">
        <v>42</v>
      </c>
      <c r="I1915">
        <v>14</v>
      </c>
      <c r="J1915">
        <v>79</v>
      </c>
      <c r="K1915" s="1" t="s">
        <v>90</v>
      </c>
      <c r="L1915" s="1" t="s">
        <v>24</v>
      </c>
      <c r="M1915" s="1" t="s">
        <v>4075</v>
      </c>
      <c r="N1915" s="1" t="s">
        <v>4078</v>
      </c>
    </row>
    <row r="1916" spans="1:14" x14ac:dyDescent="0.35">
      <c r="A1916">
        <v>6471062</v>
      </c>
      <c r="B1916" s="1" t="s">
        <v>4068</v>
      </c>
      <c r="C1916">
        <v>4478.3999999999996</v>
      </c>
      <c r="D1916">
        <v>35</v>
      </c>
      <c r="E1916" s="1" t="s">
        <v>4079</v>
      </c>
      <c r="F1916" s="1" t="s">
        <v>71</v>
      </c>
      <c r="G1916" s="1" t="s">
        <v>32</v>
      </c>
      <c r="H1916">
        <v>41</v>
      </c>
      <c r="I1916">
        <v>10</v>
      </c>
      <c r="J1916">
        <v>160</v>
      </c>
      <c r="K1916" s="1" t="s">
        <v>137</v>
      </c>
      <c r="L1916" s="1" t="s">
        <v>18</v>
      </c>
      <c r="M1916" s="1" t="s">
        <v>4075</v>
      </c>
      <c r="N1916" s="1" t="s">
        <v>4080</v>
      </c>
    </row>
    <row r="1917" spans="1:14" x14ac:dyDescent="0.35">
      <c r="A1917">
        <v>6471082</v>
      </c>
      <c r="B1917" s="1" t="s">
        <v>4068</v>
      </c>
      <c r="C1917">
        <v>4478.3999999999996</v>
      </c>
      <c r="D1917">
        <v>35</v>
      </c>
      <c r="E1917" s="1" t="s">
        <v>4081</v>
      </c>
      <c r="F1917" s="1" t="s">
        <v>334</v>
      </c>
      <c r="G1917" s="1" t="s">
        <v>32</v>
      </c>
      <c r="H1917">
        <v>18</v>
      </c>
      <c r="I1917">
        <v>1</v>
      </c>
      <c r="J1917">
        <v>54</v>
      </c>
      <c r="K1917" s="1" t="s">
        <v>90</v>
      </c>
      <c r="L1917" s="1" t="s">
        <v>24</v>
      </c>
      <c r="M1917" s="1" t="s">
        <v>4075</v>
      </c>
      <c r="N1917" s="1" t="s">
        <v>4082</v>
      </c>
    </row>
    <row r="1918" spans="1:14" x14ac:dyDescent="0.35">
      <c r="A1918">
        <v>6471014</v>
      </c>
      <c r="B1918" s="1" t="s">
        <v>4068</v>
      </c>
      <c r="C1918">
        <v>4478.3999999999996</v>
      </c>
      <c r="D1918">
        <v>35</v>
      </c>
      <c r="E1918" s="1" t="s">
        <v>4083</v>
      </c>
      <c r="F1918" s="1" t="s">
        <v>15</v>
      </c>
      <c r="G1918" s="1" t="s">
        <v>130</v>
      </c>
      <c r="H1918">
        <v>574</v>
      </c>
      <c r="I1918">
        <v>61</v>
      </c>
      <c r="J1918">
        <v>1273</v>
      </c>
      <c r="K1918" s="1" t="s">
        <v>124</v>
      </c>
      <c r="L1918" s="1" t="s">
        <v>18</v>
      </c>
      <c r="M1918" s="1" t="s">
        <v>4075</v>
      </c>
      <c r="N1918" s="1" t="s">
        <v>4084</v>
      </c>
    </row>
    <row r="1919" spans="1:14" x14ac:dyDescent="0.35">
      <c r="A1919">
        <v>6471075</v>
      </c>
      <c r="B1919" s="1" t="s">
        <v>4068</v>
      </c>
      <c r="C1919">
        <v>4478.3999999999996</v>
      </c>
      <c r="D1919">
        <v>35</v>
      </c>
      <c r="E1919" s="1" t="s">
        <v>4085</v>
      </c>
      <c r="F1919" s="1" t="s">
        <v>15</v>
      </c>
      <c r="G1919" s="1" t="s">
        <v>16</v>
      </c>
      <c r="H1919">
        <v>205</v>
      </c>
      <c r="I1919">
        <v>85</v>
      </c>
      <c r="J1919">
        <v>397</v>
      </c>
      <c r="K1919" s="1" t="s">
        <v>23</v>
      </c>
      <c r="L1919" s="1" t="s">
        <v>24</v>
      </c>
      <c r="M1919" s="1" t="s">
        <v>4075</v>
      </c>
      <c r="N1919" s="1" t="s">
        <v>4086</v>
      </c>
    </row>
    <row r="1920" spans="1:14" x14ac:dyDescent="0.35">
      <c r="A1920">
        <v>6471086</v>
      </c>
      <c r="B1920" s="1" t="s">
        <v>4068</v>
      </c>
      <c r="C1920">
        <v>4478.3999999999996</v>
      </c>
      <c r="D1920">
        <v>35</v>
      </c>
      <c r="E1920" s="1" t="s">
        <v>4087</v>
      </c>
      <c r="F1920" s="1" t="s">
        <v>15</v>
      </c>
      <c r="G1920" s="1" t="s">
        <v>32</v>
      </c>
      <c r="H1920">
        <v>131</v>
      </c>
      <c r="I1920">
        <v>70</v>
      </c>
      <c r="J1920">
        <v>228</v>
      </c>
      <c r="K1920" s="1" t="s">
        <v>23</v>
      </c>
      <c r="L1920" s="1" t="s">
        <v>24</v>
      </c>
      <c r="M1920" s="1" t="s">
        <v>4075</v>
      </c>
      <c r="N1920" s="1" t="s">
        <v>4088</v>
      </c>
    </row>
    <row r="1921" spans="1:14" x14ac:dyDescent="0.35">
      <c r="A1921">
        <v>6471036</v>
      </c>
      <c r="B1921" s="1" t="s">
        <v>4068</v>
      </c>
      <c r="C1921">
        <v>4478.3999999999996</v>
      </c>
      <c r="D1921">
        <v>35</v>
      </c>
      <c r="E1921" s="1" t="s">
        <v>4089</v>
      </c>
      <c r="F1921" s="1" t="s">
        <v>15</v>
      </c>
      <c r="G1921" s="1" t="s">
        <v>32</v>
      </c>
      <c r="H1921">
        <v>144</v>
      </c>
      <c r="I1921">
        <v>66</v>
      </c>
      <c r="J1921">
        <v>550</v>
      </c>
      <c r="K1921" s="1" t="s">
        <v>27</v>
      </c>
      <c r="L1921" s="1" t="s">
        <v>120</v>
      </c>
      <c r="M1921" s="1" t="s">
        <v>4075</v>
      </c>
      <c r="N1921" s="1" t="s">
        <v>4090</v>
      </c>
    </row>
    <row r="1922" spans="1:14" x14ac:dyDescent="0.35">
      <c r="A1922">
        <v>6471073</v>
      </c>
      <c r="B1922" s="1" t="s">
        <v>4068</v>
      </c>
      <c r="C1922">
        <v>4478.3999999999996</v>
      </c>
      <c r="D1922">
        <v>35</v>
      </c>
      <c r="E1922" s="1" t="s">
        <v>4091</v>
      </c>
      <c r="F1922" s="1" t="s">
        <v>15</v>
      </c>
      <c r="G1922" s="1" t="s">
        <v>32</v>
      </c>
      <c r="H1922">
        <v>141</v>
      </c>
      <c r="I1922">
        <v>47</v>
      </c>
      <c r="J1922">
        <v>297</v>
      </c>
      <c r="K1922" s="1" t="s">
        <v>146</v>
      </c>
      <c r="L1922" s="1" t="s">
        <v>120</v>
      </c>
      <c r="M1922" s="1" t="s">
        <v>4075</v>
      </c>
      <c r="N1922" s="1" t="s">
        <v>4092</v>
      </c>
    </row>
    <row r="1923" spans="1:14" x14ac:dyDescent="0.35">
      <c r="A1923">
        <v>6471025</v>
      </c>
      <c r="B1923" s="1" t="s">
        <v>4068</v>
      </c>
      <c r="C1923">
        <v>4478.3999999999996</v>
      </c>
      <c r="D1923">
        <v>35</v>
      </c>
      <c r="E1923" s="1" t="s">
        <v>4093</v>
      </c>
      <c r="F1923" s="1" t="s">
        <v>15</v>
      </c>
      <c r="G1923" s="1" t="s">
        <v>32</v>
      </c>
      <c r="H1923">
        <v>180</v>
      </c>
      <c r="I1923">
        <v>55</v>
      </c>
      <c r="J1923">
        <v>310</v>
      </c>
      <c r="K1923" s="1" t="s">
        <v>61</v>
      </c>
      <c r="L1923" s="1" t="s">
        <v>24</v>
      </c>
      <c r="M1923" s="1" t="s">
        <v>4075</v>
      </c>
      <c r="N1923" s="1" t="s">
        <v>4094</v>
      </c>
    </row>
    <row r="1924" spans="1:14" x14ac:dyDescent="0.35">
      <c r="A1924">
        <v>6471051</v>
      </c>
      <c r="B1924" s="1" t="s">
        <v>4068</v>
      </c>
      <c r="C1924">
        <v>4478.3999999999996</v>
      </c>
      <c r="D1924">
        <v>35</v>
      </c>
      <c r="E1924" s="1" t="s">
        <v>4095</v>
      </c>
      <c r="F1924" s="1" t="s">
        <v>15</v>
      </c>
      <c r="G1924" s="1" t="s">
        <v>32</v>
      </c>
      <c r="H1924">
        <v>166</v>
      </c>
      <c r="I1924">
        <v>76</v>
      </c>
      <c r="J1924">
        <v>216</v>
      </c>
      <c r="K1924" s="1" t="s">
        <v>23</v>
      </c>
      <c r="L1924" s="1" t="s">
        <v>24</v>
      </c>
      <c r="M1924" s="1" t="s">
        <v>4075</v>
      </c>
      <c r="N1924" s="1" t="s">
        <v>4096</v>
      </c>
    </row>
    <row r="1925" spans="1:14" x14ac:dyDescent="0.35">
      <c r="A1925">
        <v>6471079</v>
      </c>
      <c r="B1925" s="1" t="s">
        <v>4068</v>
      </c>
      <c r="C1925">
        <v>4478.3999999999996</v>
      </c>
      <c r="D1925">
        <v>35</v>
      </c>
      <c r="E1925" s="1" t="s">
        <v>4097</v>
      </c>
      <c r="F1925" s="1" t="s">
        <v>15</v>
      </c>
      <c r="G1925" s="1" t="s">
        <v>32</v>
      </c>
      <c r="H1925">
        <v>147</v>
      </c>
      <c r="I1925">
        <v>46</v>
      </c>
      <c r="J1925">
        <v>423</v>
      </c>
      <c r="K1925" s="1" t="s">
        <v>137</v>
      </c>
      <c r="L1925" s="1" t="s">
        <v>18</v>
      </c>
      <c r="M1925" s="1" t="s">
        <v>4075</v>
      </c>
      <c r="N1925" s="1" t="s">
        <v>4098</v>
      </c>
    </row>
    <row r="1926" spans="1:14" x14ac:dyDescent="0.35">
      <c r="A1926">
        <v>6471078</v>
      </c>
      <c r="B1926" s="1" t="s">
        <v>4068</v>
      </c>
      <c r="C1926">
        <v>4478.3999999999996</v>
      </c>
      <c r="D1926">
        <v>35</v>
      </c>
      <c r="E1926" s="1" t="s">
        <v>4099</v>
      </c>
      <c r="F1926" s="1" t="s">
        <v>15</v>
      </c>
      <c r="G1926" s="1" t="s">
        <v>22</v>
      </c>
      <c r="H1926">
        <v>69</v>
      </c>
      <c r="I1926">
        <v>20</v>
      </c>
      <c r="J1926">
        <v>36</v>
      </c>
      <c r="K1926" s="1" t="s">
        <v>974</v>
      </c>
      <c r="L1926" s="1" t="s">
        <v>24</v>
      </c>
      <c r="M1926" s="1" t="s">
        <v>4075</v>
      </c>
      <c r="N1926" s="1" t="s">
        <v>4100</v>
      </c>
    </row>
    <row r="1927" spans="1:14" x14ac:dyDescent="0.35">
      <c r="A1927">
        <v>6471077</v>
      </c>
      <c r="B1927" s="1" t="s">
        <v>4068</v>
      </c>
      <c r="C1927">
        <v>4478.3999999999996</v>
      </c>
      <c r="D1927">
        <v>35</v>
      </c>
      <c r="E1927" s="1" t="s">
        <v>4101</v>
      </c>
      <c r="F1927" s="1" t="s">
        <v>15</v>
      </c>
      <c r="G1927" s="1" t="s">
        <v>22</v>
      </c>
      <c r="H1927">
        <v>57</v>
      </c>
      <c r="I1927">
        <v>29</v>
      </c>
      <c r="J1927">
        <v>112</v>
      </c>
      <c r="K1927" s="1" t="s">
        <v>23</v>
      </c>
      <c r="L1927" s="1" t="s">
        <v>24</v>
      </c>
      <c r="M1927" s="1" t="s">
        <v>4075</v>
      </c>
      <c r="N1927" s="1" t="s">
        <v>4102</v>
      </c>
    </row>
    <row r="1928" spans="1:14" x14ac:dyDescent="0.35">
      <c r="A1928">
        <v>6471087</v>
      </c>
      <c r="B1928" s="1" t="s">
        <v>4068</v>
      </c>
      <c r="C1928">
        <v>4478.3999999999996</v>
      </c>
      <c r="D1928">
        <v>35</v>
      </c>
      <c r="E1928" s="1" t="s">
        <v>4103</v>
      </c>
      <c r="F1928" s="1" t="s">
        <v>15</v>
      </c>
      <c r="G1928" s="1" t="s">
        <v>22</v>
      </c>
      <c r="H1928">
        <v>50</v>
      </c>
      <c r="I1928">
        <v>15</v>
      </c>
      <c r="J1928">
        <v>29</v>
      </c>
      <c r="K1928" s="1" t="s">
        <v>90</v>
      </c>
      <c r="L1928" s="1" t="s">
        <v>24</v>
      </c>
      <c r="M1928" s="1" t="s">
        <v>4075</v>
      </c>
      <c r="N1928" s="1" t="s">
        <v>4104</v>
      </c>
    </row>
    <row r="1929" spans="1:14" x14ac:dyDescent="0.35">
      <c r="A1929">
        <v>6474032</v>
      </c>
      <c r="B1929" s="1" t="s">
        <v>4068</v>
      </c>
      <c r="C1929">
        <v>4478.3999999999996</v>
      </c>
      <c r="D1929">
        <v>35</v>
      </c>
      <c r="E1929" s="1" t="s">
        <v>4105</v>
      </c>
      <c r="F1929" s="1" t="s">
        <v>15</v>
      </c>
      <c r="G1929" s="1" t="s">
        <v>16</v>
      </c>
      <c r="H1929">
        <v>200</v>
      </c>
      <c r="I1929">
        <v>112</v>
      </c>
      <c r="J1929">
        <v>598</v>
      </c>
      <c r="K1929" s="1" t="s">
        <v>137</v>
      </c>
      <c r="L1929" s="1" t="s">
        <v>18</v>
      </c>
      <c r="M1929" s="1" t="s">
        <v>4106</v>
      </c>
      <c r="N1929" s="1" t="s">
        <v>4107</v>
      </c>
    </row>
    <row r="1930" spans="1:14" x14ac:dyDescent="0.35">
      <c r="A1930">
        <v>6474021</v>
      </c>
      <c r="B1930" s="1" t="s">
        <v>4068</v>
      </c>
      <c r="C1930">
        <v>4478.3999999999996</v>
      </c>
      <c r="D1930">
        <v>35</v>
      </c>
      <c r="E1930" s="1" t="s">
        <v>4108</v>
      </c>
      <c r="F1930" s="1" t="s">
        <v>15</v>
      </c>
      <c r="G1930" s="1" t="s">
        <v>32</v>
      </c>
      <c r="H1930">
        <v>100</v>
      </c>
      <c r="I1930">
        <v>47</v>
      </c>
      <c r="J1930">
        <v>465</v>
      </c>
      <c r="K1930" s="1" t="s">
        <v>23</v>
      </c>
      <c r="L1930" s="1" t="s">
        <v>24</v>
      </c>
      <c r="M1930" s="1" t="s">
        <v>4106</v>
      </c>
      <c r="N1930" s="1" t="s">
        <v>4109</v>
      </c>
    </row>
    <row r="1931" spans="1:14" x14ac:dyDescent="0.35">
      <c r="A1931">
        <v>6474034</v>
      </c>
      <c r="B1931" s="1" t="s">
        <v>4068</v>
      </c>
      <c r="C1931">
        <v>4478.3999999999996</v>
      </c>
      <c r="D1931">
        <v>35</v>
      </c>
      <c r="E1931" s="1" t="s">
        <v>4110</v>
      </c>
      <c r="F1931" s="1" t="s">
        <v>15</v>
      </c>
      <c r="G1931" s="1" t="s">
        <v>32</v>
      </c>
      <c r="H1931">
        <v>99</v>
      </c>
      <c r="I1931">
        <v>32</v>
      </c>
      <c r="J1931">
        <v>170</v>
      </c>
      <c r="K1931" s="1" t="s">
        <v>23</v>
      </c>
      <c r="L1931" s="1" t="s">
        <v>24</v>
      </c>
      <c r="M1931" s="1" t="s">
        <v>4106</v>
      </c>
      <c r="N1931" s="1" t="s">
        <v>4111</v>
      </c>
    </row>
    <row r="1932" spans="1:14" x14ac:dyDescent="0.35">
      <c r="A1932">
        <v>6474033</v>
      </c>
      <c r="B1932" s="1" t="s">
        <v>4068</v>
      </c>
      <c r="C1932">
        <v>4478.3999999999996</v>
      </c>
      <c r="D1932">
        <v>35</v>
      </c>
      <c r="E1932" s="1" t="s">
        <v>4112</v>
      </c>
      <c r="F1932" s="1" t="s">
        <v>15</v>
      </c>
      <c r="G1932" s="1" t="s">
        <v>22</v>
      </c>
      <c r="H1932">
        <v>65</v>
      </c>
      <c r="I1932">
        <v>27</v>
      </c>
      <c r="J1932">
        <v>257</v>
      </c>
      <c r="K1932" s="1" t="s">
        <v>23</v>
      </c>
      <c r="L1932" s="1" t="s">
        <v>24</v>
      </c>
      <c r="M1932" s="1" t="s">
        <v>4106</v>
      </c>
      <c r="N1932" s="1" t="s">
        <v>4113</v>
      </c>
    </row>
    <row r="1933" spans="1:14" x14ac:dyDescent="0.35">
      <c r="A1933">
        <v>6474010</v>
      </c>
      <c r="B1933" s="1" t="s">
        <v>4068</v>
      </c>
      <c r="C1933">
        <v>4478.3999999999996</v>
      </c>
      <c r="D1933">
        <v>35</v>
      </c>
      <c r="E1933" s="1" t="s">
        <v>4114</v>
      </c>
      <c r="F1933" s="1" t="s">
        <v>15</v>
      </c>
      <c r="G1933" s="1" t="s">
        <v>22</v>
      </c>
      <c r="H1933">
        <v>51</v>
      </c>
      <c r="I1933">
        <v>27</v>
      </c>
      <c r="J1933">
        <v>71</v>
      </c>
      <c r="K1933" s="1" t="s">
        <v>23</v>
      </c>
      <c r="L1933" s="1" t="s">
        <v>24</v>
      </c>
      <c r="M1933" s="1" t="s">
        <v>4106</v>
      </c>
      <c r="N1933" s="1" t="s">
        <v>4115</v>
      </c>
    </row>
    <row r="1934" spans="1:14" x14ac:dyDescent="0.35">
      <c r="A1934">
        <v>6472121</v>
      </c>
      <c r="B1934" s="1" t="s">
        <v>4068</v>
      </c>
      <c r="C1934">
        <v>4478.3999999999996</v>
      </c>
      <c r="D1934">
        <v>35</v>
      </c>
      <c r="E1934" s="1" t="s">
        <v>4116</v>
      </c>
      <c r="F1934" s="1" t="s">
        <v>71</v>
      </c>
      <c r="G1934" s="1" t="s">
        <v>32</v>
      </c>
      <c r="H1934">
        <v>28</v>
      </c>
      <c r="I1934">
        <v>14</v>
      </c>
      <c r="J1934">
        <v>37</v>
      </c>
      <c r="K1934" s="1" t="s">
        <v>23</v>
      </c>
      <c r="L1934" s="1" t="s">
        <v>24</v>
      </c>
      <c r="M1934" s="1" t="s">
        <v>4117</v>
      </c>
      <c r="N1934" s="1" t="s">
        <v>4118</v>
      </c>
    </row>
    <row r="1935" spans="1:14" x14ac:dyDescent="0.35">
      <c r="A1935">
        <v>6472143</v>
      </c>
      <c r="B1935" s="1" t="s">
        <v>4068</v>
      </c>
      <c r="C1935">
        <v>4478.3999999999996</v>
      </c>
      <c r="D1935">
        <v>35</v>
      </c>
      <c r="E1935" s="1" t="s">
        <v>4119</v>
      </c>
      <c r="F1935" s="1" t="s">
        <v>71</v>
      </c>
      <c r="G1935" s="1" t="s">
        <v>32</v>
      </c>
      <c r="H1935">
        <v>31</v>
      </c>
      <c r="I1935">
        <v>25</v>
      </c>
      <c r="J1935">
        <v>2</v>
      </c>
      <c r="K1935" s="1" t="s">
        <v>90</v>
      </c>
      <c r="L1935" s="1" t="s">
        <v>24</v>
      </c>
      <c r="M1935" s="1" t="s">
        <v>4117</v>
      </c>
      <c r="N1935" s="1" t="s">
        <v>4120</v>
      </c>
    </row>
    <row r="1936" spans="1:14" x14ac:dyDescent="0.35">
      <c r="A1936">
        <v>6472052</v>
      </c>
      <c r="B1936" s="1" t="s">
        <v>4068</v>
      </c>
      <c r="C1936">
        <v>4478.3999999999996</v>
      </c>
      <c r="D1936">
        <v>35</v>
      </c>
      <c r="E1936" s="1" t="s">
        <v>4121</v>
      </c>
      <c r="F1936" s="1" t="s">
        <v>71</v>
      </c>
      <c r="G1936" s="1" t="s">
        <v>32</v>
      </c>
      <c r="H1936">
        <v>38</v>
      </c>
      <c r="I1936">
        <v>5</v>
      </c>
      <c r="J1936">
        <v>60</v>
      </c>
      <c r="K1936" s="1" t="s">
        <v>84</v>
      </c>
      <c r="L1936" s="1" t="s">
        <v>24</v>
      </c>
      <c r="M1936" s="1" t="s">
        <v>4117</v>
      </c>
      <c r="N1936" s="1" t="s">
        <v>4122</v>
      </c>
    </row>
    <row r="1937" spans="1:14" x14ac:dyDescent="0.35">
      <c r="A1937">
        <v>6472063</v>
      </c>
      <c r="B1937" s="1" t="s">
        <v>4068</v>
      </c>
      <c r="C1937">
        <v>4478.3999999999996</v>
      </c>
      <c r="D1937">
        <v>35</v>
      </c>
      <c r="E1937" s="1" t="s">
        <v>4123</v>
      </c>
      <c r="F1937" s="1" t="s">
        <v>129</v>
      </c>
      <c r="G1937" s="1" t="s">
        <v>130</v>
      </c>
      <c r="H1937">
        <v>200</v>
      </c>
      <c r="I1937">
        <v>24</v>
      </c>
      <c r="J1937">
        <v>398</v>
      </c>
      <c r="K1937" s="1" t="s">
        <v>124</v>
      </c>
      <c r="L1937" s="1" t="s">
        <v>18</v>
      </c>
      <c r="M1937" s="1" t="s">
        <v>4117</v>
      </c>
      <c r="N1937" s="1" t="s">
        <v>4124</v>
      </c>
    </row>
    <row r="1938" spans="1:14" x14ac:dyDescent="0.35">
      <c r="A1938">
        <v>6472131</v>
      </c>
      <c r="B1938" s="1" t="s">
        <v>4068</v>
      </c>
      <c r="C1938">
        <v>4478.3999999999996</v>
      </c>
      <c r="D1938">
        <v>35</v>
      </c>
      <c r="E1938" s="1" t="s">
        <v>4125</v>
      </c>
      <c r="F1938" s="1" t="s">
        <v>334</v>
      </c>
      <c r="G1938" s="1" t="s">
        <v>32</v>
      </c>
      <c r="H1938">
        <v>19</v>
      </c>
      <c r="I1938">
        <v>22</v>
      </c>
      <c r="K1938" s="1" t="s">
        <v>124</v>
      </c>
      <c r="L1938" s="1" t="s">
        <v>18</v>
      </c>
      <c r="M1938" s="1" t="s">
        <v>4117</v>
      </c>
      <c r="N1938" s="1" t="s">
        <v>4126</v>
      </c>
    </row>
    <row r="1939" spans="1:14" x14ac:dyDescent="0.35">
      <c r="A1939">
        <v>6472015</v>
      </c>
      <c r="B1939" s="1" t="s">
        <v>4068</v>
      </c>
      <c r="C1939">
        <v>4478.3999999999996</v>
      </c>
      <c r="D1939">
        <v>35</v>
      </c>
      <c r="E1939" s="1" t="s">
        <v>4127</v>
      </c>
      <c r="F1939" s="1" t="s">
        <v>15</v>
      </c>
      <c r="G1939" s="1" t="s">
        <v>130</v>
      </c>
      <c r="H1939">
        <v>572</v>
      </c>
      <c r="I1939">
        <v>61</v>
      </c>
      <c r="J1939">
        <v>2285</v>
      </c>
      <c r="K1939" s="1" t="s">
        <v>124</v>
      </c>
      <c r="L1939" s="1" t="s">
        <v>18</v>
      </c>
      <c r="M1939" s="1" t="s">
        <v>4117</v>
      </c>
      <c r="N1939" s="1" t="s">
        <v>4128</v>
      </c>
    </row>
    <row r="1940" spans="1:14" x14ac:dyDescent="0.35">
      <c r="A1940">
        <v>6472107</v>
      </c>
      <c r="B1940" s="1" t="s">
        <v>4068</v>
      </c>
      <c r="C1940">
        <v>4478.3999999999996</v>
      </c>
      <c r="D1940">
        <v>35</v>
      </c>
      <c r="E1940" s="1" t="s">
        <v>4129</v>
      </c>
      <c r="F1940" s="1" t="s">
        <v>15</v>
      </c>
      <c r="G1940" s="1" t="s">
        <v>32</v>
      </c>
      <c r="H1940">
        <v>134</v>
      </c>
      <c r="I1940">
        <v>27</v>
      </c>
      <c r="J1940">
        <v>151</v>
      </c>
      <c r="K1940" s="1" t="s">
        <v>23</v>
      </c>
      <c r="L1940" s="1" t="s">
        <v>24</v>
      </c>
      <c r="M1940" s="1" t="s">
        <v>4117</v>
      </c>
      <c r="N1940" s="1" t="s">
        <v>4130</v>
      </c>
    </row>
    <row r="1941" spans="1:14" x14ac:dyDescent="0.35">
      <c r="A1941">
        <v>6472118</v>
      </c>
      <c r="B1941" s="1" t="s">
        <v>4068</v>
      </c>
      <c r="C1941">
        <v>4478.3999999999996</v>
      </c>
      <c r="D1941">
        <v>35</v>
      </c>
      <c r="E1941" s="1" t="s">
        <v>4131</v>
      </c>
      <c r="F1941" s="1" t="s">
        <v>15</v>
      </c>
      <c r="G1941" s="1" t="s">
        <v>32</v>
      </c>
      <c r="H1941">
        <v>134</v>
      </c>
      <c r="I1941">
        <v>41</v>
      </c>
      <c r="J1941">
        <v>231</v>
      </c>
      <c r="K1941" s="1" t="s">
        <v>137</v>
      </c>
      <c r="L1941" s="1" t="s">
        <v>18</v>
      </c>
      <c r="M1941" s="1" t="s">
        <v>4117</v>
      </c>
      <c r="N1941" s="1" t="s">
        <v>4132</v>
      </c>
    </row>
    <row r="1942" spans="1:14" x14ac:dyDescent="0.35">
      <c r="A1942">
        <v>6472124</v>
      </c>
      <c r="B1942" s="1" t="s">
        <v>4068</v>
      </c>
      <c r="C1942">
        <v>4478.3999999999996</v>
      </c>
      <c r="D1942">
        <v>35</v>
      </c>
      <c r="E1942" s="1" t="s">
        <v>4133</v>
      </c>
      <c r="F1942" s="1" t="s">
        <v>15</v>
      </c>
      <c r="G1942" s="1" t="s">
        <v>32</v>
      </c>
      <c r="H1942">
        <v>70</v>
      </c>
      <c r="I1942">
        <v>41</v>
      </c>
      <c r="J1942">
        <v>105</v>
      </c>
      <c r="K1942" s="1" t="s">
        <v>90</v>
      </c>
      <c r="L1942" s="1" t="s">
        <v>24</v>
      </c>
      <c r="M1942" s="1" t="s">
        <v>4117</v>
      </c>
      <c r="N1942" s="1" t="s">
        <v>4134</v>
      </c>
    </row>
    <row r="1943" spans="1:14" x14ac:dyDescent="0.35">
      <c r="A1943">
        <v>6472030</v>
      </c>
      <c r="B1943" s="1" t="s">
        <v>4068</v>
      </c>
      <c r="C1943">
        <v>4478.3999999999996</v>
      </c>
      <c r="D1943">
        <v>35</v>
      </c>
      <c r="E1943" s="1" t="s">
        <v>4135</v>
      </c>
      <c r="F1943" s="1" t="s">
        <v>15</v>
      </c>
      <c r="G1943" s="1" t="s">
        <v>32</v>
      </c>
      <c r="H1943">
        <v>230</v>
      </c>
      <c r="I1943">
        <v>57</v>
      </c>
      <c r="J1943">
        <v>662</v>
      </c>
      <c r="K1943" s="1" t="s">
        <v>84</v>
      </c>
      <c r="L1943" s="1" t="s">
        <v>24</v>
      </c>
      <c r="M1943" s="1" t="s">
        <v>4117</v>
      </c>
      <c r="N1943" s="1" t="s">
        <v>4136</v>
      </c>
    </row>
    <row r="1944" spans="1:14" x14ac:dyDescent="0.35">
      <c r="A1944">
        <v>6472130</v>
      </c>
      <c r="B1944" s="1" t="s">
        <v>4068</v>
      </c>
      <c r="C1944">
        <v>4478.3999999999996</v>
      </c>
      <c r="D1944">
        <v>35</v>
      </c>
      <c r="E1944" s="1" t="s">
        <v>4137</v>
      </c>
      <c r="F1944" s="1" t="s">
        <v>15</v>
      </c>
      <c r="G1944" s="1" t="s">
        <v>32</v>
      </c>
      <c r="H1944">
        <v>167</v>
      </c>
      <c r="I1944">
        <v>127</v>
      </c>
      <c r="J1944">
        <v>249</v>
      </c>
      <c r="K1944" s="1" t="s">
        <v>90</v>
      </c>
      <c r="L1944" s="1" t="s">
        <v>24</v>
      </c>
      <c r="M1944" s="1" t="s">
        <v>4117</v>
      </c>
      <c r="N1944" s="1" t="s">
        <v>4138</v>
      </c>
    </row>
    <row r="1945" spans="1:14" x14ac:dyDescent="0.35">
      <c r="A1945">
        <v>6472123</v>
      </c>
      <c r="B1945" s="1" t="s">
        <v>4068</v>
      </c>
      <c r="C1945">
        <v>4478.3999999999996</v>
      </c>
      <c r="D1945">
        <v>35</v>
      </c>
      <c r="E1945" s="1" t="s">
        <v>4139</v>
      </c>
      <c r="F1945" s="1" t="s">
        <v>15</v>
      </c>
      <c r="G1945" s="1" t="s">
        <v>32</v>
      </c>
      <c r="H1945">
        <v>182</v>
      </c>
      <c r="I1945">
        <v>46</v>
      </c>
      <c r="J1945">
        <v>524</v>
      </c>
      <c r="K1945" s="1" t="s">
        <v>90</v>
      </c>
      <c r="L1945" s="1" t="s">
        <v>24</v>
      </c>
      <c r="M1945" s="1" t="s">
        <v>4117</v>
      </c>
      <c r="N1945" s="1" t="s">
        <v>4140</v>
      </c>
    </row>
    <row r="1946" spans="1:14" x14ac:dyDescent="0.35">
      <c r="A1946">
        <v>6472096</v>
      </c>
      <c r="B1946" s="1" t="s">
        <v>4068</v>
      </c>
      <c r="C1946">
        <v>4478.3999999999996</v>
      </c>
      <c r="D1946">
        <v>35</v>
      </c>
      <c r="E1946" s="1" t="s">
        <v>4141</v>
      </c>
      <c r="F1946" s="1" t="s">
        <v>15</v>
      </c>
      <c r="G1946" s="1" t="s">
        <v>22</v>
      </c>
      <c r="H1946">
        <v>62</v>
      </c>
      <c r="I1946">
        <v>13</v>
      </c>
      <c r="J1946">
        <v>74</v>
      </c>
      <c r="K1946" s="1" t="s">
        <v>84</v>
      </c>
      <c r="L1946" s="1" t="s">
        <v>24</v>
      </c>
      <c r="M1946" s="1" t="s">
        <v>4117</v>
      </c>
      <c r="N1946" s="1" t="s">
        <v>4142</v>
      </c>
    </row>
    <row r="1947" spans="1:14" x14ac:dyDescent="0.35">
      <c r="A1947">
        <v>6472128</v>
      </c>
      <c r="B1947" s="1" t="s">
        <v>4068</v>
      </c>
      <c r="C1947">
        <v>4478.3999999999996</v>
      </c>
      <c r="D1947">
        <v>35</v>
      </c>
      <c r="E1947" s="1" t="s">
        <v>4143</v>
      </c>
      <c r="F1947" s="1" t="s">
        <v>15</v>
      </c>
      <c r="G1947" s="1" t="s">
        <v>22</v>
      </c>
      <c r="H1947">
        <v>21</v>
      </c>
      <c r="I1947">
        <v>25</v>
      </c>
      <c r="J1947">
        <v>111</v>
      </c>
      <c r="K1947" s="1" t="s">
        <v>124</v>
      </c>
      <c r="L1947" s="1" t="s">
        <v>18</v>
      </c>
      <c r="M1947" s="1" t="s">
        <v>4117</v>
      </c>
      <c r="N1947" s="1" t="s">
        <v>4144</v>
      </c>
    </row>
    <row r="1948" spans="1:14" x14ac:dyDescent="0.35">
      <c r="A1948">
        <v>6472041</v>
      </c>
      <c r="B1948" s="1" t="s">
        <v>4068</v>
      </c>
      <c r="C1948">
        <v>4478.3999999999996</v>
      </c>
      <c r="D1948">
        <v>35</v>
      </c>
      <c r="E1948" s="1" t="s">
        <v>4145</v>
      </c>
      <c r="F1948" s="1" t="s">
        <v>15</v>
      </c>
      <c r="G1948" s="1" t="s">
        <v>22</v>
      </c>
      <c r="H1948">
        <v>54</v>
      </c>
      <c r="I1948">
        <v>87</v>
      </c>
      <c r="J1948">
        <v>169</v>
      </c>
      <c r="K1948" s="1" t="s">
        <v>27</v>
      </c>
      <c r="L1948" s="1" t="s">
        <v>24</v>
      </c>
      <c r="M1948" s="1" t="s">
        <v>4117</v>
      </c>
      <c r="N1948" s="1" t="s">
        <v>4146</v>
      </c>
    </row>
    <row r="1949" spans="1:14" x14ac:dyDescent="0.35">
      <c r="A1949">
        <v>6402041</v>
      </c>
      <c r="B1949" s="1" t="s">
        <v>4068</v>
      </c>
      <c r="C1949">
        <v>4478.3999999999996</v>
      </c>
      <c r="D1949">
        <v>35</v>
      </c>
      <c r="E1949" s="1" t="s">
        <v>4147</v>
      </c>
      <c r="F1949" s="1" t="s">
        <v>15</v>
      </c>
      <c r="G1949" s="1" t="s">
        <v>32</v>
      </c>
      <c r="H1949">
        <v>177</v>
      </c>
      <c r="I1949">
        <v>37</v>
      </c>
      <c r="J1949">
        <v>604</v>
      </c>
      <c r="K1949" s="1" t="s">
        <v>17</v>
      </c>
      <c r="L1949" s="1" t="s">
        <v>18</v>
      </c>
      <c r="M1949" s="1" t="s">
        <v>4148</v>
      </c>
      <c r="N1949" s="1" t="s">
        <v>4149</v>
      </c>
    </row>
    <row r="1950" spans="1:14" x14ac:dyDescent="0.35">
      <c r="A1950">
        <v>6402053</v>
      </c>
      <c r="B1950" s="1" t="s">
        <v>4068</v>
      </c>
      <c r="C1950">
        <v>4478.3999999999996</v>
      </c>
      <c r="D1950">
        <v>35</v>
      </c>
      <c r="E1950" s="1" t="s">
        <v>4150</v>
      </c>
      <c r="F1950" s="1" t="s">
        <v>15</v>
      </c>
      <c r="G1950" s="1" t="s">
        <v>22</v>
      </c>
      <c r="H1950">
        <v>48</v>
      </c>
      <c r="I1950">
        <v>27</v>
      </c>
      <c r="J1950">
        <v>38</v>
      </c>
      <c r="K1950" s="1" t="s">
        <v>23</v>
      </c>
      <c r="L1950" s="1" t="s">
        <v>24</v>
      </c>
      <c r="M1950" s="1" t="s">
        <v>4148</v>
      </c>
      <c r="N1950" s="1" t="s">
        <v>4151</v>
      </c>
    </row>
    <row r="1951" spans="1:14" x14ac:dyDescent="0.35">
      <c r="A1951">
        <v>6402064</v>
      </c>
      <c r="B1951" s="1" t="s">
        <v>4068</v>
      </c>
      <c r="C1951">
        <v>4478.3999999999996</v>
      </c>
      <c r="D1951">
        <v>35</v>
      </c>
      <c r="E1951" s="1" t="s">
        <v>4152</v>
      </c>
      <c r="F1951" s="1" t="s">
        <v>15</v>
      </c>
      <c r="G1951" s="1" t="s">
        <v>52</v>
      </c>
      <c r="H1951">
        <v>50</v>
      </c>
      <c r="I1951">
        <v>15</v>
      </c>
      <c r="K1951" s="1" t="s">
        <v>17</v>
      </c>
      <c r="L1951" s="1" t="s">
        <v>18</v>
      </c>
      <c r="M1951" s="1" t="s">
        <v>4148</v>
      </c>
      <c r="N1951" s="1" t="s">
        <v>4153</v>
      </c>
    </row>
    <row r="1952" spans="1:14" x14ac:dyDescent="0.35">
      <c r="A1952">
        <v>6403015</v>
      </c>
      <c r="B1952" s="1" t="s">
        <v>4068</v>
      </c>
      <c r="C1952">
        <v>4478.3999999999996</v>
      </c>
      <c r="D1952">
        <v>35</v>
      </c>
      <c r="E1952" s="1" t="s">
        <v>4154</v>
      </c>
      <c r="F1952" s="1" t="s">
        <v>15</v>
      </c>
      <c r="G1952" s="1" t="s">
        <v>16</v>
      </c>
      <c r="H1952">
        <v>281</v>
      </c>
      <c r="I1952">
        <v>101</v>
      </c>
      <c r="J1952">
        <v>966</v>
      </c>
      <c r="K1952" s="1" t="s">
        <v>17</v>
      </c>
      <c r="L1952" s="1" t="s">
        <v>18</v>
      </c>
      <c r="M1952" s="1" t="s">
        <v>4155</v>
      </c>
      <c r="N1952" s="1" t="s">
        <v>4156</v>
      </c>
    </row>
    <row r="1953" spans="1:14" x14ac:dyDescent="0.35">
      <c r="A1953">
        <v>6403052</v>
      </c>
      <c r="B1953" s="1" t="s">
        <v>4068</v>
      </c>
      <c r="C1953">
        <v>4478.3999999999996</v>
      </c>
      <c r="D1953">
        <v>35</v>
      </c>
      <c r="E1953" s="1" t="s">
        <v>4157</v>
      </c>
      <c r="F1953" s="1" t="s">
        <v>15</v>
      </c>
      <c r="G1953" s="1" t="s">
        <v>32</v>
      </c>
      <c r="H1953">
        <v>116</v>
      </c>
      <c r="I1953">
        <v>58</v>
      </c>
      <c r="J1953">
        <v>298</v>
      </c>
      <c r="K1953" s="1" t="s">
        <v>17</v>
      </c>
      <c r="L1953" s="1" t="s">
        <v>18</v>
      </c>
      <c r="M1953" s="1" t="s">
        <v>4155</v>
      </c>
      <c r="N1953" s="1" t="s">
        <v>4158</v>
      </c>
    </row>
    <row r="1954" spans="1:14" x14ac:dyDescent="0.35">
      <c r="A1954">
        <v>6403017</v>
      </c>
      <c r="B1954" s="1" t="s">
        <v>4068</v>
      </c>
      <c r="C1954">
        <v>4478.3999999999996</v>
      </c>
      <c r="D1954">
        <v>35</v>
      </c>
      <c r="E1954" s="1" t="s">
        <v>4159</v>
      </c>
      <c r="F1954" s="1" t="s">
        <v>15</v>
      </c>
      <c r="G1954" s="1" t="s">
        <v>22</v>
      </c>
      <c r="H1954">
        <v>80</v>
      </c>
      <c r="I1954">
        <v>9</v>
      </c>
      <c r="J1954">
        <v>369</v>
      </c>
      <c r="K1954" s="1" t="s">
        <v>17</v>
      </c>
      <c r="L1954" s="1" t="s">
        <v>18</v>
      </c>
      <c r="M1954" s="1" t="s">
        <v>4155</v>
      </c>
      <c r="N1954" s="1" t="s">
        <v>4160</v>
      </c>
    </row>
    <row r="1955" spans="1:14" x14ac:dyDescent="0.35">
      <c r="A1955">
        <v>6404045</v>
      </c>
      <c r="B1955" s="1" t="s">
        <v>4068</v>
      </c>
      <c r="C1955">
        <v>4478.3999999999996</v>
      </c>
      <c r="D1955">
        <v>35</v>
      </c>
      <c r="E1955" s="1" t="s">
        <v>4161</v>
      </c>
      <c r="F1955" s="1" t="s">
        <v>71</v>
      </c>
      <c r="G1955" s="1" t="s">
        <v>32</v>
      </c>
      <c r="H1955">
        <v>41</v>
      </c>
      <c r="I1955">
        <v>26</v>
      </c>
      <c r="J1955">
        <v>69</v>
      </c>
      <c r="K1955" s="1" t="s">
        <v>23</v>
      </c>
      <c r="L1955" s="1" t="s">
        <v>24</v>
      </c>
      <c r="M1955" s="1" t="s">
        <v>4162</v>
      </c>
      <c r="N1955" s="1" t="s">
        <v>4163</v>
      </c>
    </row>
    <row r="1956" spans="1:14" x14ac:dyDescent="0.35">
      <c r="A1956">
        <v>6404047</v>
      </c>
      <c r="B1956" s="1" t="s">
        <v>4068</v>
      </c>
      <c r="C1956">
        <v>4478.3999999999996</v>
      </c>
      <c r="D1956">
        <v>35</v>
      </c>
      <c r="E1956" s="1" t="s">
        <v>4164</v>
      </c>
      <c r="F1956" s="1" t="s">
        <v>71</v>
      </c>
      <c r="G1956" s="1" t="s">
        <v>32</v>
      </c>
      <c r="H1956">
        <v>23</v>
      </c>
      <c r="I1956">
        <v>18</v>
      </c>
      <c r="J1956">
        <v>30</v>
      </c>
      <c r="K1956" s="1" t="s">
        <v>23</v>
      </c>
      <c r="L1956" s="1" t="s">
        <v>24</v>
      </c>
      <c r="M1956" s="1" t="s">
        <v>4162</v>
      </c>
      <c r="N1956" s="1" t="s">
        <v>4165</v>
      </c>
    </row>
    <row r="1957" spans="1:14" x14ac:dyDescent="0.35">
      <c r="A1957">
        <v>6404032</v>
      </c>
      <c r="B1957" s="1" t="s">
        <v>4068</v>
      </c>
      <c r="C1957">
        <v>4478.3999999999996</v>
      </c>
      <c r="D1957">
        <v>35</v>
      </c>
      <c r="E1957" s="1" t="s">
        <v>4166</v>
      </c>
      <c r="F1957" s="1" t="s">
        <v>15</v>
      </c>
      <c r="G1957" s="1" t="s">
        <v>16</v>
      </c>
      <c r="H1957">
        <v>189</v>
      </c>
      <c r="I1957">
        <v>39</v>
      </c>
      <c r="J1957">
        <v>523</v>
      </c>
      <c r="K1957" s="1" t="s">
        <v>17</v>
      </c>
      <c r="L1957" s="1" t="s">
        <v>18</v>
      </c>
      <c r="M1957" s="1" t="s">
        <v>4162</v>
      </c>
      <c r="N1957" s="1" t="s">
        <v>4167</v>
      </c>
    </row>
    <row r="1958" spans="1:14" x14ac:dyDescent="0.35">
      <c r="A1958">
        <v>6404044</v>
      </c>
      <c r="B1958" s="1" t="s">
        <v>4068</v>
      </c>
      <c r="C1958">
        <v>4478.3999999999996</v>
      </c>
      <c r="D1958">
        <v>35</v>
      </c>
      <c r="E1958" s="1" t="s">
        <v>4168</v>
      </c>
      <c r="F1958" s="1" t="s">
        <v>15</v>
      </c>
      <c r="G1958" s="1" t="s">
        <v>22</v>
      </c>
      <c r="H1958">
        <v>60</v>
      </c>
      <c r="I1958">
        <v>30</v>
      </c>
      <c r="J1958">
        <v>175</v>
      </c>
      <c r="K1958" s="1" t="s">
        <v>23</v>
      </c>
      <c r="L1958" s="1" t="s">
        <v>24</v>
      </c>
      <c r="M1958" s="1" t="s">
        <v>4162</v>
      </c>
      <c r="N1958" s="1" t="s">
        <v>4169</v>
      </c>
    </row>
    <row r="1959" spans="1:14" x14ac:dyDescent="0.35">
      <c r="A1959">
        <v>6404051</v>
      </c>
      <c r="B1959" s="1" t="s">
        <v>4068</v>
      </c>
      <c r="C1959">
        <v>4478.3999999999996</v>
      </c>
      <c r="D1959">
        <v>35</v>
      </c>
      <c r="E1959" s="1" t="s">
        <v>4170</v>
      </c>
      <c r="F1959" s="1" t="s">
        <v>15</v>
      </c>
      <c r="G1959" s="1" t="s">
        <v>22</v>
      </c>
      <c r="H1959">
        <v>55</v>
      </c>
      <c r="I1959">
        <v>22</v>
      </c>
      <c r="J1959">
        <v>139</v>
      </c>
      <c r="K1959" s="1" t="s">
        <v>17</v>
      </c>
      <c r="L1959" s="1" t="s">
        <v>18</v>
      </c>
      <c r="M1959" s="1" t="s">
        <v>4162</v>
      </c>
      <c r="N1959" s="1" t="s">
        <v>4171</v>
      </c>
    </row>
    <row r="1960" spans="1:14" x14ac:dyDescent="0.35">
      <c r="A1960">
        <v>6404046</v>
      </c>
      <c r="B1960" s="1" t="s">
        <v>4068</v>
      </c>
      <c r="C1960">
        <v>4478.3999999999996</v>
      </c>
      <c r="D1960">
        <v>35</v>
      </c>
      <c r="E1960" s="1" t="s">
        <v>4172</v>
      </c>
      <c r="F1960" s="1" t="s">
        <v>15</v>
      </c>
      <c r="G1960" s="1" t="s">
        <v>22</v>
      </c>
      <c r="H1960">
        <v>155</v>
      </c>
      <c r="I1960">
        <v>39</v>
      </c>
      <c r="J1960">
        <v>381</v>
      </c>
      <c r="K1960" s="1" t="s">
        <v>23</v>
      </c>
      <c r="L1960" s="1" t="s">
        <v>24</v>
      </c>
      <c r="M1960" s="1" t="s">
        <v>4162</v>
      </c>
      <c r="N1960" s="1" t="s">
        <v>4173</v>
      </c>
    </row>
    <row r="1961" spans="1:14" x14ac:dyDescent="0.35">
      <c r="A1961">
        <v>6404054</v>
      </c>
      <c r="B1961" s="1" t="s">
        <v>4068</v>
      </c>
      <c r="C1961">
        <v>4478.3999999999996</v>
      </c>
      <c r="D1961">
        <v>35</v>
      </c>
      <c r="E1961" s="1" t="s">
        <v>4174</v>
      </c>
      <c r="F1961" s="1" t="s">
        <v>15</v>
      </c>
      <c r="G1961" s="1" t="s">
        <v>22</v>
      </c>
      <c r="H1961">
        <v>29</v>
      </c>
      <c r="I1961">
        <v>16</v>
      </c>
      <c r="J1961">
        <v>61</v>
      </c>
      <c r="K1961" s="1" t="s">
        <v>90</v>
      </c>
      <c r="L1961" s="1" t="s">
        <v>24</v>
      </c>
      <c r="M1961" s="1" t="s">
        <v>4162</v>
      </c>
      <c r="N1961" s="1" t="s">
        <v>4175</v>
      </c>
    </row>
    <row r="1962" spans="1:14" x14ac:dyDescent="0.35">
      <c r="A1962">
        <v>6404066</v>
      </c>
      <c r="B1962" s="1" t="s">
        <v>4068</v>
      </c>
      <c r="C1962">
        <v>4478.3999999999996</v>
      </c>
      <c r="D1962">
        <v>35</v>
      </c>
      <c r="E1962" s="1" t="s">
        <v>4176</v>
      </c>
      <c r="F1962" s="1" t="s">
        <v>15</v>
      </c>
      <c r="G1962" s="1" t="s">
        <v>22</v>
      </c>
      <c r="H1962">
        <v>59</v>
      </c>
      <c r="I1962">
        <v>28</v>
      </c>
      <c r="K1962" s="1" t="s">
        <v>572</v>
      </c>
      <c r="L1962" s="1" t="s">
        <v>24</v>
      </c>
      <c r="M1962" s="1" t="s">
        <v>4162</v>
      </c>
      <c r="N1962" s="1" t="s">
        <v>4177</v>
      </c>
    </row>
    <row r="1963" spans="1:14" x14ac:dyDescent="0.35">
      <c r="A1963">
        <v>6404065</v>
      </c>
      <c r="B1963" s="1" t="s">
        <v>4068</v>
      </c>
      <c r="C1963">
        <v>4478.3999999999996</v>
      </c>
      <c r="D1963">
        <v>35</v>
      </c>
      <c r="E1963" s="1" t="s">
        <v>4178</v>
      </c>
      <c r="F1963" s="1" t="s">
        <v>15</v>
      </c>
      <c r="G1963" s="1" t="s">
        <v>22</v>
      </c>
      <c r="H1963">
        <v>50</v>
      </c>
      <c r="I1963">
        <v>10</v>
      </c>
      <c r="K1963" s="1" t="s">
        <v>17</v>
      </c>
      <c r="L1963" s="1" t="s">
        <v>24</v>
      </c>
      <c r="M1963" s="1" t="s">
        <v>4162</v>
      </c>
      <c r="N1963" s="1" t="s">
        <v>4179</v>
      </c>
    </row>
    <row r="1964" spans="1:14" x14ac:dyDescent="0.35">
      <c r="A1964">
        <v>6404043</v>
      </c>
      <c r="B1964" s="1" t="s">
        <v>4068</v>
      </c>
      <c r="C1964">
        <v>4478.3999999999996</v>
      </c>
      <c r="D1964">
        <v>35</v>
      </c>
      <c r="E1964" s="1" t="s">
        <v>4180</v>
      </c>
      <c r="F1964" s="1" t="s">
        <v>15</v>
      </c>
      <c r="G1964" s="1" t="s">
        <v>22</v>
      </c>
      <c r="H1964">
        <v>97</v>
      </c>
      <c r="I1964">
        <v>32</v>
      </c>
      <c r="J1964">
        <v>90</v>
      </c>
      <c r="K1964" s="1" t="s">
        <v>23</v>
      </c>
      <c r="L1964" s="1" t="s">
        <v>24</v>
      </c>
      <c r="M1964" s="1" t="s">
        <v>4162</v>
      </c>
      <c r="N1964" s="1" t="s">
        <v>4181</v>
      </c>
    </row>
    <row r="1965" spans="1:14" x14ac:dyDescent="0.35">
      <c r="A1965">
        <v>6411001</v>
      </c>
      <c r="B1965" s="1" t="s">
        <v>4068</v>
      </c>
      <c r="C1965">
        <v>4478.3999999999996</v>
      </c>
      <c r="D1965">
        <v>35</v>
      </c>
      <c r="E1965" s="1" t="s">
        <v>4182</v>
      </c>
      <c r="F1965" s="1" t="s">
        <v>15</v>
      </c>
      <c r="G1965" s="1" t="s">
        <v>52</v>
      </c>
      <c r="H1965">
        <v>62</v>
      </c>
      <c r="I1965">
        <v>16</v>
      </c>
      <c r="J1965">
        <v>198</v>
      </c>
      <c r="K1965" s="1" t="s">
        <v>17</v>
      </c>
      <c r="L1965" s="1" t="s">
        <v>24</v>
      </c>
      <c r="M1965" s="1" t="s">
        <v>4183</v>
      </c>
      <c r="N1965" s="1" t="s">
        <v>4184</v>
      </c>
    </row>
    <row r="1966" spans="1:14" x14ac:dyDescent="0.35">
      <c r="A1966">
        <v>6401014</v>
      </c>
      <c r="B1966" s="1" t="s">
        <v>4068</v>
      </c>
      <c r="C1966">
        <v>4478.3999999999996</v>
      </c>
      <c r="D1966">
        <v>35</v>
      </c>
      <c r="E1966" s="1" t="s">
        <v>4185</v>
      </c>
      <c r="F1966" s="1" t="s">
        <v>15</v>
      </c>
      <c r="G1966" s="1" t="s">
        <v>16</v>
      </c>
      <c r="H1966">
        <v>281</v>
      </c>
      <c r="I1966">
        <v>50</v>
      </c>
      <c r="J1966">
        <v>699</v>
      </c>
      <c r="K1966" s="1" t="s">
        <v>17</v>
      </c>
      <c r="L1966" s="1" t="s">
        <v>18</v>
      </c>
      <c r="M1966" s="1" t="s">
        <v>4186</v>
      </c>
      <c r="N1966" s="1" t="s">
        <v>4187</v>
      </c>
    </row>
    <row r="1967" spans="1:14" x14ac:dyDescent="0.35">
      <c r="A1967">
        <v>6409049</v>
      </c>
      <c r="B1967" s="1" t="s">
        <v>4068</v>
      </c>
      <c r="C1967">
        <v>4478.3999999999996</v>
      </c>
      <c r="D1967">
        <v>35</v>
      </c>
      <c r="E1967" s="1" t="s">
        <v>4188</v>
      </c>
      <c r="F1967" s="1" t="s">
        <v>15</v>
      </c>
      <c r="G1967" s="1" t="s">
        <v>1172</v>
      </c>
      <c r="I1967">
        <v>31</v>
      </c>
      <c r="K1967" s="1" t="s">
        <v>23</v>
      </c>
      <c r="L1967" s="1" t="s">
        <v>24</v>
      </c>
      <c r="M1967" s="1" t="s">
        <v>4189</v>
      </c>
      <c r="N1967" s="1" t="s">
        <v>4190</v>
      </c>
    </row>
    <row r="1968" spans="1:14" x14ac:dyDescent="0.35">
      <c r="A1968">
        <v>6409036</v>
      </c>
      <c r="B1968" s="1" t="s">
        <v>4068</v>
      </c>
      <c r="C1968">
        <v>4478.3999999999996</v>
      </c>
      <c r="D1968">
        <v>35</v>
      </c>
      <c r="E1968" s="1" t="s">
        <v>4191</v>
      </c>
      <c r="F1968" s="1" t="s">
        <v>15</v>
      </c>
      <c r="G1968" s="1" t="s">
        <v>32</v>
      </c>
      <c r="H1968">
        <v>107</v>
      </c>
      <c r="I1968">
        <v>33</v>
      </c>
      <c r="J1968">
        <v>312</v>
      </c>
      <c r="K1968" s="1" t="s">
        <v>17</v>
      </c>
      <c r="L1968" s="1" t="s">
        <v>18</v>
      </c>
      <c r="M1968" s="1" t="s">
        <v>4189</v>
      </c>
      <c r="N1968" s="1" t="s">
        <v>4192</v>
      </c>
    </row>
    <row r="1969" spans="1:14" x14ac:dyDescent="0.35">
      <c r="A1969">
        <v>6409047</v>
      </c>
      <c r="B1969" s="1" t="s">
        <v>4068</v>
      </c>
      <c r="C1969">
        <v>4478.3999999999996</v>
      </c>
      <c r="D1969">
        <v>35</v>
      </c>
      <c r="E1969" s="1" t="s">
        <v>4193</v>
      </c>
      <c r="F1969" s="1" t="s">
        <v>15</v>
      </c>
      <c r="G1969" s="1" t="s">
        <v>22</v>
      </c>
      <c r="H1969">
        <v>52</v>
      </c>
      <c r="I1969">
        <v>17</v>
      </c>
      <c r="K1969" s="1" t="s">
        <v>17</v>
      </c>
      <c r="L1969" s="1" t="s">
        <v>24</v>
      </c>
      <c r="M1969" s="1" t="s">
        <v>4189</v>
      </c>
      <c r="N1969" s="1" t="s">
        <v>4194</v>
      </c>
    </row>
    <row r="1970" spans="1:14" x14ac:dyDescent="0.35">
      <c r="A1970">
        <v>6404021</v>
      </c>
      <c r="B1970" s="1" t="s">
        <v>4195</v>
      </c>
      <c r="C1970">
        <v>758.8</v>
      </c>
      <c r="D1970">
        <v>11</v>
      </c>
      <c r="E1970" s="1" t="s">
        <v>4196</v>
      </c>
      <c r="F1970" s="1" t="s">
        <v>15</v>
      </c>
      <c r="G1970" s="1" t="s">
        <v>32</v>
      </c>
      <c r="H1970">
        <v>303</v>
      </c>
      <c r="I1970">
        <v>45</v>
      </c>
      <c r="J1970">
        <v>344</v>
      </c>
      <c r="K1970" s="1" t="s">
        <v>17</v>
      </c>
      <c r="L1970" s="1" t="s">
        <v>18</v>
      </c>
      <c r="M1970" s="1" t="s">
        <v>4197</v>
      </c>
      <c r="N1970" s="1" t="s">
        <v>4198</v>
      </c>
    </row>
    <row r="1971" spans="1:14" x14ac:dyDescent="0.35">
      <c r="A1971">
        <v>6502011</v>
      </c>
      <c r="B1971" s="1" t="s">
        <v>4195</v>
      </c>
      <c r="C1971">
        <v>758.8</v>
      </c>
      <c r="D1971">
        <v>11</v>
      </c>
      <c r="E1971" s="1" t="s">
        <v>4199</v>
      </c>
      <c r="F1971" s="1" t="s">
        <v>15</v>
      </c>
      <c r="G1971" s="1" t="s">
        <v>22</v>
      </c>
      <c r="H1971">
        <v>66</v>
      </c>
      <c r="I1971">
        <v>20</v>
      </c>
      <c r="K1971" s="1" t="s">
        <v>27</v>
      </c>
      <c r="L1971" s="1" t="s">
        <v>24</v>
      </c>
      <c r="M1971" s="1" t="s">
        <v>4197</v>
      </c>
      <c r="N1971" s="1" t="s">
        <v>4200</v>
      </c>
    </row>
    <row r="1972" spans="1:14" x14ac:dyDescent="0.35">
      <c r="A1972">
        <v>6473016</v>
      </c>
      <c r="B1972" s="1" t="s">
        <v>4195</v>
      </c>
      <c r="C1972">
        <v>758.8</v>
      </c>
      <c r="D1972">
        <v>11</v>
      </c>
      <c r="E1972" s="1" t="s">
        <v>4201</v>
      </c>
      <c r="F1972" s="1" t="s">
        <v>15</v>
      </c>
      <c r="G1972" s="1" t="s">
        <v>16</v>
      </c>
      <c r="H1972">
        <v>343</v>
      </c>
      <c r="I1972">
        <v>44</v>
      </c>
      <c r="J1972">
        <v>1199</v>
      </c>
      <c r="K1972" s="1" t="s">
        <v>124</v>
      </c>
      <c r="L1972" s="1" t="s">
        <v>18</v>
      </c>
      <c r="M1972" s="1" t="s">
        <v>4202</v>
      </c>
      <c r="N1972" s="1" t="s">
        <v>4203</v>
      </c>
    </row>
    <row r="1973" spans="1:14" x14ac:dyDescent="0.35">
      <c r="A1973">
        <v>6571044</v>
      </c>
      <c r="B1973" s="1" t="s">
        <v>4195</v>
      </c>
      <c r="C1973">
        <v>758.8</v>
      </c>
      <c r="D1973">
        <v>11</v>
      </c>
      <c r="E1973" s="1" t="s">
        <v>4204</v>
      </c>
      <c r="F1973" s="1" t="s">
        <v>15</v>
      </c>
      <c r="G1973" s="1" t="s">
        <v>32</v>
      </c>
      <c r="H1973">
        <v>144</v>
      </c>
      <c r="I1973">
        <v>32</v>
      </c>
      <c r="J1973">
        <v>366</v>
      </c>
      <c r="K1973" s="1" t="s">
        <v>137</v>
      </c>
      <c r="L1973" s="1" t="s">
        <v>18</v>
      </c>
      <c r="M1973" s="1" t="s">
        <v>4202</v>
      </c>
      <c r="N1973" s="1" t="s">
        <v>4205</v>
      </c>
    </row>
    <row r="1974" spans="1:14" x14ac:dyDescent="0.35">
      <c r="A1974">
        <v>6473043</v>
      </c>
      <c r="B1974" s="1" t="s">
        <v>4195</v>
      </c>
      <c r="C1974">
        <v>758.8</v>
      </c>
      <c r="D1974">
        <v>11</v>
      </c>
      <c r="E1974" s="1" t="s">
        <v>4206</v>
      </c>
      <c r="F1974" s="1" t="s">
        <v>15</v>
      </c>
      <c r="G1974" s="1" t="s">
        <v>32</v>
      </c>
      <c r="H1974">
        <v>102</v>
      </c>
      <c r="I1974">
        <v>28</v>
      </c>
      <c r="J1974">
        <v>186</v>
      </c>
      <c r="K1974" s="1" t="s">
        <v>61</v>
      </c>
      <c r="L1974" s="1" t="s">
        <v>24</v>
      </c>
      <c r="M1974" s="1" t="s">
        <v>4202</v>
      </c>
      <c r="N1974" s="1" t="s">
        <v>4207</v>
      </c>
    </row>
    <row r="1975" spans="1:14" x14ac:dyDescent="0.35">
      <c r="A1975">
        <v>6473042</v>
      </c>
      <c r="B1975" s="1" t="s">
        <v>4195</v>
      </c>
      <c r="C1975">
        <v>758.8</v>
      </c>
      <c r="D1975">
        <v>11</v>
      </c>
      <c r="E1975" s="1" t="s">
        <v>4208</v>
      </c>
      <c r="F1975" s="1" t="s">
        <v>15</v>
      </c>
      <c r="G1975" s="1" t="s">
        <v>22</v>
      </c>
      <c r="H1975">
        <v>88</v>
      </c>
      <c r="I1975">
        <v>32</v>
      </c>
      <c r="J1975">
        <v>74</v>
      </c>
      <c r="K1975" s="1" t="s">
        <v>191</v>
      </c>
      <c r="L1975" s="1" t="s">
        <v>24</v>
      </c>
      <c r="M1975" s="1" t="s">
        <v>4202</v>
      </c>
      <c r="N1975" s="1" t="s">
        <v>4209</v>
      </c>
    </row>
    <row r="1976" spans="1:14" x14ac:dyDescent="0.35">
      <c r="A1976">
        <v>6571056</v>
      </c>
      <c r="B1976" s="1" t="s">
        <v>4195</v>
      </c>
      <c r="C1976">
        <v>758.8</v>
      </c>
      <c r="D1976">
        <v>11</v>
      </c>
      <c r="E1976" s="1" t="s">
        <v>4210</v>
      </c>
      <c r="F1976" s="1" t="s">
        <v>15</v>
      </c>
      <c r="G1976" s="1" t="s">
        <v>22</v>
      </c>
      <c r="H1976">
        <v>47</v>
      </c>
      <c r="I1976">
        <v>25</v>
      </c>
      <c r="K1976" s="1" t="s">
        <v>23</v>
      </c>
      <c r="L1976" s="1" t="s">
        <v>24</v>
      </c>
      <c r="M1976" s="1" t="s">
        <v>4202</v>
      </c>
      <c r="N1976" s="1" t="s">
        <v>4211</v>
      </c>
    </row>
    <row r="1977" spans="1:14" x14ac:dyDescent="0.35">
      <c r="A1977">
        <v>6571045</v>
      </c>
      <c r="B1977" s="1" t="s">
        <v>4195</v>
      </c>
      <c r="C1977">
        <v>758.8</v>
      </c>
      <c r="D1977">
        <v>11</v>
      </c>
      <c r="E1977" s="1" t="s">
        <v>4212</v>
      </c>
      <c r="F1977" s="1" t="s">
        <v>15</v>
      </c>
      <c r="G1977" s="1" t="s">
        <v>22</v>
      </c>
      <c r="H1977">
        <v>71</v>
      </c>
      <c r="I1977">
        <v>3</v>
      </c>
      <c r="K1977" s="1" t="s">
        <v>146</v>
      </c>
      <c r="L1977" s="1" t="s">
        <v>24</v>
      </c>
      <c r="M1977" s="1" t="s">
        <v>4202</v>
      </c>
      <c r="N1977" s="1" t="s">
        <v>4213</v>
      </c>
    </row>
    <row r="1978" spans="1:14" x14ac:dyDescent="0.35">
      <c r="A1978">
        <v>6406012</v>
      </c>
      <c r="B1978" s="1" t="s">
        <v>4195</v>
      </c>
      <c r="C1978">
        <v>758.8</v>
      </c>
      <c r="D1978">
        <v>11</v>
      </c>
      <c r="E1978" s="1" t="s">
        <v>4214</v>
      </c>
      <c r="F1978" s="1" t="s">
        <v>15</v>
      </c>
      <c r="G1978" s="1" t="s">
        <v>32</v>
      </c>
      <c r="H1978">
        <v>168</v>
      </c>
      <c r="I1978">
        <v>46</v>
      </c>
      <c r="J1978">
        <v>165</v>
      </c>
      <c r="K1978" s="1" t="s">
        <v>17</v>
      </c>
      <c r="L1978" s="1" t="s">
        <v>18</v>
      </c>
      <c r="M1978" s="1" t="s">
        <v>4215</v>
      </c>
      <c r="N1978" s="1" t="s">
        <v>4216</v>
      </c>
    </row>
    <row r="1979" spans="1:14" x14ac:dyDescent="0.35">
      <c r="A1979">
        <v>6408014</v>
      </c>
      <c r="B1979" s="1" t="s">
        <v>4195</v>
      </c>
      <c r="C1979">
        <v>758.8</v>
      </c>
      <c r="D1979">
        <v>11</v>
      </c>
      <c r="E1979" s="1" t="s">
        <v>4217</v>
      </c>
      <c r="F1979" s="1" t="s">
        <v>15</v>
      </c>
      <c r="G1979" s="1" t="s">
        <v>52</v>
      </c>
      <c r="H1979">
        <v>10</v>
      </c>
      <c r="I1979">
        <v>9</v>
      </c>
      <c r="J1979">
        <v>23</v>
      </c>
      <c r="K1979" s="1" t="s">
        <v>17</v>
      </c>
      <c r="L1979" s="1" t="s">
        <v>24</v>
      </c>
      <c r="M1979" s="1" t="s">
        <v>4215</v>
      </c>
      <c r="N1979" s="1" t="s">
        <v>4218</v>
      </c>
    </row>
    <row r="1980" spans="1:14" x14ac:dyDescent="0.35">
      <c r="A1980">
        <v>6501013</v>
      </c>
      <c r="B1980" s="1" t="s">
        <v>4195</v>
      </c>
      <c r="C1980">
        <v>758.8</v>
      </c>
      <c r="D1980">
        <v>11</v>
      </c>
      <c r="E1980" s="1" t="s">
        <v>4219</v>
      </c>
      <c r="F1980" s="1" t="s">
        <v>15</v>
      </c>
      <c r="G1980" s="1" t="s">
        <v>52</v>
      </c>
      <c r="H1980">
        <v>20</v>
      </c>
      <c r="I1980">
        <v>4</v>
      </c>
      <c r="J1980">
        <v>17</v>
      </c>
      <c r="K1980" s="1" t="s">
        <v>17</v>
      </c>
      <c r="L1980" s="1" t="s">
        <v>24</v>
      </c>
      <c r="M1980" s="1" t="s">
        <v>4215</v>
      </c>
      <c r="N1980" s="1" t="s">
        <v>4220</v>
      </c>
    </row>
    <row r="1981" spans="1:14" x14ac:dyDescent="0.35">
      <c r="A1981">
        <v>6408025</v>
      </c>
      <c r="B1981" s="1" t="s">
        <v>4195</v>
      </c>
      <c r="C1981">
        <v>758.8</v>
      </c>
      <c r="D1981">
        <v>11</v>
      </c>
      <c r="E1981" s="1" t="s">
        <v>4221</v>
      </c>
      <c r="F1981" s="1" t="s">
        <v>15</v>
      </c>
      <c r="G1981" s="1" t="s">
        <v>32</v>
      </c>
      <c r="H1981">
        <v>245</v>
      </c>
      <c r="I1981">
        <v>71</v>
      </c>
      <c r="J1981">
        <v>284</v>
      </c>
      <c r="K1981" s="1" t="s">
        <v>17</v>
      </c>
      <c r="L1981" s="1" t="s">
        <v>18</v>
      </c>
      <c r="M1981" s="1" t="s">
        <v>4222</v>
      </c>
      <c r="N1981" s="1" t="s">
        <v>4223</v>
      </c>
    </row>
    <row r="1982" spans="1:14" x14ac:dyDescent="0.35">
      <c r="A1982">
        <v>6504038</v>
      </c>
      <c r="B1982" s="1" t="s">
        <v>4195</v>
      </c>
      <c r="C1982">
        <v>758.8</v>
      </c>
      <c r="D1982">
        <v>11</v>
      </c>
      <c r="E1982" s="1" t="s">
        <v>4224</v>
      </c>
      <c r="F1982" s="1" t="s">
        <v>15</v>
      </c>
      <c r="G1982" s="1" t="s">
        <v>52</v>
      </c>
      <c r="H1982">
        <v>14</v>
      </c>
      <c r="I1982">
        <v>15</v>
      </c>
      <c r="K1982" s="1" t="s">
        <v>17</v>
      </c>
      <c r="L1982" s="1" t="s">
        <v>24</v>
      </c>
      <c r="M1982" s="1" t="s">
        <v>4222</v>
      </c>
      <c r="N1982" s="1" t="s">
        <v>4225</v>
      </c>
    </row>
    <row r="1983" spans="1:14" x14ac:dyDescent="0.35">
      <c r="A1983">
        <v>6504027</v>
      </c>
      <c r="B1983" s="1" t="s">
        <v>4195</v>
      </c>
      <c r="C1983">
        <v>758.8</v>
      </c>
      <c r="D1983">
        <v>11</v>
      </c>
      <c r="E1983" s="1" t="s">
        <v>4226</v>
      </c>
      <c r="F1983" s="1" t="s">
        <v>15</v>
      </c>
      <c r="G1983" s="1" t="s">
        <v>52</v>
      </c>
      <c r="H1983">
        <v>50</v>
      </c>
      <c r="I1983">
        <v>11</v>
      </c>
      <c r="J1983">
        <v>50</v>
      </c>
      <c r="K1983" s="1" t="s">
        <v>17</v>
      </c>
      <c r="L1983" s="1" t="s">
        <v>24</v>
      </c>
      <c r="M1983" s="1" t="s">
        <v>4222</v>
      </c>
      <c r="N1983" s="1" t="s">
        <v>4227</v>
      </c>
    </row>
    <row r="1984" spans="1:14" x14ac:dyDescent="0.35">
      <c r="A1984">
        <v>6504039</v>
      </c>
      <c r="B1984" s="1" t="s">
        <v>4195</v>
      </c>
      <c r="C1984">
        <v>758.8</v>
      </c>
      <c r="D1984">
        <v>11</v>
      </c>
      <c r="E1984" s="1" t="s">
        <v>4228</v>
      </c>
      <c r="F1984" s="1" t="s">
        <v>15</v>
      </c>
      <c r="G1984" s="1" t="s">
        <v>52</v>
      </c>
      <c r="H1984">
        <v>17</v>
      </c>
      <c r="I1984">
        <v>5</v>
      </c>
      <c r="K1984" s="1" t="s">
        <v>17</v>
      </c>
      <c r="L1984" s="1" t="s">
        <v>24</v>
      </c>
      <c r="M1984" s="1" t="s">
        <v>4222</v>
      </c>
      <c r="N1984" s="1" t="s">
        <v>4229</v>
      </c>
    </row>
    <row r="1985" spans="1:14" x14ac:dyDescent="0.35">
      <c r="A1985">
        <v>6503002</v>
      </c>
      <c r="B1985" s="1" t="s">
        <v>4195</v>
      </c>
      <c r="C1985">
        <v>758.8</v>
      </c>
      <c r="D1985">
        <v>11</v>
      </c>
      <c r="E1985" s="1" t="s">
        <v>4230</v>
      </c>
      <c r="F1985" s="1" t="s">
        <v>15</v>
      </c>
      <c r="G1985" s="1" t="s">
        <v>22</v>
      </c>
      <c r="H1985">
        <v>56</v>
      </c>
      <c r="I1985">
        <v>16</v>
      </c>
      <c r="J1985">
        <v>55</v>
      </c>
      <c r="K1985" s="1" t="s">
        <v>17</v>
      </c>
      <c r="L1985" s="1" t="s">
        <v>18</v>
      </c>
      <c r="M1985" s="1" t="s">
        <v>4231</v>
      </c>
      <c r="N1985" s="1" t="s">
        <v>4232</v>
      </c>
    </row>
    <row r="1986" spans="1:14" x14ac:dyDescent="0.35">
      <c r="A1986">
        <v>6503013</v>
      </c>
      <c r="B1986" s="1" t="s">
        <v>4195</v>
      </c>
      <c r="C1986">
        <v>758.8</v>
      </c>
      <c r="D1986">
        <v>11</v>
      </c>
      <c r="E1986" s="1" t="s">
        <v>4233</v>
      </c>
      <c r="F1986" s="1" t="s">
        <v>15</v>
      </c>
      <c r="G1986" s="1" t="s">
        <v>52</v>
      </c>
      <c r="H1986">
        <v>42</v>
      </c>
      <c r="I1986">
        <v>10</v>
      </c>
      <c r="K1986" s="1" t="s">
        <v>17</v>
      </c>
      <c r="L1986" s="1" t="s">
        <v>24</v>
      </c>
      <c r="M1986" s="1" t="s">
        <v>4231</v>
      </c>
      <c r="N1986" s="1" t="s">
        <v>4234</v>
      </c>
    </row>
    <row r="1987" spans="1:14" x14ac:dyDescent="0.35">
      <c r="A1987">
        <v>1901020</v>
      </c>
      <c r="B1987" s="1" t="s">
        <v>4235</v>
      </c>
      <c r="C1987">
        <v>1569.7</v>
      </c>
      <c r="D1987">
        <v>94</v>
      </c>
      <c r="E1987" s="1" t="s">
        <v>4236</v>
      </c>
      <c r="F1987" s="1" t="s">
        <v>129</v>
      </c>
      <c r="G1987" s="1" t="s">
        <v>16</v>
      </c>
      <c r="H1987">
        <v>149</v>
      </c>
      <c r="I1987">
        <v>21</v>
      </c>
      <c r="K1987" s="1" t="s">
        <v>124</v>
      </c>
      <c r="L1987" s="1" t="s">
        <v>18</v>
      </c>
      <c r="M1987" s="1" t="s">
        <v>4237</v>
      </c>
      <c r="N1987" s="1" t="s">
        <v>4238</v>
      </c>
    </row>
    <row r="1988" spans="1:14" x14ac:dyDescent="0.35">
      <c r="A1988">
        <v>1901043</v>
      </c>
      <c r="B1988" s="1" t="s">
        <v>4235</v>
      </c>
      <c r="C1988">
        <v>1569.7</v>
      </c>
      <c r="D1988">
        <v>94</v>
      </c>
      <c r="E1988" s="1" t="s">
        <v>4239</v>
      </c>
      <c r="F1988" s="1" t="s">
        <v>15</v>
      </c>
      <c r="G1988" s="1" t="s">
        <v>16</v>
      </c>
      <c r="H1988">
        <v>212</v>
      </c>
      <c r="I1988">
        <v>74</v>
      </c>
      <c r="J1988">
        <v>767</v>
      </c>
      <c r="K1988" s="1" t="s">
        <v>124</v>
      </c>
      <c r="L1988" s="1" t="s">
        <v>18</v>
      </c>
      <c r="M1988" s="1" t="s">
        <v>4237</v>
      </c>
      <c r="N1988" s="1" t="s">
        <v>4240</v>
      </c>
    </row>
    <row r="1989" spans="1:14" x14ac:dyDescent="0.35">
      <c r="A1989">
        <v>1901016</v>
      </c>
      <c r="B1989" s="1" t="s">
        <v>4235</v>
      </c>
      <c r="C1989">
        <v>1569.7</v>
      </c>
      <c r="D1989">
        <v>94</v>
      </c>
      <c r="E1989" s="1" t="s">
        <v>4241</v>
      </c>
      <c r="F1989" s="1" t="s">
        <v>15</v>
      </c>
      <c r="G1989" s="1" t="s">
        <v>32</v>
      </c>
      <c r="H1989">
        <v>163</v>
      </c>
      <c r="I1989">
        <v>56</v>
      </c>
      <c r="J1989">
        <v>645</v>
      </c>
      <c r="K1989" s="1" t="s">
        <v>17</v>
      </c>
      <c r="L1989" s="1" t="s">
        <v>18</v>
      </c>
      <c r="M1989" s="1" t="s">
        <v>4237</v>
      </c>
      <c r="N1989" s="1" t="s">
        <v>4242</v>
      </c>
    </row>
    <row r="1990" spans="1:14" x14ac:dyDescent="0.35">
      <c r="A1990">
        <v>1902042</v>
      </c>
      <c r="B1990" s="1" t="s">
        <v>4235</v>
      </c>
      <c r="C1990">
        <v>1569.7</v>
      </c>
      <c r="D1990">
        <v>94</v>
      </c>
      <c r="E1990" s="1" t="s">
        <v>4243</v>
      </c>
      <c r="F1990" s="1" t="s">
        <v>15</v>
      </c>
      <c r="G1990" s="1" t="s">
        <v>32</v>
      </c>
      <c r="H1990">
        <v>105</v>
      </c>
      <c r="I1990">
        <v>35</v>
      </c>
      <c r="J1990">
        <v>79</v>
      </c>
      <c r="K1990" s="1" t="s">
        <v>23</v>
      </c>
      <c r="L1990" s="1" t="s">
        <v>24</v>
      </c>
      <c r="M1990" s="1" t="s">
        <v>4237</v>
      </c>
      <c r="N1990" s="1" t="s">
        <v>4244</v>
      </c>
    </row>
    <row r="1991" spans="1:14" x14ac:dyDescent="0.35">
      <c r="A1991">
        <v>1901031</v>
      </c>
      <c r="B1991" s="1" t="s">
        <v>4235</v>
      </c>
      <c r="C1991">
        <v>1569.7</v>
      </c>
      <c r="D1991">
        <v>94</v>
      </c>
      <c r="E1991" s="1" t="s">
        <v>4245</v>
      </c>
      <c r="F1991" s="1" t="s">
        <v>15</v>
      </c>
      <c r="G1991" s="1" t="s">
        <v>32</v>
      </c>
      <c r="H1991">
        <v>110</v>
      </c>
      <c r="I1991">
        <v>54</v>
      </c>
      <c r="J1991">
        <v>331</v>
      </c>
      <c r="K1991" s="1" t="s">
        <v>90</v>
      </c>
      <c r="L1991" s="1" t="s">
        <v>24</v>
      </c>
      <c r="M1991" s="1" t="s">
        <v>4237</v>
      </c>
      <c r="N1991" s="1" t="s">
        <v>4246</v>
      </c>
    </row>
    <row r="1992" spans="1:14" x14ac:dyDescent="0.35">
      <c r="A1992">
        <v>1901044</v>
      </c>
      <c r="B1992" s="1" t="s">
        <v>4235</v>
      </c>
      <c r="C1992">
        <v>1569.7</v>
      </c>
      <c r="D1992">
        <v>94</v>
      </c>
      <c r="E1992" s="1" t="s">
        <v>4247</v>
      </c>
      <c r="F1992" s="1" t="s">
        <v>15</v>
      </c>
      <c r="G1992" s="1" t="s">
        <v>22</v>
      </c>
      <c r="H1992">
        <v>50</v>
      </c>
      <c r="I1992">
        <v>26</v>
      </c>
      <c r="J1992">
        <v>154</v>
      </c>
      <c r="K1992" s="1" t="s">
        <v>17</v>
      </c>
      <c r="L1992" s="1" t="s">
        <v>24</v>
      </c>
      <c r="M1992" s="1" t="s">
        <v>4237</v>
      </c>
      <c r="N1992" s="1" t="s">
        <v>4248</v>
      </c>
    </row>
    <row r="1993" spans="1:14" x14ac:dyDescent="0.35">
      <c r="A1993">
        <v>1901046</v>
      </c>
      <c r="B1993" s="1" t="s">
        <v>4235</v>
      </c>
      <c r="C1993">
        <v>1569.7</v>
      </c>
      <c r="D1993">
        <v>94</v>
      </c>
      <c r="E1993" s="1" t="s">
        <v>4249</v>
      </c>
      <c r="F1993" s="1" t="s">
        <v>15</v>
      </c>
      <c r="G1993" s="1" t="s">
        <v>52</v>
      </c>
      <c r="H1993">
        <v>32</v>
      </c>
      <c r="I1993">
        <v>27</v>
      </c>
      <c r="J1993">
        <v>73</v>
      </c>
      <c r="K1993" s="1" t="s">
        <v>17</v>
      </c>
      <c r="L1993" s="1" t="s">
        <v>18</v>
      </c>
      <c r="M1993" s="1" t="s">
        <v>4237</v>
      </c>
      <c r="N1993" s="1" t="s">
        <v>4250</v>
      </c>
    </row>
    <row r="1994" spans="1:14" x14ac:dyDescent="0.35">
      <c r="A1994">
        <v>1903013</v>
      </c>
      <c r="B1994" s="1" t="s">
        <v>4235</v>
      </c>
      <c r="C1994">
        <v>1569.7</v>
      </c>
      <c r="D1994">
        <v>94</v>
      </c>
      <c r="E1994" s="1" t="s">
        <v>4251</v>
      </c>
      <c r="F1994" s="1" t="s">
        <v>15</v>
      </c>
      <c r="G1994" s="1" t="s">
        <v>32</v>
      </c>
      <c r="H1994">
        <v>130</v>
      </c>
      <c r="I1994">
        <v>30</v>
      </c>
      <c r="J1994">
        <v>532</v>
      </c>
      <c r="K1994" s="1" t="s">
        <v>17</v>
      </c>
      <c r="L1994" s="1" t="s">
        <v>18</v>
      </c>
      <c r="M1994" s="1" t="s">
        <v>4252</v>
      </c>
      <c r="N1994" s="1" t="s">
        <v>4253</v>
      </c>
    </row>
    <row r="1995" spans="1:14" x14ac:dyDescent="0.35">
      <c r="A1995">
        <v>1903005</v>
      </c>
      <c r="B1995" s="1" t="s">
        <v>4235</v>
      </c>
      <c r="C1995">
        <v>1569.7</v>
      </c>
      <c r="D1995">
        <v>94</v>
      </c>
      <c r="E1995" s="1" t="s">
        <v>4254</v>
      </c>
      <c r="F1995" s="1" t="s">
        <v>15</v>
      </c>
      <c r="G1995" s="1" t="s">
        <v>22</v>
      </c>
      <c r="H1995">
        <v>67</v>
      </c>
      <c r="I1995">
        <v>6</v>
      </c>
      <c r="J1995">
        <v>13</v>
      </c>
      <c r="K1995" s="1" t="s">
        <v>90</v>
      </c>
      <c r="L1995" s="1" t="s">
        <v>24</v>
      </c>
      <c r="M1995" s="1" t="s">
        <v>4252</v>
      </c>
      <c r="N1995" s="1" t="s">
        <v>4255</v>
      </c>
    </row>
    <row r="1996" spans="1:14" x14ac:dyDescent="0.35">
      <c r="A1996">
        <v>1903002</v>
      </c>
      <c r="B1996" s="1" t="s">
        <v>4235</v>
      </c>
      <c r="C1996">
        <v>1569.7</v>
      </c>
      <c r="D1996">
        <v>94</v>
      </c>
      <c r="E1996" s="1" t="s">
        <v>4256</v>
      </c>
      <c r="F1996" s="1" t="s">
        <v>15</v>
      </c>
      <c r="G1996" s="1" t="s">
        <v>22</v>
      </c>
      <c r="H1996">
        <v>50</v>
      </c>
      <c r="I1996">
        <v>22</v>
      </c>
      <c r="J1996">
        <v>71</v>
      </c>
      <c r="K1996" s="1" t="s">
        <v>90</v>
      </c>
      <c r="L1996" s="1" t="s">
        <v>24</v>
      </c>
      <c r="M1996" s="1" t="s">
        <v>4252</v>
      </c>
      <c r="N1996" s="1" t="s">
        <v>4257</v>
      </c>
    </row>
    <row r="1997" spans="1:14" x14ac:dyDescent="0.35">
      <c r="A1997">
        <v>1905024</v>
      </c>
      <c r="B1997" s="1" t="s">
        <v>4235</v>
      </c>
      <c r="C1997">
        <v>1569.7</v>
      </c>
      <c r="D1997">
        <v>94</v>
      </c>
      <c r="E1997" s="1" t="s">
        <v>4258</v>
      </c>
      <c r="F1997" s="1" t="s">
        <v>15</v>
      </c>
      <c r="G1997" s="1" t="s">
        <v>32</v>
      </c>
      <c r="H1997">
        <v>103</v>
      </c>
      <c r="I1997">
        <v>27</v>
      </c>
      <c r="J1997">
        <v>384</v>
      </c>
      <c r="K1997" s="1" t="s">
        <v>17</v>
      </c>
      <c r="L1997" s="1" t="s">
        <v>18</v>
      </c>
      <c r="M1997" s="1" t="s">
        <v>4259</v>
      </c>
      <c r="N1997" s="1" t="s">
        <v>4260</v>
      </c>
    </row>
    <row r="1998" spans="1:14" x14ac:dyDescent="0.35">
      <c r="A1998">
        <v>1905026</v>
      </c>
      <c r="B1998" s="1" t="s">
        <v>4235</v>
      </c>
      <c r="C1998">
        <v>1569.7</v>
      </c>
      <c r="D1998">
        <v>94</v>
      </c>
      <c r="E1998" s="1" t="s">
        <v>4261</v>
      </c>
      <c r="F1998" s="1" t="s">
        <v>15</v>
      </c>
      <c r="G1998" s="1" t="s">
        <v>22</v>
      </c>
      <c r="H1998">
        <v>53</v>
      </c>
      <c r="I1998">
        <v>21</v>
      </c>
      <c r="J1998">
        <v>135</v>
      </c>
      <c r="K1998" s="1" t="s">
        <v>17</v>
      </c>
      <c r="L1998" s="1" t="s">
        <v>18</v>
      </c>
      <c r="M1998" s="1" t="s">
        <v>4259</v>
      </c>
      <c r="N1998" s="1" t="s">
        <v>4262</v>
      </c>
    </row>
    <row r="1999" spans="1:14" x14ac:dyDescent="0.35">
      <c r="A1999">
        <v>1904013</v>
      </c>
      <c r="B1999" s="1" t="s">
        <v>4235</v>
      </c>
      <c r="C1999">
        <v>1569.7</v>
      </c>
      <c r="D1999">
        <v>94</v>
      </c>
      <c r="E1999" s="1" t="s">
        <v>4263</v>
      </c>
      <c r="F1999" s="1" t="s">
        <v>15</v>
      </c>
      <c r="G1999" s="1" t="s">
        <v>32</v>
      </c>
      <c r="H1999">
        <v>101</v>
      </c>
      <c r="I1999">
        <v>83</v>
      </c>
      <c r="J1999">
        <v>412</v>
      </c>
      <c r="K1999" s="1" t="s">
        <v>17</v>
      </c>
      <c r="L1999" s="1" t="s">
        <v>18</v>
      </c>
      <c r="M1999" s="1" t="s">
        <v>4264</v>
      </c>
      <c r="N1999" s="1" t="s">
        <v>4265</v>
      </c>
    </row>
    <row r="2000" spans="1:14" x14ac:dyDescent="0.35">
      <c r="A2000">
        <v>1904014</v>
      </c>
      <c r="B2000" s="1" t="s">
        <v>4235</v>
      </c>
      <c r="C2000">
        <v>1569.7</v>
      </c>
      <c r="D2000">
        <v>94</v>
      </c>
      <c r="E2000" s="1" t="s">
        <v>4266</v>
      </c>
      <c r="F2000" s="1" t="s">
        <v>15</v>
      </c>
      <c r="G2000" s="1" t="s">
        <v>32</v>
      </c>
      <c r="H2000">
        <v>107</v>
      </c>
      <c r="I2000">
        <v>73</v>
      </c>
      <c r="J2000">
        <v>187</v>
      </c>
      <c r="K2000" s="1" t="s">
        <v>90</v>
      </c>
      <c r="L2000" s="1" t="s">
        <v>24</v>
      </c>
      <c r="M2000" s="1" t="s">
        <v>4264</v>
      </c>
      <c r="N2000" s="1" t="s">
        <v>4267</v>
      </c>
    </row>
    <row r="2001" spans="1:14" x14ac:dyDescent="0.35">
      <c r="A2001">
        <v>1904016</v>
      </c>
      <c r="B2001" s="1" t="s">
        <v>4235</v>
      </c>
      <c r="C2001">
        <v>1569.7</v>
      </c>
      <c r="D2001">
        <v>94</v>
      </c>
      <c r="E2001" s="1" t="s">
        <v>4268</v>
      </c>
      <c r="F2001" s="1" t="s">
        <v>15</v>
      </c>
      <c r="G2001" s="1" t="s">
        <v>22</v>
      </c>
      <c r="H2001">
        <v>72</v>
      </c>
      <c r="I2001">
        <v>20</v>
      </c>
      <c r="J2001">
        <v>6</v>
      </c>
      <c r="K2001" s="1" t="s">
        <v>146</v>
      </c>
      <c r="L2001" s="1" t="s">
        <v>24</v>
      </c>
      <c r="M2001" s="1" t="s">
        <v>4264</v>
      </c>
      <c r="N2001" s="1" t="s">
        <v>4269</v>
      </c>
    </row>
    <row r="2002" spans="1:14" x14ac:dyDescent="0.35">
      <c r="A2002">
        <v>1904015</v>
      </c>
      <c r="B2002" s="1" t="s">
        <v>4235</v>
      </c>
      <c r="C2002">
        <v>1569.7</v>
      </c>
      <c r="D2002">
        <v>94</v>
      </c>
      <c r="E2002" s="1" t="s">
        <v>4270</v>
      </c>
      <c r="F2002" s="1" t="s">
        <v>15</v>
      </c>
      <c r="G2002" s="1" t="s">
        <v>52</v>
      </c>
      <c r="H2002">
        <v>28</v>
      </c>
      <c r="I2002">
        <v>23</v>
      </c>
      <c r="K2002" s="1" t="s">
        <v>17</v>
      </c>
      <c r="L2002" s="1" t="s">
        <v>18</v>
      </c>
      <c r="M2002" s="1" t="s">
        <v>4264</v>
      </c>
      <c r="N2002" s="1" t="s">
        <v>4271</v>
      </c>
    </row>
    <row r="2003" spans="1:14" x14ac:dyDescent="0.35">
      <c r="A2003">
        <v>1902010</v>
      </c>
      <c r="B2003" s="1" t="s">
        <v>4235</v>
      </c>
      <c r="C2003">
        <v>1569.7</v>
      </c>
      <c r="D2003">
        <v>94</v>
      </c>
      <c r="E2003" s="1" t="s">
        <v>4272</v>
      </c>
      <c r="F2003" s="1" t="s">
        <v>15</v>
      </c>
      <c r="G2003" s="1" t="s">
        <v>32</v>
      </c>
      <c r="H2003">
        <v>177</v>
      </c>
      <c r="I2003">
        <v>70</v>
      </c>
      <c r="J2003">
        <v>617</v>
      </c>
      <c r="K2003" s="1" t="s">
        <v>17</v>
      </c>
      <c r="L2003" s="1" t="s">
        <v>18</v>
      </c>
      <c r="M2003" s="1" t="s">
        <v>4273</v>
      </c>
      <c r="N2003" s="1" t="s">
        <v>4274</v>
      </c>
    </row>
    <row r="2004" spans="1:14" x14ac:dyDescent="0.35">
      <c r="A2004">
        <v>1902012</v>
      </c>
      <c r="B2004" s="1" t="s">
        <v>4235</v>
      </c>
      <c r="C2004">
        <v>1569.7</v>
      </c>
      <c r="D2004">
        <v>94</v>
      </c>
      <c r="E2004" s="1" t="s">
        <v>4275</v>
      </c>
      <c r="F2004" s="1" t="s">
        <v>15</v>
      </c>
      <c r="G2004" s="1" t="s">
        <v>22</v>
      </c>
      <c r="H2004">
        <v>66</v>
      </c>
      <c r="I2004">
        <v>23</v>
      </c>
      <c r="J2004">
        <v>145</v>
      </c>
      <c r="K2004" s="1" t="s">
        <v>95</v>
      </c>
      <c r="L2004" s="1" t="s">
        <v>24</v>
      </c>
      <c r="M2004" s="1" t="s">
        <v>4273</v>
      </c>
      <c r="N2004" s="1" t="s">
        <v>4276</v>
      </c>
    </row>
    <row r="2005" spans="1:14" x14ac:dyDescent="0.35">
      <c r="A2005">
        <v>1902011</v>
      </c>
      <c r="B2005" s="1" t="s">
        <v>4235</v>
      </c>
      <c r="C2005">
        <v>1569.7</v>
      </c>
      <c r="D2005">
        <v>94</v>
      </c>
      <c r="E2005" s="1" t="s">
        <v>4277</v>
      </c>
      <c r="F2005" s="1" t="s">
        <v>15</v>
      </c>
      <c r="G2005" s="1" t="s">
        <v>22</v>
      </c>
      <c r="H2005">
        <v>50</v>
      </c>
      <c r="I2005">
        <v>21</v>
      </c>
      <c r="J2005">
        <v>34</v>
      </c>
      <c r="K2005" s="1" t="s">
        <v>23</v>
      </c>
      <c r="L2005" s="1" t="s">
        <v>24</v>
      </c>
      <c r="M2005" s="1" t="s">
        <v>4273</v>
      </c>
      <c r="N2005" s="1" t="s">
        <v>4278</v>
      </c>
    </row>
    <row r="2006" spans="1:14" x14ac:dyDescent="0.35">
      <c r="A2006">
        <v>1906014</v>
      </c>
      <c r="B2006" s="1" t="s">
        <v>4235</v>
      </c>
      <c r="C2006">
        <v>1569.7</v>
      </c>
      <c r="D2006">
        <v>94</v>
      </c>
      <c r="E2006" s="1" t="s">
        <v>4279</v>
      </c>
      <c r="F2006" s="1" t="s">
        <v>15</v>
      </c>
      <c r="G2006" s="1" t="s">
        <v>32</v>
      </c>
      <c r="H2006">
        <v>104</v>
      </c>
      <c r="I2006">
        <v>35</v>
      </c>
      <c r="J2006">
        <v>472</v>
      </c>
      <c r="K2006" s="1" t="s">
        <v>17</v>
      </c>
      <c r="L2006" s="1" t="s">
        <v>18</v>
      </c>
      <c r="M2006" s="1" t="s">
        <v>4280</v>
      </c>
      <c r="N2006" s="1" t="s">
        <v>4281</v>
      </c>
    </row>
    <row r="2007" spans="1:14" x14ac:dyDescent="0.35">
      <c r="A2007">
        <v>1971003</v>
      </c>
      <c r="B2007" s="1" t="s">
        <v>4235</v>
      </c>
      <c r="C2007">
        <v>1569.7</v>
      </c>
      <c r="D2007">
        <v>94</v>
      </c>
      <c r="E2007" s="1" t="s">
        <v>4282</v>
      </c>
      <c r="F2007" s="1" t="s">
        <v>71</v>
      </c>
      <c r="G2007" s="1" t="s">
        <v>32</v>
      </c>
      <c r="H2007">
        <v>55</v>
      </c>
      <c r="I2007">
        <v>14</v>
      </c>
      <c r="J2007">
        <v>72</v>
      </c>
      <c r="K2007" s="1" t="s">
        <v>90</v>
      </c>
      <c r="L2007" s="1" t="s">
        <v>24</v>
      </c>
      <c r="M2007" s="1" t="s">
        <v>4283</v>
      </c>
      <c r="N2007" s="1" t="s">
        <v>4284</v>
      </c>
    </row>
    <row r="2008" spans="1:14" x14ac:dyDescent="0.35">
      <c r="A2008">
        <v>1971006</v>
      </c>
      <c r="B2008" s="1" t="s">
        <v>4235</v>
      </c>
      <c r="C2008">
        <v>1569.7</v>
      </c>
      <c r="D2008">
        <v>94</v>
      </c>
      <c r="E2008" s="1" t="s">
        <v>4285</v>
      </c>
      <c r="F2008" s="1" t="s">
        <v>71</v>
      </c>
      <c r="G2008" s="1" t="s">
        <v>32</v>
      </c>
      <c r="H2008">
        <v>24</v>
      </c>
      <c r="I2008">
        <v>15</v>
      </c>
      <c r="J2008">
        <v>48</v>
      </c>
      <c r="K2008" s="1" t="s">
        <v>23</v>
      </c>
      <c r="L2008" s="1" t="s">
        <v>24</v>
      </c>
      <c r="M2008" s="1" t="s">
        <v>4283</v>
      </c>
      <c r="N2008" s="1" t="s">
        <v>4286</v>
      </c>
    </row>
    <row r="2009" spans="1:14" x14ac:dyDescent="0.35">
      <c r="A2009">
        <v>1971005</v>
      </c>
      <c r="B2009" s="1" t="s">
        <v>4235</v>
      </c>
      <c r="C2009">
        <v>1569.7</v>
      </c>
      <c r="D2009">
        <v>94</v>
      </c>
      <c r="E2009" s="1" t="s">
        <v>4287</v>
      </c>
      <c r="F2009" s="1" t="s">
        <v>71</v>
      </c>
      <c r="G2009" s="1" t="s">
        <v>32</v>
      </c>
      <c r="H2009">
        <v>32</v>
      </c>
      <c r="I2009">
        <v>12</v>
      </c>
      <c r="J2009">
        <v>28</v>
      </c>
      <c r="K2009" s="1" t="s">
        <v>90</v>
      </c>
      <c r="L2009" s="1" t="s">
        <v>24</v>
      </c>
      <c r="M2009" s="1" t="s">
        <v>4283</v>
      </c>
      <c r="N2009" s="1" t="s">
        <v>4288</v>
      </c>
    </row>
    <row r="2010" spans="1:14" x14ac:dyDescent="0.35">
      <c r="A2010">
        <v>1971043</v>
      </c>
      <c r="B2010" s="1" t="s">
        <v>4235</v>
      </c>
      <c r="C2010">
        <v>1569.7</v>
      </c>
      <c r="D2010">
        <v>94</v>
      </c>
      <c r="E2010" s="1" t="s">
        <v>4289</v>
      </c>
      <c r="F2010" s="1" t="s">
        <v>15</v>
      </c>
      <c r="G2010" s="1" t="s">
        <v>32</v>
      </c>
      <c r="H2010">
        <v>190</v>
      </c>
      <c r="I2010">
        <v>83</v>
      </c>
      <c r="J2010">
        <v>500</v>
      </c>
      <c r="K2010" s="1" t="s">
        <v>90</v>
      </c>
      <c r="L2010" s="1" t="s">
        <v>24</v>
      </c>
      <c r="M2010" s="1" t="s">
        <v>4283</v>
      </c>
      <c r="N2010" s="1" t="s">
        <v>4290</v>
      </c>
    </row>
    <row r="2011" spans="1:14" x14ac:dyDescent="0.35">
      <c r="A2011">
        <v>1971021</v>
      </c>
      <c r="B2011" s="1" t="s">
        <v>4235</v>
      </c>
      <c r="C2011">
        <v>1569.7</v>
      </c>
      <c r="D2011">
        <v>94</v>
      </c>
      <c r="E2011" s="1" t="s">
        <v>4291</v>
      </c>
      <c r="F2011" s="1" t="s">
        <v>15</v>
      </c>
      <c r="G2011" s="1" t="s">
        <v>32</v>
      </c>
      <c r="H2011">
        <v>111</v>
      </c>
      <c r="I2011">
        <v>98</v>
      </c>
      <c r="J2011">
        <v>663</v>
      </c>
      <c r="K2011" s="1" t="s">
        <v>137</v>
      </c>
      <c r="L2011" s="1" t="s">
        <v>18</v>
      </c>
      <c r="M2011" s="1" t="s">
        <v>4283</v>
      </c>
      <c r="N2011" s="1" t="s">
        <v>4292</v>
      </c>
    </row>
    <row r="2012" spans="1:14" x14ac:dyDescent="0.35">
      <c r="A2012">
        <v>1971002</v>
      </c>
      <c r="B2012" s="1" t="s">
        <v>4235</v>
      </c>
      <c r="C2012">
        <v>1569.7</v>
      </c>
      <c r="D2012">
        <v>94</v>
      </c>
      <c r="E2012" s="1" t="s">
        <v>4293</v>
      </c>
      <c r="F2012" s="1" t="s">
        <v>15</v>
      </c>
      <c r="G2012" s="1" t="s">
        <v>32</v>
      </c>
      <c r="H2012">
        <v>106</v>
      </c>
      <c r="I2012">
        <v>39</v>
      </c>
      <c r="J2012">
        <v>93</v>
      </c>
      <c r="K2012" s="1" t="s">
        <v>90</v>
      </c>
      <c r="L2012" s="1" t="s">
        <v>24</v>
      </c>
      <c r="M2012" s="1" t="s">
        <v>4283</v>
      </c>
      <c r="N2012" s="1" t="s">
        <v>4294</v>
      </c>
    </row>
    <row r="2013" spans="1:14" x14ac:dyDescent="0.35">
      <c r="A2013">
        <v>1971004</v>
      </c>
      <c r="B2013" s="1" t="s">
        <v>4235</v>
      </c>
      <c r="C2013">
        <v>1569.7</v>
      </c>
      <c r="D2013">
        <v>94</v>
      </c>
      <c r="E2013" s="1" t="s">
        <v>4295</v>
      </c>
      <c r="F2013" s="1" t="s">
        <v>15</v>
      </c>
      <c r="G2013" s="1" t="s">
        <v>32</v>
      </c>
      <c r="H2013">
        <v>101</v>
      </c>
      <c r="I2013">
        <v>44</v>
      </c>
      <c r="J2013">
        <v>58</v>
      </c>
      <c r="K2013" s="1" t="s">
        <v>90</v>
      </c>
      <c r="L2013" s="1" t="s">
        <v>24</v>
      </c>
      <c r="M2013" s="1" t="s">
        <v>4283</v>
      </c>
      <c r="N2013" s="1" t="s">
        <v>4296</v>
      </c>
    </row>
    <row r="2014" spans="1:14" x14ac:dyDescent="0.35">
      <c r="A2014">
        <v>1971054</v>
      </c>
      <c r="B2014" s="1" t="s">
        <v>4235</v>
      </c>
      <c r="C2014">
        <v>1569.7</v>
      </c>
      <c r="D2014">
        <v>94</v>
      </c>
      <c r="E2014" s="1" t="s">
        <v>4297</v>
      </c>
      <c r="F2014" s="1" t="s">
        <v>15</v>
      </c>
      <c r="G2014" s="1" t="s">
        <v>22</v>
      </c>
      <c r="H2014">
        <v>57</v>
      </c>
      <c r="I2014">
        <v>2</v>
      </c>
      <c r="K2014" s="1" t="s">
        <v>27</v>
      </c>
      <c r="L2014" s="1" t="s">
        <v>24</v>
      </c>
      <c r="M2014" s="1" t="s">
        <v>4283</v>
      </c>
      <c r="N2014" s="1" t="s">
        <v>4298</v>
      </c>
    </row>
    <row r="2015" spans="1:14" x14ac:dyDescent="0.35">
      <c r="A2015">
        <v>2002010</v>
      </c>
      <c r="B2015" s="1" t="s">
        <v>4299</v>
      </c>
      <c r="C2015">
        <v>2243.1</v>
      </c>
      <c r="D2015">
        <v>275</v>
      </c>
      <c r="E2015" s="1" t="s">
        <v>4300</v>
      </c>
      <c r="F2015" s="1" t="s">
        <v>129</v>
      </c>
      <c r="G2015" s="1" t="s">
        <v>16</v>
      </c>
      <c r="H2015">
        <v>119</v>
      </c>
      <c r="I2015">
        <v>46</v>
      </c>
      <c r="J2015">
        <v>168</v>
      </c>
      <c r="K2015" s="1" t="s">
        <v>124</v>
      </c>
      <c r="L2015" s="1" t="s">
        <v>18</v>
      </c>
      <c r="M2015" s="1" t="s">
        <v>4301</v>
      </c>
      <c r="N2015" s="1" t="s">
        <v>4302</v>
      </c>
    </row>
    <row r="2016" spans="1:14" x14ac:dyDescent="0.35">
      <c r="A2016">
        <v>2002002</v>
      </c>
      <c r="B2016" s="1" t="s">
        <v>4299</v>
      </c>
      <c r="C2016">
        <v>2243.1</v>
      </c>
      <c r="D2016">
        <v>275</v>
      </c>
      <c r="E2016" s="1" t="s">
        <v>4303</v>
      </c>
      <c r="F2016" s="1" t="s">
        <v>15</v>
      </c>
      <c r="G2016" s="1" t="s">
        <v>32</v>
      </c>
      <c r="H2016">
        <v>139</v>
      </c>
      <c r="I2016">
        <v>31</v>
      </c>
      <c r="J2016">
        <v>159</v>
      </c>
      <c r="K2016" s="1" t="s">
        <v>17</v>
      </c>
      <c r="L2016" s="1" t="s">
        <v>18</v>
      </c>
      <c r="M2016" s="1" t="s">
        <v>4301</v>
      </c>
      <c r="N2016" s="1" t="s">
        <v>4304</v>
      </c>
    </row>
    <row r="2017" spans="1:14" x14ac:dyDescent="0.35">
      <c r="A2017">
        <v>2001045</v>
      </c>
      <c r="B2017" s="1" t="s">
        <v>4299</v>
      </c>
      <c r="C2017">
        <v>2243.1</v>
      </c>
      <c r="D2017">
        <v>275</v>
      </c>
      <c r="E2017" s="1" t="s">
        <v>4305</v>
      </c>
      <c r="F2017" s="1" t="s">
        <v>15</v>
      </c>
      <c r="G2017" s="1" t="s">
        <v>32</v>
      </c>
      <c r="H2017">
        <v>100</v>
      </c>
      <c r="I2017">
        <v>47</v>
      </c>
      <c r="J2017">
        <v>316</v>
      </c>
      <c r="K2017" s="1" t="s">
        <v>90</v>
      </c>
      <c r="L2017" s="1" t="s">
        <v>24</v>
      </c>
      <c r="M2017" s="1" t="s">
        <v>4306</v>
      </c>
      <c r="N2017" s="1" t="s">
        <v>4307</v>
      </c>
    </row>
    <row r="2018" spans="1:14" x14ac:dyDescent="0.35">
      <c r="A2018">
        <v>2001013</v>
      </c>
      <c r="B2018" s="1" t="s">
        <v>4299</v>
      </c>
      <c r="C2018">
        <v>2243.1</v>
      </c>
      <c r="D2018">
        <v>275</v>
      </c>
      <c r="E2018" s="1" t="s">
        <v>4308</v>
      </c>
      <c r="F2018" s="1" t="s">
        <v>15</v>
      </c>
      <c r="G2018" s="1" t="s">
        <v>32</v>
      </c>
      <c r="H2018">
        <v>210</v>
      </c>
      <c r="I2018">
        <v>70</v>
      </c>
      <c r="J2018">
        <v>543</v>
      </c>
      <c r="K2018" s="1" t="s">
        <v>17</v>
      </c>
      <c r="L2018" s="1" t="s">
        <v>18</v>
      </c>
      <c r="M2018" s="1" t="s">
        <v>4306</v>
      </c>
      <c r="N2018" s="1" t="s">
        <v>4309</v>
      </c>
    </row>
    <row r="2019" spans="1:14" x14ac:dyDescent="0.35">
      <c r="A2019">
        <v>2101003</v>
      </c>
      <c r="B2019" s="1" t="s">
        <v>4299</v>
      </c>
      <c r="C2019">
        <v>2243.1</v>
      </c>
      <c r="D2019">
        <v>275</v>
      </c>
      <c r="E2019" s="1" t="s">
        <v>4310</v>
      </c>
      <c r="F2019" s="1" t="s">
        <v>15</v>
      </c>
      <c r="G2019" s="1" t="s">
        <v>52</v>
      </c>
      <c r="H2019">
        <v>25</v>
      </c>
      <c r="I2019">
        <v>21</v>
      </c>
      <c r="J2019">
        <v>31</v>
      </c>
      <c r="K2019" s="1" t="s">
        <v>17</v>
      </c>
      <c r="L2019" s="1" t="s">
        <v>18</v>
      </c>
      <c r="M2019" s="1" t="s">
        <v>4306</v>
      </c>
      <c r="N2019" s="1" t="s">
        <v>4311</v>
      </c>
    </row>
    <row r="2020" spans="1:14" x14ac:dyDescent="0.35">
      <c r="A2020">
        <v>2005002</v>
      </c>
      <c r="B2020" s="1" t="s">
        <v>4299</v>
      </c>
      <c r="C2020">
        <v>2243.1</v>
      </c>
      <c r="D2020">
        <v>275</v>
      </c>
      <c r="E2020" s="1" t="s">
        <v>4312</v>
      </c>
      <c r="F2020" s="1" t="s">
        <v>15</v>
      </c>
      <c r="G2020" s="1" t="s">
        <v>22</v>
      </c>
      <c r="H2020">
        <v>18</v>
      </c>
      <c r="I2020">
        <v>14</v>
      </c>
      <c r="J2020">
        <v>85</v>
      </c>
      <c r="K2020" s="1" t="s">
        <v>17</v>
      </c>
      <c r="L2020" s="1" t="s">
        <v>18</v>
      </c>
      <c r="M2020" s="1" t="s">
        <v>4313</v>
      </c>
      <c r="N2020" s="1" t="s">
        <v>4314</v>
      </c>
    </row>
    <row r="2021" spans="1:14" x14ac:dyDescent="0.35">
      <c r="A2021">
        <v>2105005</v>
      </c>
      <c r="B2021" s="1" t="s">
        <v>4299</v>
      </c>
      <c r="C2021">
        <v>2243.1</v>
      </c>
      <c r="D2021">
        <v>275</v>
      </c>
      <c r="E2021" s="1" t="s">
        <v>4315</v>
      </c>
      <c r="F2021" s="1" t="s">
        <v>15</v>
      </c>
      <c r="G2021" s="1" t="s">
        <v>22</v>
      </c>
      <c r="H2021">
        <v>65</v>
      </c>
      <c r="I2021">
        <v>18</v>
      </c>
      <c r="J2021">
        <v>68</v>
      </c>
      <c r="K2021" s="1" t="s">
        <v>17</v>
      </c>
      <c r="L2021" s="1" t="s">
        <v>24</v>
      </c>
      <c r="M2021" s="1" t="s">
        <v>4313</v>
      </c>
      <c r="N2021" s="1" t="s">
        <v>4316</v>
      </c>
    </row>
    <row r="2022" spans="1:14" x14ac:dyDescent="0.35">
      <c r="A2022">
        <v>2003125</v>
      </c>
      <c r="B2022" s="1" t="s">
        <v>4299</v>
      </c>
      <c r="C2022">
        <v>2243.1</v>
      </c>
      <c r="D2022">
        <v>275</v>
      </c>
      <c r="E2022" s="1" t="s">
        <v>4317</v>
      </c>
      <c r="F2022" s="1" t="s">
        <v>15</v>
      </c>
      <c r="G2022" s="1" t="s">
        <v>22</v>
      </c>
      <c r="H2022">
        <v>50</v>
      </c>
      <c r="I2022">
        <v>21</v>
      </c>
      <c r="J2022">
        <v>122</v>
      </c>
      <c r="K2022" s="1" t="s">
        <v>17</v>
      </c>
      <c r="L2022" s="1" t="s">
        <v>18</v>
      </c>
      <c r="M2022" s="1" t="s">
        <v>4313</v>
      </c>
      <c r="N2022" s="1" t="s">
        <v>4318</v>
      </c>
    </row>
    <row r="2023" spans="1:14" x14ac:dyDescent="0.35">
      <c r="A2023">
        <v>2071054</v>
      </c>
      <c r="B2023" s="1" t="s">
        <v>4299</v>
      </c>
      <c r="C2023">
        <v>2243.1</v>
      </c>
      <c r="D2023">
        <v>275</v>
      </c>
      <c r="E2023" s="1" t="s">
        <v>4319</v>
      </c>
      <c r="F2023" s="1" t="s">
        <v>71</v>
      </c>
      <c r="G2023" s="1" t="s">
        <v>32</v>
      </c>
      <c r="H2023">
        <v>29</v>
      </c>
      <c r="I2023">
        <v>18</v>
      </c>
      <c r="J2023">
        <v>40</v>
      </c>
      <c r="K2023" s="1" t="s">
        <v>90</v>
      </c>
      <c r="L2023" s="1" t="s">
        <v>24</v>
      </c>
      <c r="M2023" s="1" t="s">
        <v>4320</v>
      </c>
      <c r="N2023" s="1" t="s">
        <v>4321</v>
      </c>
    </row>
    <row r="2024" spans="1:14" x14ac:dyDescent="0.35">
      <c r="A2024">
        <v>2071057</v>
      </c>
      <c r="B2024" s="1" t="s">
        <v>4299</v>
      </c>
      <c r="C2024">
        <v>2243.1</v>
      </c>
      <c r="D2024">
        <v>275</v>
      </c>
      <c r="E2024" s="1" t="s">
        <v>4322</v>
      </c>
      <c r="F2024" s="1" t="s">
        <v>71</v>
      </c>
      <c r="G2024" s="1" t="s">
        <v>32</v>
      </c>
      <c r="H2024">
        <v>36</v>
      </c>
      <c r="I2024">
        <v>19</v>
      </c>
      <c r="J2024">
        <v>61</v>
      </c>
      <c r="K2024" s="1" t="s">
        <v>90</v>
      </c>
      <c r="L2024" s="1" t="s">
        <v>24</v>
      </c>
      <c r="M2024" s="1" t="s">
        <v>4320</v>
      </c>
      <c r="N2024" s="1" t="s">
        <v>4323</v>
      </c>
    </row>
    <row r="2025" spans="1:14" x14ac:dyDescent="0.35">
      <c r="A2025">
        <v>2071012</v>
      </c>
      <c r="B2025" s="1" t="s">
        <v>4299</v>
      </c>
      <c r="C2025">
        <v>2243.1</v>
      </c>
      <c r="D2025">
        <v>275</v>
      </c>
      <c r="E2025" s="1" t="s">
        <v>4324</v>
      </c>
      <c r="F2025" s="1" t="s">
        <v>15</v>
      </c>
      <c r="G2025" s="1" t="s">
        <v>16</v>
      </c>
      <c r="H2025">
        <v>200</v>
      </c>
      <c r="I2025">
        <v>100</v>
      </c>
      <c r="J2025">
        <v>556</v>
      </c>
      <c r="K2025" s="1" t="s">
        <v>84</v>
      </c>
      <c r="L2025" s="1" t="s">
        <v>24</v>
      </c>
      <c r="M2025" s="1" t="s">
        <v>4320</v>
      </c>
      <c r="N2025" s="1" t="s">
        <v>4325</v>
      </c>
    </row>
    <row r="2026" spans="1:14" x14ac:dyDescent="0.35">
      <c r="A2026">
        <v>2071114</v>
      </c>
      <c r="B2026" s="1" t="s">
        <v>4299</v>
      </c>
      <c r="C2026">
        <v>2243.1</v>
      </c>
      <c r="D2026">
        <v>275</v>
      </c>
      <c r="E2026" s="1" t="s">
        <v>4326</v>
      </c>
      <c r="F2026" s="1" t="s">
        <v>15</v>
      </c>
      <c r="G2026" s="1" t="s">
        <v>16</v>
      </c>
      <c r="H2026">
        <v>227</v>
      </c>
      <c r="I2026">
        <v>60</v>
      </c>
      <c r="J2026">
        <v>485</v>
      </c>
      <c r="K2026" s="1" t="s">
        <v>137</v>
      </c>
      <c r="L2026" s="1" t="s">
        <v>18</v>
      </c>
      <c r="M2026" s="1" t="s">
        <v>4320</v>
      </c>
      <c r="N2026" s="1" t="s">
        <v>4327</v>
      </c>
    </row>
    <row r="2027" spans="1:14" x14ac:dyDescent="0.35">
      <c r="A2027">
        <v>2071103</v>
      </c>
      <c r="B2027" s="1" t="s">
        <v>4299</v>
      </c>
      <c r="C2027">
        <v>2243.1</v>
      </c>
      <c r="D2027">
        <v>275</v>
      </c>
      <c r="E2027" s="1" t="s">
        <v>4328</v>
      </c>
      <c r="F2027" s="1" t="s">
        <v>15</v>
      </c>
      <c r="G2027" s="1" t="s">
        <v>16</v>
      </c>
      <c r="H2027">
        <v>257</v>
      </c>
      <c r="I2027">
        <v>112</v>
      </c>
      <c r="J2027">
        <v>617</v>
      </c>
      <c r="K2027" s="1" t="s">
        <v>90</v>
      </c>
      <c r="L2027" s="1" t="s">
        <v>24</v>
      </c>
      <c r="M2027" s="1" t="s">
        <v>4320</v>
      </c>
      <c r="N2027" s="1" t="s">
        <v>4329</v>
      </c>
    </row>
    <row r="2028" spans="1:14" x14ac:dyDescent="0.35">
      <c r="A2028">
        <v>2071034</v>
      </c>
      <c r="B2028" s="1" t="s">
        <v>4299</v>
      </c>
      <c r="C2028">
        <v>2243.1</v>
      </c>
      <c r="D2028">
        <v>275</v>
      </c>
      <c r="E2028" s="1" t="s">
        <v>4330</v>
      </c>
      <c r="F2028" s="1" t="s">
        <v>15</v>
      </c>
      <c r="G2028" s="1" t="s">
        <v>16</v>
      </c>
      <c r="H2028">
        <v>219</v>
      </c>
      <c r="I2028">
        <v>101</v>
      </c>
      <c r="J2028">
        <v>417</v>
      </c>
      <c r="K2028" s="1" t="s">
        <v>49</v>
      </c>
      <c r="L2028" s="1" t="s">
        <v>24</v>
      </c>
      <c r="M2028" s="1" t="s">
        <v>4320</v>
      </c>
      <c r="N2028" s="1" t="s">
        <v>4331</v>
      </c>
    </row>
    <row r="2029" spans="1:14" x14ac:dyDescent="0.35">
      <c r="A2029">
        <v>2171065</v>
      </c>
      <c r="B2029" s="1" t="s">
        <v>4299</v>
      </c>
      <c r="C2029">
        <v>2243.1</v>
      </c>
      <c r="D2029">
        <v>275</v>
      </c>
      <c r="E2029" s="1" t="s">
        <v>4332</v>
      </c>
      <c r="F2029" s="1" t="s">
        <v>15</v>
      </c>
      <c r="G2029" s="1" t="s">
        <v>16</v>
      </c>
      <c r="H2029">
        <v>229</v>
      </c>
      <c r="I2029">
        <v>22</v>
      </c>
      <c r="J2029">
        <v>53</v>
      </c>
      <c r="K2029" s="1" t="s">
        <v>23</v>
      </c>
      <c r="L2029" s="1" t="s">
        <v>24</v>
      </c>
      <c r="M2029" s="1" t="s">
        <v>4320</v>
      </c>
      <c r="N2029" s="1" t="s">
        <v>4333</v>
      </c>
    </row>
    <row r="2030" spans="1:14" x14ac:dyDescent="0.35">
      <c r="A2030">
        <v>2071037</v>
      </c>
      <c r="B2030" s="1" t="s">
        <v>4299</v>
      </c>
      <c r="C2030">
        <v>2243.1</v>
      </c>
      <c r="D2030">
        <v>275</v>
      </c>
      <c r="E2030" s="1" t="s">
        <v>4334</v>
      </c>
      <c r="F2030" s="1" t="s">
        <v>15</v>
      </c>
      <c r="G2030" s="1" t="s">
        <v>32</v>
      </c>
      <c r="H2030">
        <v>127</v>
      </c>
      <c r="I2030">
        <v>20</v>
      </c>
      <c r="J2030">
        <v>83</v>
      </c>
      <c r="K2030" s="1" t="s">
        <v>23</v>
      </c>
      <c r="L2030" s="1" t="s">
        <v>24</v>
      </c>
      <c r="M2030" s="1" t="s">
        <v>4320</v>
      </c>
      <c r="N2030" s="1" t="s">
        <v>4335</v>
      </c>
    </row>
    <row r="2031" spans="1:14" x14ac:dyDescent="0.35">
      <c r="A2031">
        <v>2171078</v>
      </c>
      <c r="B2031" s="1" t="s">
        <v>4299</v>
      </c>
      <c r="C2031">
        <v>2243.1</v>
      </c>
      <c r="D2031">
        <v>275</v>
      </c>
      <c r="E2031" s="1" t="s">
        <v>4336</v>
      </c>
      <c r="F2031" s="1" t="s">
        <v>15</v>
      </c>
      <c r="G2031" s="1" t="s">
        <v>32</v>
      </c>
      <c r="H2031">
        <v>118</v>
      </c>
      <c r="I2031">
        <v>39</v>
      </c>
      <c r="K2031" s="1" t="s">
        <v>23</v>
      </c>
      <c r="L2031" s="1" t="s">
        <v>24</v>
      </c>
      <c r="M2031" s="1" t="s">
        <v>4320</v>
      </c>
      <c r="N2031" s="1" t="s">
        <v>4337</v>
      </c>
    </row>
    <row r="2032" spans="1:14" x14ac:dyDescent="0.35">
      <c r="A2032">
        <v>2071053</v>
      </c>
      <c r="B2032" s="1" t="s">
        <v>4299</v>
      </c>
      <c r="C2032">
        <v>2243.1</v>
      </c>
      <c r="D2032">
        <v>275</v>
      </c>
      <c r="E2032" s="1" t="s">
        <v>4338</v>
      </c>
      <c r="F2032" s="1" t="s">
        <v>15</v>
      </c>
      <c r="G2032" s="1" t="s">
        <v>32</v>
      </c>
      <c r="H2032">
        <v>125</v>
      </c>
      <c r="I2032">
        <v>35</v>
      </c>
      <c r="J2032">
        <v>200</v>
      </c>
      <c r="K2032" s="1" t="s">
        <v>90</v>
      </c>
      <c r="L2032" s="1" t="s">
        <v>24</v>
      </c>
      <c r="M2032" s="1" t="s">
        <v>4320</v>
      </c>
      <c r="N2032" s="1" t="s">
        <v>4339</v>
      </c>
    </row>
    <row r="2033" spans="1:14" x14ac:dyDescent="0.35">
      <c r="A2033">
        <v>2171062</v>
      </c>
      <c r="B2033" s="1" t="s">
        <v>4299</v>
      </c>
      <c r="C2033">
        <v>2243.1</v>
      </c>
      <c r="D2033">
        <v>275</v>
      </c>
      <c r="E2033" s="1" t="s">
        <v>4340</v>
      </c>
      <c r="F2033" s="1" t="s">
        <v>15</v>
      </c>
      <c r="G2033" s="1" t="s">
        <v>32</v>
      </c>
      <c r="H2033">
        <v>127</v>
      </c>
      <c r="I2033">
        <v>33</v>
      </c>
      <c r="J2033">
        <v>42</v>
      </c>
      <c r="K2033" s="1" t="s">
        <v>90</v>
      </c>
      <c r="L2033" s="1" t="s">
        <v>24</v>
      </c>
      <c r="M2033" s="1" t="s">
        <v>4320</v>
      </c>
      <c r="N2033" s="1" t="s">
        <v>4341</v>
      </c>
    </row>
    <row r="2034" spans="1:14" x14ac:dyDescent="0.35">
      <c r="A2034">
        <v>2071015</v>
      </c>
      <c r="B2034" s="1" t="s">
        <v>4299</v>
      </c>
      <c r="C2034">
        <v>2243.1</v>
      </c>
      <c r="D2034">
        <v>275</v>
      </c>
      <c r="E2034" s="1" t="s">
        <v>4342</v>
      </c>
      <c r="F2034" s="1" t="s">
        <v>15</v>
      </c>
      <c r="G2034" s="1" t="s">
        <v>32</v>
      </c>
      <c r="H2034">
        <v>107</v>
      </c>
      <c r="I2034">
        <v>62</v>
      </c>
      <c r="J2034">
        <v>283</v>
      </c>
      <c r="K2034" s="1" t="s">
        <v>572</v>
      </c>
      <c r="L2034" s="1" t="s">
        <v>24</v>
      </c>
      <c r="M2034" s="1" t="s">
        <v>4320</v>
      </c>
      <c r="N2034" s="1" t="s">
        <v>4343</v>
      </c>
    </row>
    <row r="2035" spans="1:14" x14ac:dyDescent="0.35">
      <c r="A2035">
        <v>2071050</v>
      </c>
      <c r="B2035" s="1" t="s">
        <v>4299</v>
      </c>
      <c r="C2035">
        <v>2243.1</v>
      </c>
      <c r="D2035">
        <v>275</v>
      </c>
      <c r="E2035" s="1" t="s">
        <v>4344</v>
      </c>
      <c r="F2035" s="1" t="s">
        <v>15</v>
      </c>
      <c r="G2035" s="1" t="s">
        <v>32</v>
      </c>
      <c r="H2035">
        <v>168</v>
      </c>
      <c r="I2035">
        <v>40</v>
      </c>
      <c r="J2035">
        <v>396</v>
      </c>
      <c r="K2035" s="1" t="s">
        <v>90</v>
      </c>
      <c r="L2035" s="1" t="s">
        <v>24</v>
      </c>
      <c r="M2035" s="1" t="s">
        <v>4320</v>
      </c>
      <c r="N2035" s="1" t="s">
        <v>4345</v>
      </c>
    </row>
    <row r="2036" spans="1:14" x14ac:dyDescent="0.35">
      <c r="A2036">
        <v>2071056</v>
      </c>
      <c r="B2036" s="1" t="s">
        <v>4299</v>
      </c>
      <c r="C2036">
        <v>2243.1</v>
      </c>
      <c r="D2036">
        <v>275</v>
      </c>
      <c r="E2036" s="1" t="s">
        <v>4346</v>
      </c>
      <c r="F2036" s="1" t="s">
        <v>15</v>
      </c>
      <c r="G2036" s="1" t="s">
        <v>32</v>
      </c>
      <c r="H2036">
        <v>121</v>
      </c>
      <c r="I2036">
        <v>40</v>
      </c>
      <c r="J2036">
        <v>194</v>
      </c>
      <c r="K2036" s="1" t="s">
        <v>90</v>
      </c>
      <c r="L2036" s="1" t="s">
        <v>24</v>
      </c>
      <c r="M2036" s="1" t="s">
        <v>4320</v>
      </c>
      <c r="N2036" s="1" t="s">
        <v>4347</v>
      </c>
    </row>
    <row r="2037" spans="1:14" x14ac:dyDescent="0.35">
      <c r="A2037">
        <v>2071059</v>
      </c>
      <c r="B2037" s="1" t="s">
        <v>4299</v>
      </c>
      <c r="C2037">
        <v>2243.1</v>
      </c>
      <c r="D2037">
        <v>275</v>
      </c>
      <c r="E2037" s="1" t="s">
        <v>4348</v>
      </c>
      <c r="F2037" s="1" t="s">
        <v>15</v>
      </c>
      <c r="G2037" s="1" t="s">
        <v>32</v>
      </c>
      <c r="H2037">
        <v>111</v>
      </c>
      <c r="I2037">
        <v>24</v>
      </c>
      <c r="J2037">
        <v>182</v>
      </c>
      <c r="K2037" s="1" t="s">
        <v>84</v>
      </c>
      <c r="L2037" s="1" t="s">
        <v>24</v>
      </c>
      <c r="M2037" s="1" t="s">
        <v>4320</v>
      </c>
      <c r="N2037" s="1" t="s">
        <v>4349</v>
      </c>
    </row>
    <row r="2038" spans="1:14" x14ac:dyDescent="0.35">
      <c r="A2038">
        <v>2171083</v>
      </c>
      <c r="B2038" s="1" t="s">
        <v>4299</v>
      </c>
      <c r="C2038">
        <v>2243.1</v>
      </c>
      <c r="D2038">
        <v>275</v>
      </c>
      <c r="E2038" s="1" t="s">
        <v>4350</v>
      </c>
      <c r="F2038" s="1" t="s">
        <v>15</v>
      </c>
      <c r="G2038" s="1" t="s">
        <v>32</v>
      </c>
      <c r="H2038">
        <v>125</v>
      </c>
      <c r="I2038">
        <v>35</v>
      </c>
      <c r="K2038" s="1" t="s">
        <v>23</v>
      </c>
      <c r="L2038" s="1" t="s">
        <v>24</v>
      </c>
      <c r="M2038" s="1" t="s">
        <v>4320</v>
      </c>
      <c r="N2038" s="1" t="s">
        <v>4351</v>
      </c>
    </row>
    <row r="2039" spans="1:14" x14ac:dyDescent="0.35">
      <c r="A2039">
        <v>2071023</v>
      </c>
      <c r="B2039" s="1" t="s">
        <v>4299</v>
      </c>
      <c r="C2039">
        <v>2243.1</v>
      </c>
      <c r="D2039">
        <v>275</v>
      </c>
      <c r="E2039" s="1" t="s">
        <v>4352</v>
      </c>
      <c r="F2039" s="1" t="s">
        <v>15</v>
      </c>
      <c r="G2039" s="1" t="s">
        <v>32</v>
      </c>
      <c r="H2039">
        <v>122</v>
      </c>
      <c r="I2039">
        <v>63</v>
      </c>
      <c r="J2039">
        <v>370</v>
      </c>
      <c r="K2039" s="1" t="s">
        <v>84</v>
      </c>
      <c r="L2039" s="1" t="s">
        <v>24</v>
      </c>
      <c r="M2039" s="1" t="s">
        <v>4320</v>
      </c>
      <c r="N2039" s="1" t="s">
        <v>4353</v>
      </c>
    </row>
    <row r="2040" spans="1:14" x14ac:dyDescent="0.35">
      <c r="A2040">
        <v>2171077</v>
      </c>
      <c r="B2040" s="1" t="s">
        <v>4299</v>
      </c>
      <c r="C2040">
        <v>2243.1</v>
      </c>
      <c r="D2040">
        <v>275</v>
      </c>
      <c r="E2040" s="1" t="s">
        <v>4354</v>
      </c>
      <c r="F2040" s="1" t="s">
        <v>15</v>
      </c>
      <c r="G2040" s="1" t="s">
        <v>22</v>
      </c>
      <c r="H2040">
        <v>50</v>
      </c>
      <c r="I2040">
        <v>16</v>
      </c>
      <c r="J2040">
        <v>18</v>
      </c>
      <c r="K2040" s="1" t="s">
        <v>23</v>
      </c>
      <c r="L2040" s="1" t="s">
        <v>24</v>
      </c>
      <c r="M2040" s="1" t="s">
        <v>4320</v>
      </c>
      <c r="N2040" s="1" t="s">
        <v>4355</v>
      </c>
    </row>
    <row r="2041" spans="1:14" x14ac:dyDescent="0.35">
      <c r="A2041">
        <v>2171064</v>
      </c>
      <c r="B2041" s="1" t="s">
        <v>4299</v>
      </c>
      <c r="C2041">
        <v>2243.1</v>
      </c>
      <c r="D2041">
        <v>275</v>
      </c>
      <c r="E2041" s="1" t="s">
        <v>4356</v>
      </c>
      <c r="F2041" s="1" t="s">
        <v>15</v>
      </c>
      <c r="G2041" s="1" t="s">
        <v>22</v>
      </c>
      <c r="H2041">
        <v>52</v>
      </c>
      <c r="I2041">
        <v>24</v>
      </c>
      <c r="J2041">
        <v>86</v>
      </c>
      <c r="K2041" s="1" t="s">
        <v>90</v>
      </c>
      <c r="L2041" s="1" t="s">
        <v>24</v>
      </c>
      <c r="M2041" s="1" t="s">
        <v>4320</v>
      </c>
      <c r="N2041" s="1" t="s">
        <v>4357</v>
      </c>
    </row>
    <row r="2042" spans="1:14" x14ac:dyDescent="0.35">
      <c r="A2042">
        <v>2171061</v>
      </c>
      <c r="B2042" s="1" t="s">
        <v>4299</v>
      </c>
      <c r="C2042">
        <v>2243.1</v>
      </c>
      <c r="D2042">
        <v>275</v>
      </c>
      <c r="E2042" s="1" t="s">
        <v>4358</v>
      </c>
      <c r="F2042" s="1" t="s">
        <v>15</v>
      </c>
      <c r="G2042" s="1" t="s">
        <v>22</v>
      </c>
      <c r="H2042">
        <v>82</v>
      </c>
      <c r="I2042">
        <v>22</v>
      </c>
      <c r="J2042">
        <v>53</v>
      </c>
      <c r="K2042" s="1" t="s">
        <v>146</v>
      </c>
      <c r="L2042" s="1" t="s">
        <v>120</v>
      </c>
      <c r="M2042" s="1" t="s">
        <v>4320</v>
      </c>
      <c r="N2042" s="1" t="s">
        <v>4359</v>
      </c>
    </row>
    <row r="2043" spans="1:14" x14ac:dyDescent="0.35">
      <c r="A2043">
        <v>2072023</v>
      </c>
      <c r="B2043" s="1" t="s">
        <v>4299</v>
      </c>
      <c r="C2043">
        <v>2243.1</v>
      </c>
      <c r="D2043">
        <v>275</v>
      </c>
      <c r="E2043" s="1" t="s">
        <v>4360</v>
      </c>
      <c r="F2043" s="1" t="s">
        <v>15</v>
      </c>
      <c r="G2043" s="1" t="s">
        <v>16</v>
      </c>
      <c r="H2043">
        <v>209</v>
      </c>
      <c r="I2043">
        <v>77</v>
      </c>
      <c r="J2043">
        <v>414</v>
      </c>
      <c r="K2043" s="1" t="s">
        <v>191</v>
      </c>
      <c r="L2043" s="1" t="s">
        <v>24</v>
      </c>
      <c r="M2043" s="1" t="s">
        <v>4361</v>
      </c>
      <c r="N2043" s="1" t="s">
        <v>4362</v>
      </c>
    </row>
    <row r="2044" spans="1:14" x14ac:dyDescent="0.35">
      <c r="A2044">
        <v>2072002</v>
      </c>
      <c r="B2044" s="1" t="s">
        <v>4299</v>
      </c>
      <c r="C2044">
        <v>2243.1</v>
      </c>
      <c r="D2044">
        <v>275</v>
      </c>
      <c r="E2044" s="1" t="s">
        <v>4363</v>
      </c>
      <c r="F2044" s="1" t="s">
        <v>15</v>
      </c>
      <c r="G2044" s="1" t="s">
        <v>16</v>
      </c>
      <c r="H2044">
        <v>232</v>
      </c>
      <c r="I2044">
        <v>95</v>
      </c>
      <c r="J2044">
        <v>828</v>
      </c>
      <c r="K2044" s="1" t="s">
        <v>124</v>
      </c>
      <c r="L2044" s="1" t="s">
        <v>18</v>
      </c>
      <c r="M2044" s="1" t="s">
        <v>4361</v>
      </c>
      <c r="N2044" s="1" t="s">
        <v>4364</v>
      </c>
    </row>
    <row r="2045" spans="1:14" x14ac:dyDescent="0.35">
      <c r="A2045">
        <v>2072012</v>
      </c>
      <c r="B2045" s="1" t="s">
        <v>4299</v>
      </c>
      <c r="C2045">
        <v>2243.1</v>
      </c>
      <c r="D2045">
        <v>275</v>
      </c>
      <c r="E2045" s="1" t="s">
        <v>4365</v>
      </c>
      <c r="F2045" s="1" t="s">
        <v>15</v>
      </c>
      <c r="G2045" s="1" t="s">
        <v>32</v>
      </c>
      <c r="H2045">
        <v>134</v>
      </c>
      <c r="I2045">
        <v>42</v>
      </c>
      <c r="J2045">
        <v>457</v>
      </c>
      <c r="K2045" s="1" t="s">
        <v>137</v>
      </c>
      <c r="L2045" s="1" t="s">
        <v>18</v>
      </c>
      <c r="M2045" s="1" t="s">
        <v>4361</v>
      </c>
      <c r="N2045" s="1" t="s">
        <v>4366</v>
      </c>
    </row>
    <row r="2046" spans="1:14" x14ac:dyDescent="0.35">
      <c r="A2046">
        <v>2004012</v>
      </c>
      <c r="B2046" s="1" t="s">
        <v>4299</v>
      </c>
      <c r="C2046">
        <v>2243.1</v>
      </c>
      <c r="D2046">
        <v>275</v>
      </c>
      <c r="E2046" s="1" t="s">
        <v>4367</v>
      </c>
      <c r="F2046" s="1" t="s">
        <v>15</v>
      </c>
      <c r="G2046" s="1" t="s">
        <v>32</v>
      </c>
      <c r="H2046">
        <v>100</v>
      </c>
      <c r="I2046">
        <v>23</v>
      </c>
      <c r="J2046">
        <v>108</v>
      </c>
      <c r="K2046" s="1" t="s">
        <v>17</v>
      </c>
      <c r="L2046" s="1" t="s">
        <v>18</v>
      </c>
      <c r="M2046" s="1" t="s">
        <v>4368</v>
      </c>
      <c r="N2046" s="1" t="s">
        <v>4369</v>
      </c>
    </row>
    <row r="2047" spans="1:14" x14ac:dyDescent="0.35">
      <c r="A2047">
        <v>2004136</v>
      </c>
      <c r="B2047" s="1" t="s">
        <v>4299</v>
      </c>
      <c r="C2047">
        <v>2243.1</v>
      </c>
      <c r="D2047">
        <v>275</v>
      </c>
      <c r="E2047" s="1" t="s">
        <v>4370</v>
      </c>
      <c r="F2047" s="1" t="s">
        <v>15</v>
      </c>
      <c r="G2047" s="1" t="s">
        <v>22</v>
      </c>
      <c r="H2047">
        <v>58</v>
      </c>
      <c r="I2047">
        <v>11</v>
      </c>
      <c r="J2047">
        <v>155</v>
      </c>
      <c r="K2047" s="1" t="s">
        <v>17</v>
      </c>
      <c r="L2047" s="1" t="s">
        <v>18</v>
      </c>
      <c r="M2047" s="1" t="s">
        <v>4368</v>
      </c>
      <c r="N2047" s="1" t="s">
        <v>4371</v>
      </c>
    </row>
    <row r="2048" spans="1:14" x14ac:dyDescent="0.35">
      <c r="A2048">
        <v>2003011</v>
      </c>
      <c r="B2048" s="1" t="s">
        <v>4299</v>
      </c>
      <c r="C2048">
        <v>2243.1</v>
      </c>
      <c r="D2048">
        <v>275</v>
      </c>
      <c r="E2048" s="1" t="s">
        <v>4372</v>
      </c>
      <c r="F2048" s="1" t="s">
        <v>15</v>
      </c>
      <c r="G2048" s="1" t="s">
        <v>32</v>
      </c>
      <c r="H2048">
        <v>140</v>
      </c>
      <c r="I2048">
        <v>41</v>
      </c>
      <c r="J2048">
        <v>360</v>
      </c>
      <c r="K2048" s="1" t="s">
        <v>17</v>
      </c>
      <c r="L2048" s="1" t="s">
        <v>18</v>
      </c>
      <c r="M2048" s="1" t="s">
        <v>4373</v>
      </c>
      <c r="N2048" s="1" t="s">
        <v>4374</v>
      </c>
    </row>
    <row r="2049" spans="1:14" x14ac:dyDescent="0.35">
      <c r="A2049">
        <v>2003056</v>
      </c>
      <c r="B2049" s="1" t="s">
        <v>4299</v>
      </c>
      <c r="C2049">
        <v>2243.1</v>
      </c>
      <c r="D2049">
        <v>275</v>
      </c>
      <c r="E2049" s="1" t="s">
        <v>4375</v>
      </c>
      <c r="F2049" s="1" t="s">
        <v>15</v>
      </c>
      <c r="G2049" s="1" t="s">
        <v>22</v>
      </c>
      <c r="H2049">
        <v>53</v>
      </c>
      <c r="I2049">
        <v>15</v>
      </c>
      <c r="J2049">
        <v>26</v>
      </c>
      <c r="K2049" s="1" t="s">
        <v>974</v>
      </c>
      <c r="L2049" s="1" t="s">
        <v>24</v>
      </c>
      <c r="M2049" s="1" t="s">
        <v>4373</v>
      </c>
      <c r="N2049" s="1" t="s">
        <v>4376</v>
      </c>
    </row>
    <row r="2050" spans="1:14" x14ac:dyDescent="0.35">
      <c r="A2050">
        <v>1871443</v>
      </c>
      <c r="B2050" s="1" t="s">
        <v>4377</v>
      </c>
      <c r="C2050">
        <v>9623.7999999999993</v>
      </c>
      <c r="D2050">
        <v>287</v>
      </c>
      <c r="E2050" s="1" t="s">
        <v>4378</v>
      </c>
      <c r="F2050" s="1" t="s">
        <v>71</v>
      </c>
      <c r="G2050" s="1" t="s">
        <v>32</v>
      </c>
      <c r="H2050">
        <v>39</v>
      </c>
      <c r="I2050">
        <v>25</v>
      </c>
      <c r="J2050">
        <v>106</v>
      </c>
      <c r="K2050" s="1" t="s">
        <v>23</v>
      </c>
      <c r="L2050" s="1" t="s">
        <v>24</v>
      </c>
      <c r="M2050" s="1" t="s">
        <v>4379</v>
      </c>
      <c r="N2050" s="1" t="s">
        <v>4380</v>
      </c>
    </row>
    <row r="2051" spans="1:14" x14ac:dyDescent="0.35">
      <c r="A2051">
        <v>1871439</v>
      </c>
      <c r="B2051" s="1" t="s">
        <v>4377</v>
      </c>
      <c r="C2051">
        <v>9623.7999999999993</v>
      </c>
      <c r="D2051">
        <v>287</v>
      </c>
      <c r="E2051" s="1" t="s">
        <v>4381</v>
      </c>
      <c r="F2051" s="1" t="s">
        <v>71</v>
      </c>
      <c r="G2051" s="1" t="s">
        <v>32</v>
      </c>
      <c r="H2051">
        <v>41</v>
      </c>
      <c r="I2051">
        <v>17</v>
      </c>
      <c r="J2051">
        <v>104</v>
      </c>
      <c r="K2051" s="1" t="s">
        <v>90</v>
      </c>
      <c r="L2051" s="1" t="s">
        <v>24</v>
      </c>
      <c r="M2051" s="1" t="s">
        <v>4379</v>
      </c>
      <c r="N2051" s="1" t="s">
        <v>4382</v>
      </c>
    </row>
    <row r="2052" spans="1:14" x14ac:dyDescent="0.35">
      <c r="A2052">
        <v>1871440</v>
      </c>
      <c r="B2052" s="1" t="s">
        <v>4377</v>
      </c>
      <c r="C2052">
        <v>9623.7999999999993</v>
      </c>
      <c r="D2052">
        <v>287</v>
      </c>
      <c r="E2052" s="1" t="s">
        <v>4383</v>
      </c>
      <c r="F2052" s="1" t="s">
        <v>71</v>
      </c>
      <c r="G2052" s="1" t="s">
        <v>32</v>
      </c>
      <c r="H2052">
        <v>52</v>
      </c>
      <c r="I2052">
        <v>14</v>
      </c>
      <c r="J2052">
        <v>82</v>
      </c>
      <c r="K2052" s="1" t="s">
        <v>90</v>
      </c>
      <c r="L2052" s="1" t="s">
        <v>24</v>
      </c>
      <c r="M2052" s="1" t="s">
        <v>4379</v>
      </c>
      <c r="N2052" s="1" t="s">
        <v>4384</v>
      </c>
    </row>
    <row r="2053" spans="1:14" x14ac:dyDescent="0.35">
      <c r="A2053">
        <v>1871442</v>
      </c>
      <c r="B2053" s="1" t="s">
        <v>4377</v>
      </c>
      <c r="C2053">
        <v>9623.7999999999993</v>
      </c>
      <c r="D2053">
        <v>287</v>
      </c>
      <c r="E2053" s="1" t="s">
        <v>4385</v>
      </c>
      <c r="F2053" s="1" t="s">
        <v>71</v>
      </c>
      <c r="G2053" s="1" t="s">
        <v>32</v>
      </c>
      <c r="H2053">
        <v>73</v>
      </c>
      <c r="I2053">
        <v>8</v>
      </c>
      <c r="J2053">
        <v>145</v>
      </c>
      <c r="K2053" s="1" t="s">
        <v>90</v>
      </c>
      <c r="L2053" s="1" t="s">
        <v>24</v>
      </c>
      <c r="M2053" s="1" t="s">
        <v>4379</v>
      </c>
      <c r="N2053" s="1" t="s">
        <v>4386</v>
      </c>
    </row>
    <row r="2054" spans="1:14" x14ac:dyDescent="0.35">
      <c r="A2054">
        <v>1871446</v>
      </c>
      <c r="B2054" s="1" t="s">
        <v>4377</v>
      </c>
      <c r="C2054">
        <v>9623.7999999999993</v>
      </c>
      <c r="D2054">
        <v>287</v>
      </c>
      <c r="E2054" s="1" t="s">
        <v>4387</v>
      </c>
      <c r="F2054" s="1" t="s">
        <v>71</v>
      </c>
      <c r="G2054" s="1" t="s">
        <v>32</v>
      </c>
      <c r="H2054">
        <v>35</v>
      </c>
      <c r="I2054">
        <v>16</v>
      </c>
      <c r="J2054">
        <v>79</v>
      </c>
      <c r="K2054" s="1" t="s">
        <v>90</v>
      </c>
      <c r="L2054" s="1" t="s">
        <v>24</v>
      </c>
      <c r="M2054" s="1" t="s">
        <v>4379</v>
      </c>
      <c r="N2054" s="1" t="s">
        <v>4388</v>
      </c>
    </row>
    <row r="2055" spans="1:14" x14ac:dyDescent="0.35">
      <c r="A2055">
        <v>1871223</v>
      </c>
      <c r="B2055" s="1" t="s">
        <v>4377</v>
      </c>
      <c r="C2055">
        <v>9623.7999999999993</v>
      </c>
      <c r="D2055">
        <v>287</v>
      </c>
      <c r="E2055" s="1" t="s">
        <v>4389</v>
      </c>
      <c r="F2055" s="1" t="s">
        <v>334</v>
      </c>
      <c r="G2055" s="1" t="s">
        <v>32</v>
      </c>
      <c r="H2055">
        <v>20</v>
      </c>
      <c r="I2055">
        <v>16</v>
      </c>
      <c r="J2055">
        <v>15</v>
      </c>
      <c r="K2055" s="1" t="s">
        <v>84</v>
      </c>
      <c r="L2055" s="1" t="s">
        <v>24</v>
      </c>
      <c r="M2055" s="1" t="s">
        <v>4379</v>
      </c>
      <c r="N2055" s="1" t="s">
        <v>4390</v>
      </c>
    </row>
    <row r="2056" spans="1:14" x14ac:dyDescent="0.35">
      <c r="A2056">
        <v>1871448</v>
      </c>
      <c r="B2056" s="1" t="s">
        <v>4377</v>
      </c>
      <c r="C2056">
        <v>9623.7999999999993</v>
      </c>
      <c r="D2056">
        <v>287</v>
      </c>
      <c r="E2056" s="1" t="s">
        <v>4391</v>
      </c>
      <c r="F2056" s="1" t="s">
        <v>334</v>
      </c>
      <c r="G2056" s="1" t="s">
        <v>32</v>
      </c>
      <c r="H2056">
        <v>15</v>
      </c>
      <c r="I2056">
        <v>21</v>
      </c>
      <c r="J2056">
        <v>49</v>
      </c>
      <c r="K2056" s="1" t="s">
        <v>23</v>
      </c>
      <c r="L2056" s="1" t="s">
        <v>24</v>
      </c>
      <c r="M2056" s="1" t="s">
        <v>4379</v>
      </c>
      <c r="N2056" s="1" t="s">
        <v>4392</v>
      </c>
    </row>
    <row r="2057" spans="1:14" x14ac:dyDescent="0.35">
      <c r="A2057">
        <v>1871405</v>
      </c>
      <c r="B2057" s="1" t="s">
        <v>4377</v>
      </c>
      <c r="C2057">
        <v>9623.7999999999993</v>
      </c>
      <c r="D2057">
        <v>287</v>
      </c>
      <c r="E2057" s="1" t="s">
        <v>4393</v>
      </c>
      <c r="F2057" s="1" t="s">
        <v>15</v>
      </c>
      <c r="G2057" s="1" t="s">
        <v>130</v>
      </c>
      <c r="H2057">
        <v>574</v>
      </c>
      <c r="I2057">
        <v>54</v>
      </c>
      <c r="J2057">
        <v>1050</v>
      </c>
      <c r="K2057" s="1" t="s">
        <v>90</v>
      </c>
      <c r="L2057" s="1" t="s">
        <v>24</v>
      </c>
      <c r="M2057" s="1" t="s">
        <v>4379</v>
      </c>
      <c r="N2057" s="1" t="s">
        <v>4394</v>
      </c>
    </row>
    <row r="2058" spans="1:14" x14ac:dyDescent="0.35">
      <c r="A2058">
        <v>1801017</v>
      </c>
      <c r="B2058" s="1" t="s">
        <v>4377</v>
      </c>
      <c r="C2058">
        <v>9623.7999999999993</v>
      </c>
      <c r="D2058">
        <v>287</v>
      </c>
      <c r="E2058" s="1" t="s">
        <v>4395</v>
      </c>
      <c r="F2058" s="1" t="s">
        <v>15</v>
      </c>
      <c r="G2058" s="1" t="s">
        <v>130</v>
      </c>
      <c r="H2058">
        <v>625</v>
      </c>
      <c r="I2058">
        <v>52</v>
      </c>
      <c r="J2058">
        <v>1352</v>
      </c>
      <c r="K2058" s="1" t="s">
        <v>124</v>
      </c>
      <c r="L2058" s="1" t="s">
        <v>18</v>
      </c>
      <c r="M2058" s="1" t="s">
        <v>4379</v>
      </c>
      <c r="N2058" s="1" t="s">
        <v>4396</v>
      </c>
    </row>
    <row r="2059" spans="1:14" x14ac:dyDescent="0.35">
      <c r="A2059">
        <v>1871180</v>
      </c>
      <c r="B2059" s="1" t="s">
        <v>4377</v>
      </c>
      <c r="C2059">
        <v>9623.7999999999993</v>
      </c>
      <c r="D2059">
        <v>287</v>
      </c>
      <c r="E2059" s="1" t="s">
        <v>4397</v>
      </c>
      <c r="F2059" s="1" t="s">
        <v>15</v>
      </c>
      <c r="G2059" s="1" t="s">
        <v>16</v>
      </c>
      <c r="H2059">
        <v>200</v>
      </c>
      <c r="I2059">
        <v>94</v>
      </c>
      <c r="J2059">
        <v>759</v>
      </c>
      <c r="K2059" s="1" t="s">
        <v>819</v>
      </c>
      <c r="L2059" s="1" t="s">
        <v>24</v>
      </c>
      <c r="M2059" s="1" t="s">
        <v>4379</v>
      </c>
      <c r="N2059" s="1" t="s">
        <v>4398</v>
      </c>
    </row>
    <row r="2060" spans="1:14" x14ac:dyDescent="0.35">
      <c r="A2060">
        <v>1871449</v>
      </c>
      <c r="B2060" s="1" t="s">
        <v>4377</v>
      </c>
      <c r="C2060">
        <v>9623.7999999999993</v>
      </c>
      <c r="D2060">
        <v>287</v>
      </c>
      <c r="E2060" s="1" t="s">
        <v>4399</v>
      </c>
      <c r="F2060" s="1" t="s">
        <v>15</v>
      </c>
      <c r="G2060" s="1" t="s">
        <v>32</v>
      </c>
      <c r="H2060">
        <v>144</v>
      </c>
      <c r="I2060">
        <v>78</v>
      </c>
      <c r="J2060">
        <v>10</v>
      </c>
      <c r="K2060" s="1" t="s">
        <v>23</v>
      </c>
      <c r="L2060" s="1" t="s">
        <v>24</v>
      </c>
      <c r="M2060" s="1" t="s">
        <v>4379</v>
      </c>
      <c r="N2060" s="1" t="s">
        <v>4400</v>
      </c>
    </row>
    <row r="2061" spans="1:14" x14ac:dyDescent="0.35">
      <c r="A2061">
        <v>1871416</v>
      </c>
      <c r="B2061" s="1" t="s">
        <v>4377</v>
      </c>
      <c r="C2061">
        <v>9623.7999999999993</v>
      </c>
      <c r="D2061">
        <v>287</v>
      </c>
      <c r="E2061" s="1" t="s">
        <v>4401</v>
      </c>
      <c r="F2061" s="1" t="s">
        <v>15</v>
      </c>
      <c r="G2061" s="1" t="s">
        <v>32</v>
      </c>
      <c r="H2061">
        <v>172</v>
      </c>
      <c r="I2061">
        <v>34</v>
      </c>
      <c r="J2061">
        <v>401</v>
      </c>
      <c r="K2061" s="1" t="s">
        <v>90</v>
      </c>
      <c r="L2061" s="1" t="s">
        <v>24</v>
      </c>
      <c r="M2061" s="1" t="s">
        <v>4379</v>
      </c>
      <c r="N2061" s="1" t="s">
        <v>4402</v>
      </c>
    </row>
    <row r="2062" spans="1:14" x14ac:dyDescent="0.35">
      <c r="A2062">
        <v>1871234</v>
      </c>
      <c r="B2062" s="1" t="s">
        <v>4377</v>
      </c>
      <c r="C2062">
        <v>9623.7999999999993</v>
      </c>
      <c r="D2062">
        <v>287</v>
      </c>
      <c r="E2062" s="1" t="s">
        <v>4403</v>
      </c>
      <c r="F2062" s="1" t="s">
        <v>15</v>
      </c>
      <c r="G2062" s="1" t="s">
        <v>32</v>
      </c>
      <c r="H2062">
        <v>155</v>
      </c>
      <c r="I2062">
        <v>23</v>
      </c>
      <c r="J2062">
        <v>265</v>
      </c>
      <c r="K2062" s="1" t="s">
        <v>84</v>
      </c>
      <c r="L2062" s="1" t="s">
        <v>24</v>
      </c>
      <c r="M2062" s="1" t="s">
        <v>4379</v>
      </c>
      <c r="N2062" s="1" t="s">
        <v>4404</v>
      </c>
    </row>
    <row r="2063" spans="1:14" x14ac:dyDescent="0.35">
      <c r="A2063">
        <v>1871048</v>
      </c>
      <c r="B2063" s="1" t="s">
        <v>4377</v>
      </c>
      <c r="C2063">
        <v>9623.7999999999993</v>
      </c>
      <c r="D2063">
        <v>287</v>
      </c>
      <c r="E2063" s="1" t="s">
        <v>4405</v>
      </c>
      <c r="F2063" s="1" t="s">
        <v>15</v>
      </c>
      <c r="G2063" s="1" t="s">
        <v>32</v>
      </c>
      <c r="H2063">
        <v>100</v>
      </c>
      <c r="I2063">
        <v>52</v>
      </c>
      <c r="J2063">
        <v>281</v>
      </c>
      <c r="K2063" s="1" t="s">
        <v>137</v>
      </c>
      <c r="L2063" s="1" t="s">
        <v>18</v>
      </c>
      <c r="M2063" s="1" t="s">
        <v>4379</v>
      </c>
      <c r="N2063" s="1" t="s">
        <v>4406</v>
      </c>
    </row>
    <row r="2064" spans="1:14" x14ac:dyDescent="0.35">
      <c r="A2064">
        <v>1871438</v>
      </c>
      <c r="B2064" s="1" t="s">
        <v>4377</v>
      </c>
      <c r="C2064">
        <v>9623.7999999999993</v>
      </c>
      <c r="D2064">
        <v>287</v>
      </c>
      <c r="E2064" s="1" t="s">
        <v>4407</v>
      </c>
      <c r="F2064" s="1" t="s">
        <v>15</v>
      </c>
      <c r="G2064" s="1" t="s">
        <v>32</v>
      </c>
      <c r="H2064">
        <v>122</v>
      </c>
      <c r="I2064">
        <v>35</v>
      </c>
      <c r="J2064">
        <v>161</v>
      </c>
      <c r="K2064" s="1" t="s">
        <v>146</v>
      </c>
      <c r="L2064" s="1" t="s">
        <v>120</v>
      </c>
      <c r="M2064" s="1" t="s">
        <v>4379</v>
      </c>
      <c r="N2064" s="1" t="s">
        <v>4408</v>
      </c>
    </row>
    <row r="2065" spans="1:14" x14ac:dyDescent="0.35">
      <c r="A2065">
        <v>1871026</v>
      </c>
      <c r="B2065" s="1" t="s">
        <v>4377</v>
      </c>
      <c r="C2065">
        <v>9623.7999999999993</v>
      </c>
      <c r="D2065">
        <v>287</v>
      </c>
      <c r="E2065" s="1" t="s">
        <v>4409</v>
      </c>
      <c r="F2065" s="1" t="s">
        <v>15</v>
      </c>
      <c r="G2065" s="1" t="s">
        <v>32</v>
      </c>
      <c r="H2065">
        <v>113</v>
      </c>
      <c r="I2065">
        <v>22</v>
      </c>
      <c r="J2065">
        <v>256</v>
      </c>
      <c r="K2065" s="1" t="s">
        <v>27</v>
      </c>
      <c r="L2065" s="1" t="s">
        <v>24</v>
      </c>
      <c r="M2065" s="1" t="s">
        <v>4379</v>
      </c>
      <c r="N2065" s="1" t="s">
        <v>4410</v>
      </c>
    </row>
    <row r="2066" spans="1:14" x14ac:dyDescent="0.35">
      <c r="A2066">
        <v>1871427</v>
      </c>
      <c r="B2066" s="1" t="s">
        <v>4377</v>
      </c>
      <c r="C2066">
        <v>9623.7999999999993</v>
      </c>
      <c r="D2066">
        <v>287</v>
      </c>
      <c r="E2066" s="1" t="s">
        <v>4411</v>
      </c>
      <c r="F2066" s="1" t="s">
        <v>15</v>
      </c>
      <c r="G2066" s="1" t="s">
        <v>32</v>
      </c>
      <c r="H2066">
        <v>191</v>
      </c>
      <c r="I2066">
        <v>39</v>
      </c>
      <c r="J2066">
        <v>320</v>
      </c>
      <c r="K2066" s="1" t="s">
        <v>90</v>
      </c>
      <c r="L2066" s="1" t="s">
        <v>24</v>
      </c>
      <c r="M2066" s="1" t="s">
        <v>4379</v>
      </c>
      <c r="N2066" s="1" t="s">
        <v>4412</v>
      </c>
    </row>
    <row r="2067" spans="1:14" x14ac:dyDescent="0.35">
      <c r="A2067">
        <v>1871447</v>
      </c>
      <c r="B2067" s="1" t="s">
        <v>4377</v>
      </c>
      <c r="C2067">
        <v>9623.7999999999993</v>
      </c>
      <c r="D2067">
        <v>287</v>
      </c>
      <c r="E2067" s="1" t="s">
        <v>4413</v>
      </c>
      <c r="F2067" s="1" t="s">
        <v>15</v>
      </c>
      <c r="G2067" s="1" t="s">
        <v>32</v>
      </c>
      <c r="H2067">
        <v>105</v>
      </c>
      <c r="I2067">
        <v>24</v>
      </c>
      <c r="J2067">
        <v>230</v>
      </c>
      <c r="K2067" s="1" t="s">
        <v>90</v>
      </c>
      <c r="L2067" s="1" t="s">
        <v>24</v>
      </c>
      <c r="M2067" s="1" t="s">
        <v>4379</v>
      </c>
      <c r="N2067" s="1" t="s">
        <v>4414</v>
      </c>
    </row>
    <row r="2068" spans="1:14" x14ac:dyDescent="0.35">
      <c r="A2068">
        <v>1871282</v>
      </c>
      <c r="B2068" s="1" t="s">
        <v>4377</v>
      </c>
      <c r="C2068">
        <v>9623.7999999999993</v>
      </c>
      <c r="D2068">
        <v>287</v>
      </c>
      <c r="E2068" s="1" t="s">
        <v>4415</v>
      </c>
      <c r="F2068" s="1" t="s">
        <v>15</v>
      </c>
      <c r="G2068" s="1" t="s">
        <v>32</v>
      </c>
      <c r="H2068">
        <v>175</v>
      </c>
      <c r="I2068">
        <v>48</v>
      </c>
      <c r="J2068">
        <v>600</v>
      </c>
      <c r="K2068" s="1" t="s">
        <v>84</v>
      </c>
      <c r="L2068" s="1" t="s">
        <v>24</v>
      </c>
      <c r="M2068" s="1" t="s">
        <v>4379</v>
      </c>
      <c r="N2068" s="1" t="s">
        <v>4416</v>
      </c>
    </row>
    <row r="2069" spans="1:14" x14ac:dyDescent="0.35">
      <c r="A2069">
        <v>1872065</v>
      </c>
      <c r="B2069" s="1" t="s">
        <v>4377</v>
      </c>
      <c r="C2069">
        <v>9623.7999999999993</v>
      </c>
      <c r="D2069">
        <v>287</v>
      </c>
      <c r="E2069" s="1" t="s">
        <v>4417</v>
      </c>
      <c r="F2069" s="1" t="s">
        <v>71</v>
      </c>
      <c r="G2069" s="1" t="s">
        <v>32</v>
      </c>
      <c r="H2069">
        <v>27</v>
      </c>
      <c r="I2069">
        <v>13</v>
      </c>
      <c r="J2069">
        <v>70</v>
      </c>
      <c r="K2069" s="1" t="s">
        <v>84</v>
      </c>
      <c r="L2069" s="1" t="s">
        <v>24</v>
      </c>
      <c r="M2069" s="1" t="s">
        <v>4418</v>
      </c>
      <c r="N2069" s="1" t="s">
        <v>4419</v>
      </c>
    </row>
    <row r="2070" spans="1:14" x14ac:dyDescent="0.35">
      <c r="A2070">
        <v>1872053</v>
      </c>
      <c r="B2070" s="1" t="s">
        <v>4377</v>
      </c>
      <c r="C2070">
        <v>9623.7999999999993</v>
      </c>
      <c r="D2070">
        <v>287</v>
      </c>
      <c r="E2070" s="1" t="s">
        <v>4420</v>
      </c>
      <c r="F2070" s="1" t="s">
        <v>71</v>
      </c>
      <c r="G2070" s="1" t="s">
        <v>32</v>
      </c>
      <c r="H2070">
        <v>60</v>
      </c>
      <c r="I2070">
        <v>24</v>
      </c>
      <c r="J2070">
        <v>81</v>
      </c>
      <c r="K2070" s="1" t="s">
        <v>84</v>
      </c>
      <c r="L2070" s="1" t="s">
        <v>24</v>
      </c>
      <c r="M2070" s="1" t="s">
        <v>4418</v>
      </c>
      <c r="N2070" s="1" t="s">
        <v>4421</v>
      </c>
    </row>
    <row r="2071" spans="1:14" x14ac:dyDescent="0.35">
      <c r="A2071">
        <v>1872016</v>
      </c>
      <c r="B2071" s="1" t="s">
        <v>4377</v>
      </c>
      <c r="C2071">
        <v>9623.7999999999993</v>
      </c>
      <c r="D2071">
        <v>287</v>
      </c>
      <c r="E2071" s="1" t="s">
        <v>4422</v>
      </c>
      <c r="F2071" s="1" t="s">
        <v>15</v>
      </c>
      <c r="G2071" s="1" t="s">
        <v>16</v>
      </c>
      <c r="H2071">
        <v>280</v>
      </c>
      <c r="I2071">
        <v>95</v>
      </c>
      <c r="J2071">
        <v>973</v>
      </c>
      <c r="K2071" s="1" t="s">
        <v>137</v>
      </c>
      <c r="L2071" s="1" t="s">
        <v>18</v>
      </c>
      <c r="M2071" s="1" t="s">
        <v>4418</v>
      </c>
      <c r="N2071" s="1" t="s">
        <v>4423</v>
      </c>
    </row>
    <row r="2072" spans="1:14" x14ac:dyDescent="0.35">
      <c r="A2072">
        <v>1872042</v>
      </c>
      <c r="B2072" s="1" t="s">
        <v>4377</v>
      </c>
      <c r="C2072">
        <v>9623.7999999999993</v>
      </c>
      <c r="D2072">
        <v>287</v>
      </c>
      <c r="E2072" s="1" t="s">
        <v>4424</v>
      </c>
      <c r="F2072" s="1" t="s">
        <v>15</v>
      </c>
      <c r="G2072" s="1" t="s">
        <v>32</v>
      </c>
      <c r="H2072">
        <v>201</v>
      </c>
      <c r="I2072">
        <v>42</v>
      </c>
      <c r="J2072">
        <v>481</v>
      </c>
      <c r="K2072" s="1" t="s">
        <v>84</v>
      </c>
      <c r="L2072" s="1" t="s">
        <v>24</v>
      </c>
      <c r="M2072" s="1" t="s">
        <v>4418</v>
      </c>
      <c r="N2072" s="1" t="s">
        <v>4425</v>
      </c>
    </row>
    <row r="2073" spans="1:14" x14ac:dyDescent="0.35">
      <c r="A2073">
        <v>1872064</v>
      </c>
      <c r="B2073" s="1" t="s">
        <v>4377</v>
      </c>
      <c r="C2073">
        <v>9623.7999999999993</v>
      </c>
      <c r="D2073">
        <v>287</v>
      </c>
      <c r="E2073" s="1" t="s">
        <v>4426</v>
      </c>
      <c r="F2073" s="1" t="s">
        <v>15</v>
      </c>
      <c r="G2073" s="1" t="s">
        <v>32</v>
      </c>
      <c r="H2073">
        <v>103</v>
      </c>
      <c r="I2073">
        <v>26</v>
      </c>
      <c r="J2073">
        <v>62</v>
      </c>
      <c r="K2073" s="1" t="s">
        <v>84</v>
      </c>
      <c r="L2073" s="1" t="s">
        <v>24</v>
      </c>
      <c r="M2073" s="1" t="s">
        <v>4418</v>
      </c>
      <c r="N2073" s="1" t="s">
        <v>4427</v>
      </c>
    </row>
    <row r="2074" spans="1:14" x14ac:dyDescent="0.35">
      <c r="A2074">
        <v>1871020</v>
      </c>
      <c r="B2074" s="1" t="s">
        <v>4377</v>
      </c>
      <c r="C2074">
        <v>9623.7999999999993</v>
      </c>
      <c r="D2074">
        <v>287</v>
      </c>
      <c r="E2074" s="1" t="s">
        <v>4428</v>
      </c>
      <c r="F2074" s="1" t="s">
        <v>15</v>
      </c>
      <c r="G2074" s="1" t="s">
        <v>32</v>
      </c>
      <c r="H2074">
        <v>199</v>
      </c>
      <c r="I2074">
        <v>31</v>
      </c>
      <c r="J2074">
        <v>293</v>
      </c>
      <c r="K2074" s="1" t="s">
        <v>84</v>
      </c>
      <c r="L2074" s="1" t="s">
        <v>24</v>
      </c>
      <c r="M2074" s="1" t="s">
        <v>4418</v>
      </c>
      <c r="N2074" s="1" t="s">
        <v>4429</v>
      </c>
    </row>
    <row r="2075" spans="1:14" x14ac:dyDescent="0.35">
      <c r="A2075">
        <v>1872031</v>
      </c>
      <c r="B2075" s="1" t="s">
        <v>4377</v>
      </c>
      <c r="C2075">
        <v>9623.7999999999993</v>
      </c>
      <c r="D2075">
        <v>287</v>
      </c>
      <c r="E2075" s="1" t="s">
        <v>4430</v>
      </c>
      <c r="F2075" s="1" t="s">
        <v>15</v>
      </c>
      <c r="G2075" s="1" t="s">
        <v>22</v>
      </c>
      <c r="H2075">
        <v>78</v>
      </c>
      <c r="I2075">
        <v>26</v>
      </c>
      <c r="J2075">
        <v>183</v>
      </c>
      <c r="K2075" s="1" t="s">
        <v>84</v>
      </c>
      <c r="L2075" s="1" t="s">
        <v>24</v>
      </c>
      <c r="M2075" s="1" t="s">
        <v>4418</v>
      </c>
      <c r="N2075" s="1" t="s">
        <v>4431</v>
      </c>
    </row>
    <row r="2076" spans="1:14" x14ac:dyDescent="0.35">
      <c r="A2076">
        <v>1872067</v>
      </c>
      <c r="B2076" s="1" t="s">
        <v>4377</v>
      </c>
      <c r="C2076">
        <v>9623.7999999999993</v>
      </c>
      <c r="D2076">
        <v>287</v>
      </c>
      <c r="E2076" s="1" t="s">
        <v>4432</v>
      </c>
      <c r="F2076" s="1" t="s">
        <v>15</v>
      </c>
      <c r="G2076" s="1" t="s">
        <v>22</v>
      </c>
      <c r="H2076">
        <v>52</v>
      </c>
      <c r="I2076">
        <v>7</v>
      </c>
      <c r="J2076">
        <v>60</v>
      </c>
      <c r="K2076" s="1" t="s">
        <v>137</v>
      </c>
      <c r="L2076" s="1" t="s">
        <v>18</v>
      </c>
      <c r="M2076" s="1" t="s">
        <v>4418</v>
      </c>
      <c r="N2076" s="1" t="s">
        <v>4433</v>
      </c>
    </row>
    <row r="2077" spans="1:14" x14ac:dyDescent="0.35">
      <c r="A2077">
        <v>1872066</v>
      </c>
      <c r="B2077" s="1" t="s">
        <v>4377</v>
      </c>
      <c r="C2077">
        <v>9623.7999999999993</v>
      </c>
      <c r="D2077">
        <v>287</v>
      </c>
      <c r="E2077" s="1" t="s">
        <v>4434</v>
      </c>
      <c r="F2077" s="1" t="s">
        <v>15</v>
      </c>
      <c r="G2077" s="1" t="s">
        <v>22</v>
      </c>
      <c r="H2077">
        <v>71</v>
      </c>
      <c r="I2077">
        <v>20</v>
      </c>
      <c r="K2077" s="1" t="s">
        <v>90</v>
      </c>
      <c r="L2077" s="1" t="s">
        <v>24</v>
      </c>
      <c r="M2077" s="1" t="s">
        <v>4418</v>
      </c>
      <c r="N2077" s="1" t="s">
        <v>4435</v>
      </c>
    </row>
    <row r="2078" spans="1:14" x14ac:dyDescent="0.35">
      <c r="A2078">
        <v>1801016</v>
      </c>
      <c r="B2078" s="1" t="s">
        <v>4377</v>
      </c>
      <c r="C2078">
        <v>9623.7999999999993</v>
      </c>
      <c r="D2078">
        <v>287</v>
      </c>
      <c r="E2078" s="1" t="s">
        <v>4436</v>
      </c>
      <c r="F2078" s="1" t="s">
        <v>71</v>
      </c>
      <c r="G2078" s="1" t="s">
        <v>32</v>
      </c>
      <c r="H2078">
        <v>49</v>
      </c>
      <c r="I2078">
        <v>18</v>
      </c>
      <c r="J2078">
        <v>86</v>
      </c>
      <c r="K2078" s="1" t="s">
        <v>90</v>
      </c>
      <c r="L2078" s="1" t="s">
        <v>24</v>
      </c>
      <c r="M2078" s="1" t="s">
        <v>4437</v>
      </c>
      <c r="N2078" s="1" t="s">
        <v>4438</v>
      </c>
    </row>
    <row r="2079" spans="1:14" x14ac:dyDescent="0.35">
      <c r="A2079">
        <v>1801015</v>
      </c>
      <c r="B2079" s="1" t="s">
        <v>4377</v>
      </c>
      <c r="C2079">
        <v>9623.7999999999993</v>
      </c>
      <c r="D2079">
        <v>287</v>
      </c>
      <c r="E2079" s="1" t="s">
        <v>4439</v>
      </c>
      <c r="F2079" s="1" t="s">
        <v>15</v>
      </c>
      <c r="G2079" s="1" t="s">
        <v>32</v>
      </c>
      <c r="H2079">
        <v>136</v>
      </c>
      <c r="I2079">
        <v>26</v>
      </c>
      <c r="J2079">
        <v>335</v>
      </c>
      <c r="K2079" s="1" t="s">
        <v>17</v>
      </c>
      <c r="L2079" s="1" t="s">
        <v>18</v>
      </c>
      <c r="M2079" s="1" t="s">
        <v>4437</v>
      </c>
      <c r="N2079" s="1" t="s">
        <v>4440</v>
      </c>
    </row>
    <row r="2080" spans="1:14" x14ac:dyDescent="0.35">
      <c r="A2080">
        <v>1803034</v>
      </c>
      <c r="B2080" s="1" t="s">
        <v>4377</v>
      </c>
      <c r="C2080">
        <v>9623.7999999999993</v>
      </c>
      <c r="D2080">
        <v>287</v>
      </c>
      <c r="E2080" s="1" t="s">
        <v>4441</v>
      </c>
      <c r="F2080" s="1" t="s">
        <v>71</v>
      </c>
      <c r="G2080" s="1" t="s">
        <v>32</v>
      </c>
      <c r="H2080">
        <v>41</v>
      </c>
      <c r="I2080">
        <v>19</v>
      </c>
      <c r="J2080">
        <v>48</v>
      </c>
      <c r="K2080" s="1" t="s">
        <v>23</v>
      </c>
      <c r="L2080" s="1" t="s">
        <v>24</v>
      </c>
      <c r="M2080" s="1" t="s">
        <v>4442</v>
      </c>
      <c r="N2080" s="1" t="s">
        <v>4443</v>
      </c>
    </row>
    <row r="2081" spans="1:14" x14ac:dyDescent="0.35">
      <c r="A2081">
        <v>1803036</v>
      </c>
      <c r="B2081" s="1" t="s">
        <v>4377</v>
      </c>
      <c r="C2081">
        <v>9623.7999999999993</v>
      </c>
      <c r="D2081">
        <v>287</v>
      </c>
      <c r="E2081" s="1" t="s">
        <v>4444</v>
      </c>
      <c r="F2081" s="1" t="s">
        <v>15</v>
      </c>
      <c r="G2081" s="1" t="s">
        <v>32</v>
      </c>
      <c r="H2081">
        <v>160</v>
      </c>
      <c r="I2081">
        <v>59</v>
      </c>
      <c r="J2081">
        <v>227</v>
      </c>
      <c r="K2081" s="1" t="s">
        <v>23</v>
      </c>
      <c r="L2081" s="1" t="s">
        <v>24</v>
      </c>
      <c r="M2081" s="1" t="s">
        <v>4442</v>
      </c>
      <c r="N2081" s="1" t="s">
        <v>4445</v>
      </c>
    </row>
    <row r="2082" spans="1:14" x14ac:dyDescent="0.35">
      <c r="A2082">
        <v>1803033</v>
      </c>
      <c r="B2082" s="1" t="s">
        <v>4377</v>
      </c>
      <c r="C2082">
        <v>9623.7999999999993</v>
      </c>
      <c r="D2082">
        <v>287</v>
      </c>
      <c r="E2082" s="1" t="s">
        <v>4446</v>
      </c>
      <c r="F2082" s="1" t="s">
        <v>15</v>
      </c>
      <c r="G2082" s="1" t="s">
        <v>32</v>
      </c>
      <c r="H2082">
        <v>100</v>
      </c>
      <c r="I2082">
        <v>58</v>
      </c>
      <c r="J2082">
        <v>179</v>
      </c>
      <c r="K2082" s="1" t="s">
        <v>90</v>
      </c>
      <c r="L2082" s="1" t="s">
        <v>24</v>
      </c>
      <c r="M2082" s="1" t="s">
        <v>4442</v>
      </c>
      <c r="N2082" s="1" t="s">
        <v>4447</v>
      </c>
    </row>
    <row r="2083" spans="1:14" x14ac:dyDescent="0.35">
      <c r="A2083">
        <v>1803035</v>
      </c>
      <c r="B2083" s="1" t="s">
        <v>4377</v>
      </c>
      <c r="C2083">
        <v>9623.7999999999993</v>
      </c>
      <c r="D2083">
        <v>287</v>
      </c>
      <c r="E2083" s="1" t="s">
        <v>4448</v>
      </c>
      <c r="F2083" s="1" t="s">
        <v>15</v>
      </c>
      <c r="G2083" s="1" t="s">
        <v>32</v>
      </c>
      <c r="H2083">
        <v>100</v>
      </c>
      <c r="I2083">
        <v>22</v>
      </c>
      <c r="J2083">
        <v>225</v>
      </c>
      <c r="K2083" s="1" t="s">
        <v>124</v>
      </c>
      <c r="L2083" s="1" t="s">
        <v>24</v>
      </c>
      <c r="M2083" s="1" t="s">
        <v>4442</v>
      </c>
      <c r="N2083" s="1" t="s">
        <v>4449</v>
      </c>
    </row>
    <row r="2084" spans="1:14" x14ac:dyDescent="0.35">
      <c r="A2084">
        <v>1803021</v>
      </c>
      <c r="B2084" s="1" t="s">
        <v>4377</v>
      </c>
      <c r="C2084">
        <v>9623.7999999999993</v>
      </c>
      <c r="D2084">
        <v>287</v>
      </c>
      <c r="E2084" s="1" t="s">
        <v>4450</v>
      </c>
      <c r="F2084" s="1" t="s">
        <v>15</v>
      </c>
      <c r="G2084" s="1" t="s">
        <v>32</v>
      </c>
      <c r="H2084">
        <v>166</v>
      </c>
      <c r="I2084">
        <v>38</v>
      </c>
      <c r="J2084">
        <v>446</v>
      </c>
      <c r="K2084" s="1" t="s">
        <v>17</v>
      </c>
      <c r="L2084" s="1" t="s">
        <v>18</v>
      </c>
      <c r="M2084" s="1" t="s">
        <v>4442</v>
      </c>
      <c r="N2084" s="1" t="s">
        <v>4451</v>
      </c>
    </row>
    <row r="2085" spans="1:14" x14ac:dyDescent="0.35">
      <c r="A2085">
        <v>1803048</v>
      </c>
      <c r="B2085" s="1" t="s">
        <v>4377</v>
      </c>
      <c r="C2085">
        <v>9623.7999999999993</v>
      </c>
      <c r="D2085">
        <v>287</v>
      </c>
      <c r="E2085" s="1" t="s">
        <v>4452</v>
      </c>
      <c r="F2085" s="1" t="s">
        <v>15</v>
      </c>
      <c r="G2085" s="1" t="s">
        <v>22</v>
      </c>
      <c r="H2085">
        <v>40</v>
      </c>
      <c r="I2085">
        <v>17</v>
      </c>
      <c r="K2085" s="1" t="s">
        <v>90</v>
      </c>
      <c r="L2085" s="1" t="s">
        <v>24</v>
      </c>
      <c r="M2085" s="1" t="s">
        <v>4442</v>
      </c>
      <c r="N2085" s="1" t="s">
        <v>4453</v>
      </c>
    </row>
    <row r="2086" spans="1:14" x14ac:dyDescent="0.35">
      <c r="A2086">
        <v>1805047</v>
      </c>
      <c r="B2086" s="1" t="s">
        <v>4377</v>
      </c>
      <c r="C2086">
        <v>9623.7999999999993</v>
      </c>
      <c r="D2086">
        <v>287</v>
      </c>
      <c r="E2086" s="1" t="s">
        <v>4454</v>
      </c>
      <c r="F2086" s="1" t="s">
        <v>71</v>
      </c>
      <c r="G2086" s="1" t="s">
        <v>32</v>
      </c>
      <c r="H2086">
        <v>59</v>
      </c>
      <c r="I2086">
        <v>15</v>
      </c>
      <c r="J2086">
        <v>98</v>
      </c>
      <c r="K2086" s="1" t="s">
        <v>90</v>
      </c>
      <c r="L2086" s="1" t="s">
        <v>24</v>
      </c>
      <c r="M2086" s="1" t="s">
        <v>4455</v>
      </c>
      <c r="N2086" s="1" t="s">
        <v>4456</v>
      </c>
    </row>
    <row r="2087" spans="1:14" x14ac:dyDescent="0.35">
      <c r="A2087">
        <v>1805049</v>
      </c>
      <c r="B2087" s="1" t="s">
        <v>4377</v>
      </c>
      <c r="C2087">
        <v>9623.7999999999993</v>
      </c>
      <c r="D2087">
        <v>287</v>
      </c>
      <c r="E2087" s="1" t="s">
        <v>4457</v>
      </c>
      <c r="F2087" s="1" t="s">
        <v>71</v>
      </c>
      <c r="G2087" s="1" t="s">
        <v>32</v>
      </c>
      <c r="H2087">
        <v>57</v>
      </c>
      <c r="I2087">
        <v>13</v>
      </c>
      <c r="J2087">
        <v>124</v>
      </c>
      <c r="K2087" s="1" t="s">
        <v>23</v>
      </c>
      <c r="L2087" s="1" t="s">
        <v>24</v>
      </c>
      <c r="M2087" s="1" t="s">
        <v>4455</v>
      </c>
      <c r="N2087" s="1" t="s">
        <v>4458</v>
      </c>
    </row>
    <row r="2088" spans="1:14" x14ac:dyDescent="0.35">
      <c r="A2088">
        <v>1805023</v>
      </c>
      <c r="B2088" s="1" t="s">
        <v>4377</v>
      </c>
      <c r="C2088">
        <v>9623.7999999999993</v>
      </c>
      <c r="D2088">
        <v>287</v>
      </c>
      <c r="E2088" s="1" t="s">
        <v>4459</v>
      </c>
      <c r="F2088" s="1" t="s">
        <v>15</v>
      </c>
      <c r="G2088" s="1" t="s">
        <v>16</v>
      </c>
      <c r="H2088">
        <v>207</v>
      </c>
      <c r="I2088">
        <v>38</v>
      </c>
      <c r="J2088">
        <v>370</v>
      </c>
      <c r="K2088" s="1" t="s">
        <v>23</v>
      </c>
      <c r="L2088" s="1" t="s">
        <v>24</v>
      </c>
      <c r="M2088" s="1" t="s">
        <v>4455</v>
      </c>
      <c r="N2088" s="1" t="s">
        <v>4460</v>
      </c>
    </row>
    <row r="2089" spans="1:14" x14ac:dyDescent="0.35">
      <c r="A2089">
        <v>1805045</v>
      </c>
      <c r="B2089" s="1" t="s">
        <v>4377</v>
      </c>
      <c r="C2089">
        <v>9623.7999999999993</v>
      </c>
      <c r="D2089">
        <v>287</v>
      </c>
      <c r="E2089" s="1" t="s">
        <v>1019</v>
      </c>
      <c r="F2089" s="1" t="s">
        <v>15</v>
      </c>
      <c r="G2089" s="1" t="s">
        <v>32</v>
      </c>
      <c r="H2089">
        <v>167</v>
      </c>
      <c r="I2089">
        <v>78</v>
      </c>
      <c r="J2089">
        <v>313</v>
      </c>
      <c r="K2089" s="1" t="s">
        <v>90</v>
      </c>
      <c r="L2089" s="1" t="s">
        <v>24</v>
      </c>
      <c r="M2089" s="1" t="s">
        <v>4455</v>
      </c>
      <c r="N2089" s="1" t="s">
        <v>4461</v>
      </c>
    </row>
    <row r="2090" spans="1:14" x14ac:dyDescent="0.35">
      <c r="A2090">
        <v>1805046</v>
      </c>
      <c r="B2090" s="1" t="s">
        <v>4377</v>
      </c>
      <c r="C2090">
        <v>9623.7999999999993</v>
      </c>
      <c r="D2090">
        <v>287</v>
      </c>
      <c r="E2090" s="1" t="s">
        <v>933</v>
      </c>
      <c r="F2090" s="1" t="s">
        <v>15</v>
      </c>
      <c r="G2090" s="1" t="s">
        <v>32</v>
      </c>
      <c r="H2090">
        <v>113</v>
      </c>
      <c r="I2090">
        <v>24</v>
      </c>
      <c r="J2090">
        <v>117</v>
      </c>
      <c r="K2090" s="1" t="s">
        <v>23</v>
      </c>
      <c r="L2090" s="1" t="s">
        <v>24</v>
      </c>
      <c r="M2090" s="1" t="s">
        <v>4455</v>
      </c>
      <c r="N2090" s="1" t="s">
        <v>4462</v>
      </c>
    </row>
    <row r="2091" spans="1:14" x14ac:dyDescent="0.35">
      <c r="A2091">
        <v>1805012</v>
      </c>
      <c r="B2091" s="1" t="s">
        <v>4377</v>
      </c>
      <c r="C2091">
        <v>9623.7999999999993</v>
      </c>
      <c r="D2091">
        <v>287</v>
      </c>
      <c r="E2091" s="1" t="s">
        <v>4463</v>
      </c>
      <c r="F2091" s="1" t="s">
        <v>15</v>
      </c>
      <c r="G2091" s="1" t="s">
        <v>32</v>
      </c>
      <c r="H2091">
        <v>136</v>
      </c>
      <c r="I2091">
        <v>37</v>
      </c>
      <c r="J2091">
        <v>149</v>
      </c>
      <c r="K2091" s="1" t="s">
        <v>23</v>
      </c>
      <c r="L2091" s="1" t="s">
        <v>24</v>
      </c>
      <c r="M2091" s="1" t="s">
        <v>4455</v>
      </c>
      <c r="N2091" s="1" t="s">
        <v>4464</v>
      </c>
    </row>
    <row r="2092" spans="1:14" x14ac:dyDescent="0.35">
      <c r="A2092">
        <v>1805048</v>
      </c>
      <c r="B2092" s="1" t="s">
        <v>4377</v>
      </c>
      <c r="C2092">
        <v>9623.7999999999993</v>
      </c>
      <c r="D2092">
        <v>287</v>
      </c>
      <c r="E2092" s="1" t="s">
        <v>4465</v>
      </c>
      <c r="F2092" s="1" t="s">
        <v>15</v>
      </c>
      <c r="G2092" s="1" t="s">
        <v>32</v>
      </c>
      <c r="H2092">
        <v>117</v>
      </c>
      <c r="I2092">
        <v>33</v>
      </c>
      <c r="J2092">
        <v>156</v>
      </c>
      <c r="K2092" s="1" t="s">
        <v>90</v>
      </c>
      <c r="L2092" s="1" t="s">
        <v>24</v>
      </c>
      <c r="M2092" s="1" t="s">
        <v>4455</v>
      </c>
      <c r="N2092" s="1" t="s">
        <v>4466</v>
      </c>
    </row>
    <row r="2093" spans="1:14" x14ac:dyDescent="0.35">
      <c r="A2093">
        <v>1805024</v>
      </c>
      <c r="B2093" s="1" t="s">
        <v>4377</v>
      </c>
      <c r="C2093">
        <v>9623.7999999999993</v>
      </c>
      <c r="D2093">
        <v>287</v>
      </c>
      <c r="E2093" s="1" t="s">
        <v>4467</v>
      </c>
      <c r="F2093" s="1" t="s">
        <v>15</v>
      </c>
      <c r="G2093" s="1" t="s">
        <v>32</v>
      </c>
      <c r="H2093">
        <v>135</v>
      </c>
      <c r="I2093">
        <v>29</v>
      </c>
      <c r="J2093">
        <v>275</v>
      </c>
      <c r="K2093" s="1" t="s">
        <v>90</v>
      </c>
      <c r="L2093" s="1" t="s">
        <v>24</v>
      </c>
      <c r="M2093" s="1" t="s">
        <v>4455</v>
      </c>
      <c r="N2093" s="1" t="s">
        <v>4468</v>
      </c>
    </row>
    <row r="2094" spans="1:14" x14ac:dyDescent="0.35">
      <c r="A2094">
        <v>1805034</v>
      </c>
      <c r="B2094" s="1" t="s">
        <v>4377</v>
      </c>
      <c r="C2094">
        <v>9623.7999999999993</v>
      </c>
      <c r="D2094">
        <v>287</v>
      </c>
      <c r="E2094" s="1" t="s">
        <v>4469</v>
      </c>
      <c r="F2094" s="1" t="s">
        <v>15</v>
      </c>
      <c r="G2094" s="1" t="s">
        <v>32</v>
      </c>
      <c r="H2094">
        <v>92</v>
      </c>
      <c r="I2094">
        <v>27</v>
      </c>
      <c r="J2094">
        <v>525</v>
      </c>
      <c r="K2094" s="1" t="s">
        <v>17</v>
      </c>
      <c r="L2094" s="1" t="s">
        <v>18</v>
      </c>
      <c r="M2094" s="1" t="s">
        <v>4455</v>
      </c>
      <c r="N2094" s="1" t="s">
        <v>4470</v>
      </c>
    </row>
    <row r="2095" spans="1:14" x14ac:dyDescent="0.35">
      <c r="A2095">
        <v>1805060</v>
      </c>
      <c r="B2095" s="1" t="s">
        <v>4377</v>
      </c>
      <c r="C2095">
        <v>9623.7999999999993</v>
      </c>
      <c r="D2095">
        <v>287</v>
      </c>
      <c r="E2095" s="1" t="s">
        <v>4471</v>
      </c>
      <c r="F2095" s="1" t="s">
        <v>15</v>
      </c>
      <c r="G2095" s="1" t="s">
        <v>22</v>
      </c>
      <c r="H2095">
        <v>50</v>
      </c>
      <c r="I2095">
        <v>16</v>
      </c>
      <c r="K2095" s="1" t="s">
        <v>90</v>
      </c>
      <c r="L2095" s="1" t="s">
        <v>24</v>
      </c>
      <c r="M2095" s="1" t="s">
        <v>4455</v>
      </c>
      <c r="N2095" s="1" t="s">
        <v>4472</v>
      </c>
    </row>
    <row r="2096" spans="1:14" x14ac:dyDescent="0.35">
      <c r="A2096">
        <v>1804013</v>
      </c>
      <c r="B2096" s="1" t="s">
        <v>4377</v>
      </c>
      <c r="C2096">
        <v>9623.7999999999993</v>
      </c>
      <c r="D2096">
        <v>287</v>
      </c>
      <c r="E2096" s="1" t="s">
        <v>4473</v>
      </c>
      <c r="F2096" s="1" t="s">
        <v>71</v>
      </c>
      <c r="G2096" s="1" t="s">
        <v>32</v>
      </c>
      <c r="H2096">
        <v>29</v>
      </c>
      <c r="I2096">
        <v>16</v>
      </c>
      <c r="J2096">
        <v>44</v>
      </c>
      <c r="K2096" s="1" t="s">
        <v>23</v>
      </c>
      <c r="L2096" s="1" t="s">
        <v>24</v>
      </c>
      <c r="M2096" s="1" t="s">
        <v>4474</v>
      </c>
      <c r="N2096" s="1" t="s">
        <v>4475</v>
      </c>
    </row>
    <row r="2097" spans="1:14" x14ac:dyDescent="0.35">
      <c r="A2097">
        <v>1804014</v>
      </c>
      <c r="B2097" s="1" t="s">
        <v>4377</v>
      </c>
      <c r="C2097">
        <v>9623.7999999999993</v>
      </c>
      <c r="D2097">
        <v>287</v>
      </c>
      <c r="E2097" s="1" t="s">
        <v>3976</v>
      </c>
      <c r="F2097" s="1" t="s">
        <v>71</v>
      </c>
      <c r="G2097" s="1" t="s">
        <v>32</v>
      </c>
      <c r="H2097">
        <v>75</v>
      </c>
      <c r="I2097">
        <v>14</v>
      </c>
      <c r="J2097">
        <v>21</v>
      </c>
      <c r="K2097" s="1" t="s">
        <v>84</v>
      </c>
      <c r="L2097" s="1" t="s">
        <v>24</v>
      </c>
      <c r="M2097" s="1" t="s">
        <v>4474</v>
      </c>
      <c r="N2097" s="1" t="s">
        <v>4476</v>
      </c>
    </row>
    <row r="2098" spans="1:14" x14ac:dyDescent="0.35">
      <c r="A2098">
        <v>1804015</v>
      </c>
      <c r="B2098" s="1" t="s">
        <v>4377</v>
      </c>
      <c r="C2098">
        <v>9623.7999999999993</v>
      </c>
      <c r="D2098">
        <v>287</v>
      </c>
      <c r="E2098" s="1" t="s">
        <v>314</v>
      </c>
      <c r="F2098" s="1" t="s">
        <v>15</v>
      </c>
      <c r="G2098" s="1" t="s">
        <v>32</v>
      </c>
      <c r="H2098">
        <v>103</v>
      </c>
      <c r="I2098">
        <v>25</v>
      </c>
      <c r="J2098">
        <v>120</v>
      </c>
      <c r="K2098" s="1" t="s">
        <v>23</v>
      </c>
      <c r="L2098" s="1" t="s">
        <v>24</v>
      </c>
      <c r="M2098" s="1" t="s">
        <v>4474</v>
      </c>
      <c r="N2098" s="1" t="s">
        <v>4477</v>
      </c>
    </row>
    <row r="2099" spans="1:14" x14ac:dyDescent="0.35">
      <c r="A2099">
        <v>1804012</v>
      </c>
      <c r="B2099" s="1" t="s">
        <v>4377</v>
      </c>
      <c r="C2099">
        <v>9623.7999999999993</v>
      </c>
      <c r="D2099">
        <v>287</v>
      </c>
      <c r="E2099" s="1" t="s">
        <v>4478</v>
      </c>
      <c r="F2099" s="1" t="s">
        <v>15</v>
      </c>
      <c r="G2099" s="1" t="s">
        <v>32</v>
      </c>
      <c r="H2099">
        <v>130</v>
      </c>
      <c r="I2099">
        <v>26</v>
      </c>
      <c r="J2099">
        <v>111</v>
      </c>
      <c r="K2099" s="1" t="s">
        <v>95</v>
      </c>
      <c r="L2099" s="1" t="s">
        <v>24</v>
      </c>
      <c r="M2099" s="1" t="s">
        <v>4474</v>
      </c>
      <c r="N2099" s="1" t="s">
        <v>4479</v>
      </c>
    </row>
    <row r="2100" spans="1:14" x14ac:dyDescent="0.35">
      <c r="A2100">
        <v>1804011</v>
      </c>
      <c r="B2100" s="1" t="s">
        <v>4377</v>
      </c>
      <c r="C2100">
        <v>9623.7999999999993</v>
      </c>
      <c r="D2100">
        <v>287</v>
      </c>
      <c r="E2100" s="1" t="s">
        <v>4480</v>
      </c>
      <c r="F2100" s="1" t="s">
        <v>15</v>
      </c>
      <c r="G2100" s="1" t="s">
        <v>32</v>
      </c>
      <c r="H2100">
        <v>112</v>
      </c>
      <c r="I2100">
        <v>95</v>
      </c>
      <c r="J2100">
        <v>518</v>
      </c>
      <c r="K2100" s="1" t="s">
        <v>17</v>
      </c>
      <c r="L2100" s="1" t="s">
        <v>18</v>
      </c>
      <c r="M2100" s="1" t="s">
        <v>4474</v>
      </c>
      <c r="N2100" s="1" t="s">
        <v>4481</v>
      </c>
    </row>
    <row r="2101" spans="1:14" x14ac:dyDescent="0.35">
      <c r="A2101">
        <v>1806013</v>
      </c>
      <c r="B2101" s="1" t="s">
        <v>4377</v>
      </c>
      <c r="C2101">
        <v>9623.7999999999993</v>
      </c>
      <c r="D2101">
        <v>287</v>
      </c>
      <c r="E2101" s="1" t="s">
        <v>4482</v>
      </c>
      <c r="F2101" s="1" t="s">
        <v>15</v>
      </c>
      <c r="G2101" s="1" t="s">
        <v>32</v>
      </c>
      <c r="H2101">
        <v>127</v>
      </c>
      <c r="I2101">
        <v>29</v>
      </c>
      <c r="J2101">
        <v>199</v>
      </c>
      <c r="K2101" s="1" t="s">
        <v>17</v>
      </c>
      <c r="L2101" s="1" t="s">
        <v>18</v>
      </c>
      <c r="M2101" s="1" t="s">
        <v>4483</v>
      </c>
      <c r="N2101" s="1" t="s">
        <v>4484</v>
      </c>
    </row>
    <row r="2102" spans="1:14" x14ac:dyDescent="0.35">
      <c r="A2102">
        <v>1806035</v>
      </c>
      <c r="B2102" s="1" t="s">
        <v>4377</v>
      </c>
      <c r="C2102">
        <v>9623.7999999999993</v>
      </c>
      <c r="D2102">
        <v>287</v>
      </c>
      <c r="E2102" s="1" t="s">
        <v>4485</v>
      </c>
      <c r="F2102" s="1" t="s">
        <v>15</v>
      </c>
      <c r="G2102" s="1" t="s">
        <v>32</v>
      </c>
      <c r="H2102">
        <v>184</v>
      </c>
      <c r="I2102">
        <v>80</v>
      </c>
      <c r="J2102">
        <v>336</v>
      </c>
      <c r="K2102" s="1" t="s">
        <v>90</v>
      </c>
      <c r="L2102" s="1" t="s">
        <v>24</v>
      </c>
      <c r="M2102" s="1" t="s">
        <v>4483</v>
      </c>
      <c r="N2102" s="1" t="s">
        <v>4486</v>
      </c>
    </row>
    <row r="2103" spans="1:14" x14ac:dyDescent="0.35">
      <c r="A2103">
        <v>1806039</v>
      </c>
      <c r="B2103" s="1" t="s">
        <v>4377</v>
      </c>
      <c r="C2103">
        <v>9623.7999999999993</v>
      </c>
      <c r="D2103">
        <v>287</v>
      </c>
      <c r="E2103" s="1" t="s">
        <v>4487</v>
      </c>
      <c r="F2103" s="1" t="s">
        <v>15</v>
      </c>
      <c r="G2103" s="1" t="s">
        <v>32</v>
      </c>
      <c r="H2103">
        <v>107</v>
      </c>
      <c r="I2103">
        <v>25</v>
      </c>
      <c r="J2103">
        <v>115</v>
      </c>
      <c r="K2103" s="1" t="s">
        <v>23</v>
      </c>
      <c r="L2103" s="1" t="s">
        <v>120</v>
      </c>
      <c r="M2103" s="1" t="s">
        <v>4483</v>
      </c>
      <c r="N2103" s="1" t="s">
        <v>4488</v>
      </c>
    </row>
    <row r="2104" spans="1:14" x14ac:dyDescent="0.35">
      <c r="A2104">
        <v>1806037</v>
      </c>
      <c r="B2104" s="1" t="s">
        <v>4377</v>
      </c>
      <c r="C2104">
        <v>9623.7999999999993</v>
      </c>
      <c r="D2104">
        <v>287</v>
      </c>
      <c r="E2104" s="1" t="s">
        <v>4489</v>
      </c>
      <c r="F2104" s="1" t="s">
        <v>15</v>
      </c>
      <c r="G2104" s="1" t="s">
        <v>22</v>
      </c>
      <c r="H2104">
        <v>63</v>
      </c>
      <c r="I2104">
        <v>44</v>
      </c>
      <c r="J2104">
        <v>50</v>
      </c>
      <c r="K2104" s="1" t="s">
        <v>572</v>
      </c>
      <c r="L2104" s="1" t="s">
        <v>24</v>
      </c>
      <c r="M2104" s="1" t="s">
        <v>4483</v>
      </c>
      <c r="N2104" s="1" t="s">
        <v>4490</v>
      </c>
    </row>
    <row r="2105" spans="1:14" x14ac:dyDescent="0.35">
      <c r="A2105">
        <v>1806038</v>
      </c>
      <c r="B2105" s="1" t="s">
        <v>4377</v>
      </c>
      <c r="C2105">
        <v>9623.7999999999993</v>
      </c>
      <c r="D2105">
        <v>287</v>
      </c>
      <c r="E2105" s="1" t="s">
        <v>4491</v>
      </c>
      <c r="F2105" s="1" t="s">
        <v>15</v>
      </c>
      <c r="G2105" s="1" t="s">
        <v>22</v>
      </c>
      <c r="H2105">
        <v>58</v>
      </c>
      <c r="I2105">
        <v>33</v>
      </c>
      <c r="J2105">
        <v>95</v>
      </c>
      <c r="K2105" s="1" t="s">
        <v>23</v>
      </c>
      <c r="L2105" s="1" t="s">
        <v>24</v>
      </c>
      <c r="M2105" s="1" t="s">
        <v>4483</v>
      </c>
      <c r="N2105" s="1" t="s">
        <v>4492</v>
      </c>
    </row>
    <row r="2106" spans="1:14" x14ac:dyDescent="0.35">
      <c r="A2106">
        <v>1806036</v>
      </c>
      <c r="B2106" s="1" t="s">
        <v>4377</v>
      </c>
      <c r="C2106">
        <v>9623.7999999999993</v>
      </c>
      <c r="D2106">
        <v>287</v>
      </c>
      <c r="E2106" s="1" t="s">
        <v>4493</v>
      </c>
      <c r="F2106" s="1" t="s">
        <v>15</v>
      </c>
      <c r="G2106" s="1" t="s">
        <v>22</v>
      </c>
      <c r="H2106">
        <v>59</v>
      </c>
      <c r="I2106">
        <v>24</v>
      </c>
      <c r="J2106">
        <v>54</v>
      </c>
      <c r="K2106" s="1" t="s">
        <v>90</v>
      </c>
      <c r="L2106" s="1" t="s">
        <v>24</v>
      </c>
      <c r="M2106" s="1" t="s">
        <v>4483</v>
      </c>
      <c r="N2106" s="1" t="s">
        <v>4494</v>
      </c>
    </row>
    <row r="2107" spans="1:14" x14ac:dyDescent="0.35">
      <c r="A2107">
        <v>1811002</v>
      </c>
      <c r="B2107" s="1" t="s">
        <v>4377</v>
      </c>
      <c r="C2107">
        <v>9623.7999999999993</v>
      </c>
      <c r="D2107">
        <v>287</v>
      </c>
      <c r="E2107" s="1" t="s">
        <v>4495</v>
      </c>
      <c r="F2107" s="1" t="s">
        <v>15</v>
      </c>
      <c r="G2107" s="1" t="s">
        <v>32</v>
      </c>
      <c r="H2107">
        <v>100</v>
      </c>
      <c r="I2107">
        <v>22</v>
      </c>
      <c r="J2107">
        <v>236</v>
      </c>
      <c r="K2107" s="1" t="s">
        <v>17</v>
      </c>
      <c r="L2107" s="1" t="s">
        <v>18</v>
      </c>
      <c r="M2107" s="1" t="s">
        <v>4496</v>
      </c>
      <c r="N2107" s="1" t="s">
        <v>4497</v>
      </c>
    </row>
    <row r="2108" spans="1:14" x14ac:dyDescent="0.35">
      <c r="A2108">
        <v>1811013</v>
      </c>
      <c r="B2108" s="1" t="s">
        <v>4377</v>
      </c>
      <c r="C2108">
        <v>9623.7999999999993</v>
      </c>
      <c r="D2108">
        <v>287</v>
      </c>
      <c r="E2108" s="1" t="s">
        <v>4498</v>
      </c>
      <c r="F2108" s="1" t="s">
        <v>15</v>
      </c>
      <c r="G2108" s="1" t="s">
        <v>22</v>
      </c>
      <c r="H2108">
        <v>60</v>
      </c>
      <c r="I2108">
        <v>21</v>
      </c>
      <c r="K2108" s="1" t="s">
        <v>23</v>
      </c>
      <c r="L2108" s="1" t="s">
        <v>24</v>
      </c>
      <c r="M2108" s="1" t="s">
        <v>4496</v>
      </c>
      <c r="N2108" s="1" t="s">
        <v>4499</v>
      </c>
    </row>
    <row r="2109" spans="1:14" x14ac:dyDescent="0.35">
      <c r="A2109">
        <v>1871176</v>
      </c>
      <c r="B2109" s="1" t="s">
        <v>4377</v>
      </c>
      <c r="C2109">
        <v>9623.7999999999993</v>
      </c>
      <c r="D2109">
        <v>287</v>
      </c>
      <c r="E2109" s="1" t="s">
        <v>4500</v>
      </c>
      <c r="F2109" s="1" t="s">
        <v>129</v>
      </c>
      <c r="G2109" s="1" t="s">
        <v>16</v>
      </c>
      <c r="H2109">
        <v>162</v>
      </c>
      <c r="I2109">
        <v>46</v>
      </c>
      <c r="J2109">
        <v>293</v>
      </c>
      <c r="K2109" s="1" t="s">
        <v>124</v>
      </c>
      <c r="L2109" s="1" t="s">
        <v>18</v>
      </c>
      <c r="M2109" s="1" t="s">
        <v>4501</v>
      </c>
      <c r="N2109" s="1" t="s">
        <v>4502</v>
      </c>
    </row>
    <row r="2110" spans="1:14" x14ac:dyDescent="0.35">
      <c r="A2110">
        <v>1809002</v>
      </c>
      <c r="B2110" s="1" t="s">
        <v>4377</v>
      </c>
      <c r="C2110">
        <v>9623.7999999999993</v>
      </c>
      <c r="D2110">
        <v>287</v>
      </c>
      <c r="E2110" s="1" t="s">
        <v>4503</v>
      </c>
      <c r="F2110" s="1" t="s">
        <v>15</v>
      </c>
      <c r="G2110" s="1" t="s">
        <v>32</v>
      </c>
      <c r="H2110">
        <v>107</v>
      </c>
      <c r="I2110">
        <v>26</v>
      </c>
      <c r="J2110">
        <v>115</v>
      </c>
      <c r="K2110" s="1" t="s">
        <v>17</v>
      </c>
      <c r="L2110" s="1" t="s">
        <v>18</v>
      </c>
      <c r="M2110" s="1" t="s">
        <v>4501</v>
      </c>
      <c r="N2110" s="1" t="s">
        <v>4504</v>
      </c>
    </row>
    <row r="2111" spans="1:14" x14ac:dyDescent="0.35">
      <c r="A2111">
        <v>1809003</v>
      </c>
      <c r="B2111" s="1" t="s">
        <v>4377</v>
      </c>
      <c r="C2111">
        <v>9623.7999999999993</v>
      </c>
      <c r="D2111">
        <v>287</v>
      </c>
      <c r="E2111" s="1" t="s">
        <v>4505</v>
      </c>
      <c r="F2111" s="1" t="s">
        <v>15</v>
      </c>
      <c r="G2111" s="1" t="s">
        <v>32</v>
      </c>
      <c r="H2111">
        <v>100</v>
      </c>
      <c r="I2111">
        <v>33</v>
      </c>
      <c r="J2111">
        <v>120</v>
      </c>
      <c r="K2111" s="1" t="s">
        <v>23</v>
      </c>
      <c r="L2111" s="1" t="s">
        <v>24</v>
      </c>
      <c r="M2111" s="1" t="s">
        <v>4501</v>
      </c>
      <c r="N2111" s="1" t="s">
        <v>4506</v>
      </c>
    </row>
    <row r="2112" spans="1:14" x14ac:dyDescent="0.35">
      <c r="A2112">
        <v>1813001</v>
      </c>
      <c r="B2112" s="1" t="s">
        <v>4377</v>
      </c>
      <c r="C2112">
        <v>9623.7999999999993</v>
      </c>
      <c r="D2112">
        <v>287</v>
      </c>
      <c r="E2112" s="1" t="s">
        <v>4507</v>
      </c>
      <c r="F2112" s="1" t="s">
        <v>15</v>
      </c>
      <c r="G2112" s="1" t="s">
        <v>22</v>
      </c>
      <c r="H2112">
        <v>27</v>
      </c>
      <c r="I2112">
        <v>16</v>
      </c>
      <c r="J2112">
        <v>120</v>
      </c>
      <c r="K2112" s="1" t="s">
        <v>17</v>
      </c>
      <c r="L2112" s="1" t="s">
        <v>24</v>
      </c>
      <c r="M2112" s="1" t="s">
        <v>4508</v>
      </c>
      <c r="N2112" s="1" t="s">
        <v>4509</v>
      </c>
    </row>
    <row r="2113" spans="1:14" x14ac:dyDescent="0.35">
      <c r="A2113">
        <v>1810004</v>
      </c>
      <c r="B2113" s="1" t="s">
        <v>4377</v>
      </c>
      <c r="C2113">
        <v>9623.7999999999993</v>
      </c>
      <c r="D2113">
        <v>287</v>
      </c>
      <c r="E2113" s="1" t="s">
        <v>4510</v>
      </c>
      <c r="F2113" s="1" t="s">
        <v>71</v>
      </c>
      <c r="G2113" s="1" t="s">
        <v>32</v>
      </c>
      <c r="H2113">
        <v>30</v>
      </c>
      <c r="I2113">
        <v>26</v>
      </c>
      <c r="J2113">
        <v>31</v>
      </c>
      <c r="K2113" s="1" t="s">
        <v>90</v>
      </c>
      <c r="L2113" s="1" t="s">
        <v>24</v>
      </c>
      <c r="M2113" s="1" t="s">
        <v>4511</v>
      </c>
      <c r="N2113" s="1" t="s">
        <v>4512</v>
      </c>
    </row>
    <row r="2114" spans="1:14" x14ac:dyDescent="0.35">
      <c r="A2114">
        <v>1810005</v>
      </c>
      <c r="B2114" s="1" t="s">
        <v>4377</v>
      </c>
      <c r="C2114">
        <v>9623.7999999999993</v>
      </c>
      <c r="D2114">
        <v>287</v>
      </c>
      <c r="E2114" s="1" t="s">
        <v>331</v>
      </c>
      <c r="F2114" s="1" t="s">
        <v>71</v>
      </c>
      <c r="G2114" s="1" t="s">
        <v>32</v>
      </c>
      <c r="H2114">
        <v>28</v>
      </c>
      <c r="I2114">
        <v>15</v>
      </c>
      <c r="J2114">
        <v>81</v>
      </c>
      <c r="K2114" s="1" t="s">
        <v>23</v>
      </c>
      <c r="L2114" s="1" t="s">
        <v>24</v>
      </c>
      <c r="M2114" s="1" t="s">
        <v>4511</v>
      </c>
      <c r="N2114" s="1" t="s">
        <v>4513</v>
      </c>
    </row>
    <row r="2115" spans="1:14" x14ac:dyDescent="0.35">
      <c r="A2115">
        <v>1803010</v>
      </c>
      <c r="B2115" s="1" t="s">
        <v>4377</v>
      </c>
      <c r="C2115">
        <v>9623.7999999999993</v>
      </c>
      <c r="D2115">
        <v>287</v>
      </c>
      <c r="E2115" s="1" t="s">
        <v>4514</v>
      </c>
      <c r="F2115" s="1" t="s">
        <v>15</v>
      </c>
      <c r="G2115" s="1" t="s">
        <v>32</v>
      </c>
      <c r="H2115">
        <v>154</v>
      </c>
      <c r="I2115">
        <v>38</v>
      </c>
      <c r="J2115">
        <v>545</v>
      </c>
      <c r="K2115" s="1" t="s">
        <v>17</v>
      </c>
      <c r="L2115" s="1" t="s">
        <v>18</v>
      </c>
      <c r="M2115" s="1" t="s">
        <v>4511</v>
      </c>
      <c r="N2115" s="1" t="s">
        <v>4515</v>
      </c>
    </row>
    <row r="2116" spans="1:14" x14ac:dyDescent="0.35">
      <c r="A2116">
        <v>1802038</v>
      </c>
      <c r="B2116" s="1" t="s">
        <v>4377</v>
      </c>
      <c r="C2116">
        <v>9623.7999999999993</v>
      </c>
      <c r="D2116">
        <v>287</v>
      </c>
      <c r="E2116" s="1" t="s">
        <v>4516</v>
      </c>
      <c r="F2116" s="1" t="s">
        <v>15</v>
      </c>
      <c r="G2116" s="1" t="s">
        <v>32</v>
      </c>
      <c r="H2116">
        <v>202</v>
      </c>
      <c r="I2116">
        <v>60</v>
      </c>
      <c r="J2116">
        <v>496</v>
      </c>
      <c r="K2116" s="1" t="s">
        <v>23</v>
      </c>
      <c r="L2116" s="1" t="s">
        <v>24</v>
      </c>
      <c r="M2116" s="1" t="s">
        <v>4511</v>
      </c>
      <c r="N2116" s="1" t="s">
        <v>4517</v>
      </c>
    </row>
    <row r="2117" spans="1:14" x14ac:dyDescent="0.35">
      <c r="A2117">
        <v>1871002</v>
      </c>
      <c r="B2117" s="1" t="s">
        <v>4377</v>
      </c>
      <c r="C2117">
        <v>9623.7999999999993</v>
      </c>
      <c r="D2117">
        <v>287</v>
      </c>
      <c r="E2117" s="1" t="s">
        <v>4518</v>
      </c>
      <c r="F2117" s="1" t="s">
        <v>15</v>
      </c>
      <c r="G2117" s="1" t="s">
        <v>22</v>
      </c>
      <c r="H2117">
        <v>68</v>
      </c>
      <c r="I2117">
        <v>34</v>
      </c>
      <c r="J2117">
        <v>145</v>
      </c>
      <c r="K2117" s="1" t="s">
        <v>95</v>
      </c>
      <c r="L2117" s="1" t="s">
        <v>24</v>
      </c>
      <c r="M2117" s="1" t="s">
        <v>4511</v>
      </c>
      <c r="N2117" s="1" t="s">
        <v>4519</v>
      </c>
    </row>
    <row r="2118" spans="1:14" x14ac:dyDescent="0.35">
      <c r="A2118">
        <v>1810003</v>
      </c>
      <c r="B2118" s="1" t="s">
        <v>4377</v>
      </c>
      <c r="C2118">
        <v>9623.7999999999993</v>
      </c>
      <c r="D2118">
        <v>287</v>
      </c>
      <c r="E2118" s="1" t="s">
        <v>4520</v>
      </c>
      <c r="F2118" s="1" t="s">
        <v>15</v>
      </c>
      <c r="G2118" s="1" t="s">
        <v>22</v>
      </c>
      <c r="H2118">
        <v>135</v>
      </c>
      <c r="I2118">
        <v>40</v>
      </c>
      <c r="J2118">
        <v>200</v>
      </c>
      <c r="K2118" s="1" t="s">
        <v>95</v>
      </c>
      <c r="L2118" s="1" t="s">
        <v>24</v>
      </c>
      <c r="M2118" s="1" t="s">
        <v>4511</v>
      </c>
      <c r="N2118" s="1" t="s">
        <v>4521</v>
      </c>
    </row>
    <row r="2119" spans="1:14" x14ac:dyDescent="0.35">
      <c r="A2119">
        <v>1802027</v>
      </c>
      <c r="B2119" s="1" t="s">
        <v>4377</v>
      </c>
      <c r="C2119">
        <v>9623.7999999999993</v>
      </c>
      <c r="D2119">
        <v>287</v>
      </c>
      <c r="E2119" s="1" t="s">
        <v>4522</v>
      </c>
      <c r="F2119" s="1" t="s">
        <v>15</v>
      </c>
      <c r="G2119" s="1" t="s">
        <v>32</v>
      </c>
      <c r="H2119">
        <v>114</v>
      </c>
      <c r="I2119">
        <v>36</v>
      </c>
      <c r="J2119">
        <v>350</v>
      </c>
      <c r="K2119" s="1" t="s">
        <v>17</v>
      </c>
      <c r="L2119" s="1" t="s">
        <v>18</v>
      </c>
      <c r="M2119" s="1" t="s">
        <v>4523</v>
      </c>
      <c r="N2119" s="1" t="s">
        <v>4524</v>
      </c>
    </row>
    <row r="2120" spans="1:14" x14ac:dyDescent="0.35">
      <c r="A2120">
        <v>1802016</v>
      </c>
      <c r="B2120" s="1" t="s">
        <v>4377</v>
      </c>
      <c r="C2120">
        <v>9623.7999999999993</v>
      </c>
      <c r="D2120">
        <v>287</v>
      </c>
      <c r="E2120" s="1" t="s">
        <v>4525</v>
      </c>
      <c r="F2120" s="1" t="s">
        <v>15</v>
      </c>
      <c r="G2120" s="1" t="s">
        <v>22</v>
      </c>
      <c r="H2120">
        <v>77</v>
      </c>
      <c r="I2120">
        <v>33</v>
      </c>
      <c r="J2120">
        <v>192</v>
      </c>
      <c r="K2120" s="1" t="s">
        <v>84</v>
      </c>
      <c r="L2120" s="1" t="s">
        <v>24</v>
      </c>
      <c r="M2120" s="1" t="s">
        <v>4523</v>
      </c>
      <c r="N2120" s="1" t="s">
        <v>4526</v>
      </c>
    </row>
    <row r="2121" spans="1:14" x14ac:dyDescent="0.35">
      <c r="A2121">
        <v>1808015</v>
      </c>
      <c r="B2121" s="1" t="s">
        <v>4377</v>
      </c>
      <c r="C2121">
        <v>9623.7999999999993</v>
      </c>
      <c r="D2121">
        <v>287</v>
      </c>
      <c r="E2121" s="1" t="s">
        <v>4527</v>
      </c>
      <c r="F2121" s="1" t="s">
        <v>15</v>
      </c>
      <c r="G2121" s="1" t="s">
        <v>16</v>
      </c>
      <c r="H2121">
        <v>158</v>
      </c>
      <c r="I2121">
        <v>72</v>
      </c>
      <c r="J2121">
        <v>411</v>
      </c>
      <c r="K2121" s="1" t="s">
        <v>17</v>
      </c>
      <c r="L2121" s="1" t="s">
        <v>18</v>
      </c>
      <c r="M2121" s="1" t="s">
        <v>4528</v>
      </c>
      <c r="N2121" s="1" t="s">
        <v>4529</v>
      </c>
    </row>
    <row r="2122" spans="1:14" x14ac:dyDescent="0.35">
      <c r="A2122">
        <v>1808017</v>
      </c>
      <c r="B2122" s="1" t="s">
        <v>4377</v>
      </c>
      <c r="C2122">
        <v>9623.7999999999993</v>
      </c>
      <c r="D2122">
        <v>287</v>
      </c>
      <c r="E2122" s="1" t="s">
        <v>4530</v>
      </c>
      <c r="F2122" s="1" t="s">
        <v>15</v>
      </c>
      <c r="G2122" s="1" t="s">
        <v>22</v>
      </c>
      <c r="H2122">
        <v>60</v>
      </c>
      <c r="I2122">
        <v>24</v>
      </c>
      <c r="J2122">
        <v>107</v>
      </c>
      <c r="K2122" s="1" t="s">
        <v>90</v>
      </c>
      <c r="L2122" s="1" t="s">
        <v>24</v>
      </c>
      <c r="M2122" s="1" t="s">
        <v>4528</v>
      </c>
      <c r="N2122" s="1" t="s">
        <v>4531</v>
      </c>
    </row>
    <row r="2123" spans="1:14" x14ac:dyDescent="0.35">
      <c r="A2123">
        <v>1808018</v>
      </c>
      <c r="B2123" s="1" t="s">
        <v>4377</v>
      </c>
      <c r="C2123">
        <v>9623.7999999999993</v>
      </c>
      <c r="D2123">
        <v>287</v>
      </c>
      <c r="E2123" s="1" t="s">
        <v>4532</v>
      </c>
      <c r="F2123" s="1" t="s">
        <v>15</v>
      </c>
      <c r="G2123" s="1" t="s">
        <v>22</v>
      </c>
      <c r="H2123">
        <v>56</v>
      </c>
      <c r="I2123">
        <v>21</v>
      </c>
      <c r="J2123">
        <v>35</v>
      </c>
      <c r="K2123" s="1" t="s">
        <v>90</v>
      </c>
      <c r="L2123" s="1" t="s">
        <v>24</v>
      </c>
      <c r="M2123" s="1" t="s">
        <v>4528</v>
      </c>
      <c r="N2123" s="1" t="s">
        <v>4533</v>
      </c>
    </row>
    <row r="2124" spans="1:14" x14ac:dyDescent="0.35">
      <c r="A2124">
        <v>1808016</v>
      </c>
      <c r="B2124" s="1" t="s">
        <v>4377</v>
      </c>
      <c r="C2124">
        <v>9623.7999999999993</v>
      </c>
      <c r="D2124">
        <v>287</v>
      </c>
      <c r="E2124" s="1" t="s">
        <v>4534</v>
      </c>
      <c r="F2124" s="1" t="s">
        <v>15</v>
      </c>
      <c r="G2124" s="1" t="s">
        <v>22</v>
      </c>
      <c r="H2124">
        <v>99</v>
      </c>
      <c r="I2124">
        <v>28</v>
      </c>
      <c r="J2124">
        <v>134</v>
      </c>
      <c r="K2124" s="1" t="s">
        <v>23</v>
      </c>
      <c r="L2124" s="1" t="s">
        <v>24</v>
      </c>
      <c r="M2124" s="1" t="s">
        <v>4528</v>
      </c>
      <c r="N2124" s="1" t="s">
        <v>4535</v>
      </c>
    </row>
    <row r="2125" spans="1:14" x14ac:dyDescent="0.35">
      <c r="A2125">
        <v>1812014</v>
      </c>
      <c r="B2125" s="1" t="s">
        <v>4377</v>
      </c>
      <c r="C2125">
        <v>9623.7999999999993</v>
      </c>
      <c r="D2125">
        <v>287</v>
      </c>
      <c r="E2125" s="1" t="s">
        <v>4536</v>
      </c>
      <c r="F2125" s="1" t="s">
        <v>71</v>
      </c>
      <c r="G2125" s="1" t="s">
        <v>32</v>
      </c>
      <c r="H2125">
        <v>62</v>
      </c>
      <c r="I2125">
        <v>14</v>
      </c>
      <c r="K2125" s="1" t="s">
        <v>23</v>
      </c>
      <c r="L2125" s="1" t="s">
        <v>24</v>
      </c>
      <c r="M2125" s="1" t="s">
        <v>4537</v>
      </c>
      <c r="N2125" s="1" t="s">
        <v>4538</v>
      </c>
    </row>
    <row r="2126" spans="1:14" x14ac:dyDescent="0.35">
      <c r="A2126">
        <v>1812003</v>
      </c>
      <c r="B2126" s="1" t="s">
        <v>4377</v>
      </c>
      <c r="C2126">
        <v>9623.7999999999993</v>
      </c>
      <c r="D2126">
        <v>287</v>
      </c>
      <c r="E2126" s="1" t="s">
        <v>4539</v>
      </c>
      <c r="F2126" s="1" t="s">
        <v>15</v>
      </c>
      <c r="G2126" s="1" t="s">
        <v>22</v>
      </c>
      <c r="H2126">
        <v>50</v>
      </c>
      <c r="I2126">
        <v>20</v>
      </c>
      <c r="J2126">
        <v>105</v>
      </c>
      <c r="K2126" s="1" t="s">
        <v>17</v>
      </c>
      <c r="L2126" s="1" t="s">
        <v>18</v>
      </c>
      <c r="M2126" s="1" t="s">
        <v>4537</v>
      </c>
      <c r="N2126" s="1" t="s">
        <v>4540</v>
      </c>
    </row>
    <row r="2127" spans="1:14" x14ac:dyDescent="0.35">
      <c r="A2127">
        <v>1812002</v>
      </c>
      <c r="B2127" s="1" t="s">
        <v>4377</v>
      </c>
      <c r="C2127">
        <v>9623.7999999999993</v>
      </c>
      <c r="D2127">
        <v>287</v>
      </c>
      <c r="E2127" s="1" t="s">
        <v>4541</v>
      </c>
      <c r="F2127" s="1" t="s">
        <v>15</v>
      </c>
      <c r="G2127" s="1" t="s">
        <v>22</v>
      </c>
      <c r="H2127">
        <v>60</v>
      </c>
      <c r="I2127">
        <v>20</v>
      </c>
      <c r="J2127">
        <v>112</v>
      </c>
      <c r="K2127" s="1" t="s">
        <v>90</v>
      </c>
      <c r="L2127" s="1" t="s">
        <v>24</v>
      </c>
      <c r="M2127" s="1" t="s">
        <v>4537</v>
      </c>
      <c r="N2127" s="1" t="s">
        <v>4542</v>
      </c>
    </row>
    <row r="2128" spans="1:14" x14ac:dyDescent="0.35">
      <c r="A2128">
        <v>1807014</v>
      </c>
      <c r="B2128" s="1" t="s">
        <v>4377</v>
      </c>
      <c r="C2128">
        <v>9623.7999999999993</v>
      </c>
      <c r="D2128">
        <v>287</v>
      </c>
      <c r="E2128" s="1" t="s">
        <v>4543</v>
      </c>
      <c r="F2128" s="1" t="s">
        <v>15</v>
      </c>
      <c r="G2128" s="1" t="s">
        <v>32</v>
      </c>
      <c r="H2128">
        <v>106</v>
      </c>
      <c r="I2128">
        <v>38</v>
      </c>
      <c r="J2128">
        <v>325</v>
      </c>
      <c r="K2128" s="1" t="s">
        <v>17</v>
      </c>
      <c r="L2128" s="1" t="s">
        <v>18</v>
      </c>
      <c r="M2128" s="1" t="s">
        <v>4544</v>
      </c>
      <c r="N2128" s="1" t="s">
        <v>4545</v>
      </c>
    </row>
    <row r="2129" spans="1:14" x14ac:dyDescent="0.35">
      <c r="A2129">
        <v>1807016</v>
      </c>
      <c r="B2129" s="1" t="s">
        <v>4377</v>
      </c>
      <c r="C2129">
        <v>9623.7999999999993</v>
      </c>
      <c r="D2129">
        <v>287</v>
      </c>
      <c r="E2129" s="1" t="s">
        <v>4546</v>
      </c>
      <c r="F2129" s="1" t="s">
        <v>15</v>
      </c>
      <c r="G2129" s="1" t="s">
        <v>32</v>
      </c>
      <c r="H2129">
        <v>107</v>
      </c>
      <c r="I2129">
        <v>28</v>
      </c>
      <c r="J2129">
        <v>217</v>
      </c>
      <c r="K2129" s="1" t="s">
        <v>84</v>
      </c>
      <c r="L2129" s="1" t="s">
        <v>24</v>
      </c>
      <c r="M2129" s="1" t="s">
        <v>4544</v>
      </c>
      <c r="N2129" s="1" t="s">
        <v>4547</v>
      </c>
    </row>
    <row r="2130" spans="1:14" x14ac:dyDescent="0.35">
      <c r="A2130">
        <v>8103020</v>
      </c>
      <c r="B2130" s="1" t="s">
        <v>4548</v>
      </c>
      <c r="C2130">
        <v>1995.2</v>
      </c>
      <c r="D2130">
        <v>43</v>
      </c>
      <c r="E2130" s="1" t="s">
        <v>4549</v>
      </c>
      <c r="F2130" s="1" t="s">
        <v>15</v>
      </c>
      <c r="G2130" s="1" t="s">
        <v>22</v>
      </c>
      <c r="H2130">
        <v>108</v>
      </c>
      <c r="I2130">
        <v>54</v>
      </c>
      <c r="J2130">
        <v>160</v>
      </c>
      <c r="K2130" s="1" t="s">
        <v>17</v>
      </c>
      <c r="L2130" s="1" t="s">
        <v>24</v>
      </c>
      <c r="M2130" s="1" t="s">
        <v>4550</v>
      </c>
      <c r="N2130" s="1" t="s">
        <v>4551</v>
      </c>
    </row>
    <row r="2131" spans="1:14" x14ac:dyDescent="0.35">
      <c r="A2131">
        <v>8109018</v>
      </c>
      <c r="B2131" s="1" t="s">
        <v>4548</v>
      </c>
      <c r="C2131">
        <v>1995.2</v>
      </c>
      <c r="D2131">
        <v>43</v>
      </c>
      <c r="E2131" s="1" t="s">
        <v>4552</v>
      </c>
      <c r="F2131" s="1" t="s">
        <v>15</v>
      </c>
      <c r="G2131" s="1" t="s">
        <v>22</v>
      </c>
      <c r="H2131">
        <v>110</v>
      </c>
      <c r="I2131">
        <v>17</v>
      </c>
      <c r="J2131">
        <v>260</v>
      </c>
      <c r="K2131" s="1" t="s">
        <v>17</v>
      </c>
      <c r="L2131" s="1" t="s">
        <v>24</v>
      </c>
      <c r="M2131" s="1" t="s">
        <v>4553</v>
      </c>
      <c r="N2131" s="1" t="s">
        <v>4554</v>
      </c>
    </row>
    <row r="2132" spans="1:14" x14ac:dyDescent="0.35">
      <c r="A2132">
        <v>8109002</v>
      </c>
      <c r="B2132" s="1" t="s">
        <v>4548</v>
      </c>
      <c r="C2132">
        <v>1995.2</v>
      </c>
      <c r="D2132">
        <v>43</v>
      </c>
      <c r="E2132" s="1" t="s">
        <v>4555</v>
      </c>
      <c r="F2132" s="1" t="s">
        <v>15</v>
      </c>
      <c r="G2132" s="1" t="s">
        <v>52</v>
      </c>
      <c r="H2132">
        <v>11</v>
      </c>
      <c r="I2132">
        <v>8</v>
      </c>
      <c r="J2132">
        <v>36</v>
      </c>
      <c r="K2132" s="1" t="s">
        <v>17</v>
      </c>
      <c r="L2132" s="1" t="s">
        <v>24</v>
      </c>
      <c r="M2132" s="1" t="s">
        <v>4553</v>
      </c>
      <c r="N2132" s="1" t="s">
        <v>4556</v>
      </c>
    </row>
    <row r="2133" spans="1:14" x14ac:dyDescent="0.35">
      <c r="A2133">
        <v>8105019</v>
      </c>
      <c r="B2133" s="1" t="s">
        <v>4548</v>
      </c>
      <c r="C2133">
        <v>1995.2</v>
      </c>
      <c r="D2133">
        <v>43</v>
      </c>
      <c r="E2133" s="1" t="s">
        <v>4557</v>
      </c>
      <c r="F2133" s="1" t="s">
        <v>15</v>
      </c>
      <c r="G2133" s="1" t="s">
        <v>22</v>
      </c>
      <c r="H2133">
        <v>98</v>
      </c>
      <c r="I2133">
        <v>28</v>
      </c>
      <c r="J2133">
        <v>335</v>
      </c>
      <c r="K2133" s="1" t="s">
        <v>17</v>
      </c>
      <c r="L2133" s="1" t="s">
        <v>18</v>
      </c>
      <c r="M2133" s="1" t="s">
        <v>4558</v>
      </c>
      <c r="N2133" s="1" t="s">
        <v>4559</v>
      </c>
    </row>
    <row r="2134" spans="1:14" x14ac:dyDescent="0.35">
      <c r="A2134">
        <v>8101041</v>
      </c>
      <c r="B2134" s="1" t="s">
        <v>4548</v>
      </c>
      <c r="C2134">
        <v>1995.2</v>
      </c>
      <c r="D2134">
        <v>43</v>
      </c>
      <c r="E2134" s="1" t="s">
        <v>4560</v>
      </c>
      <c r="F2134" s="1" t="s">
        <v>15</v>
      </c>
      <c r="G2134" s="1" t="s">
        <v>22</v>
      </c>
      <c r="H2134">
        <v>33</v>
      </c>
      <c r="I2134">
        <v>4</v>
      </c>
      <c r="K2134" s="1" t="s">
        <v>572</v>
      </c>
      <c r="L2134" s="1" t="s">
        <v>24</v>
      </c>
      <c r="M2134" s="1" t="s">
        <v>4561</v>
      </c>
      <c r="N2134" s="1" t="s">
        <v>4562</v>
      </c>
    </row>
    <row r="2135" spans="1:14" x14ac:dyDescent="0.35">
      <c r="A2135">
        <v>8101063</v>
      </c>
      <c r="B2135" s="1" t="s">
        <v>4548</v>
      </c>
      <c r="C2135">
        <v>1995.2</v>
      </c>
      <c r="D2135">
        <v>43</v>
      </c>
      <c r="E2135" s="1" t="s">
        <v>4563</v>
      </c>
      <c r="F2135" s="1" t="s">
        <v>15</v>
      </c>
      <c r="G2135" s="1" t="s">
        <v>22</v>
      </c>
      <c r="H2135">
        <v>84</v>
      </c>
      <c r="I2135">
        <v>15</v>
      </c>
      <c r="J2135">
        <v>195</v>
      </c>
      <c r="K2135" s="1" t="s">
        <v>17</v>
      </c>
      <c r="L2135" s="1" t="s">
        <v>24</v>
      </c>
      <c r="M2135" s="1" t="s">
        <v>4561</v>
      </c>
      <c r="N2135" s="1" t="s">
        <v>4564</v>
      </c>
    </row>
    <row r="2136" spans="1:14" x14ac:dyDescent="0.35">
      <c r="A2136">
        <v>8171063</v>
      </c>
      <c r="B2136" s="1" t="s">
        <v>4548</v>
      </c>
      <c r="C2136">
        <v>1995.2</v>
      </c>
      <c r="D2136">
        <v>43</v>
      </c>
      <c r="E2136" s="1" t="s">
        <v>4565</v>
      </c>
      <c r="F2136" s="1" t="s">
        <v>129</v>
      </c>
      <c r="G2136" s="1" t="s">
        <v>16</v>
      </c>
      <c r="H2136">
        <v>84</v>
      </c>
      <c r="I2136">
        <v>31</v>
      </c>
      <c r="J2136">
        <v>180</v>
      </c>
      <c r="K2136" s="1" t="s">
        <v>124</v>
      </c>
      <c r="L2136" s="1" t="s">
        <v>24</v>
      </c>
      <c r="M2136" s="1" t="s">
        <v>4566</v>
      </c>
      <c r="N2136" s="1" t="s">
        <v>4567</v>
      </c>
    </row>
    <row r="2137" spans="1:14" x14ac:dyDescent="0.35">
      <c r="A2137">
        <v>8171015</v>
      </c>
      <c r="B2137" s="1" t="s">
        <v>4548</v>
      </c>
      <c r="C2137">
        <v>1995.2</v>
      </c>
      <c r="D2137">
        <v>43</v>
      </c>
      <c r="E2137" s="1" t="s">
        <v>4568</v>
      </c>
      <c r="F2137" s="1" t="s">
        <v>15</v>
      </c>
      <c r="G2137" s="1" t="s">
        <v>16</v>
      </c>
      <c r="H2137">
        <v>304</v>
      </c>
      <c r="I2137">
        <v>46</v>
      </c>
      <c r="J2137">
        <v>586</v>
      </c>
      <c r="K2137" s="1" t="s">
        <v>124</v>
      </c>
      <c r="L2137" s="1" t="s">
        <v>18</v>
      </c>
      <c r="M2137" s="1" t="s">
        <v>4566</v>
      </c>
      <c r="N2137" s="1" t="s">
        <v>4569</v>
      </c>
    </row>
    <row r="2138" spans="1:14" x14ac:dyDescent="0.35">
      <c r="A2138">
        <v>8171123</v>
      </c>
      <c r="B2138" s="1" t="s">
        <v>4548</v>
      </c>
      <c r="C2138">
        <v>1995.2</v>
      </c>
      <c r="D2138">
        <v>43</v>
      </c>
      <c r="E2138" s="1" t="s">
        <v>4570</v>
      </c>
      <c r="F2138" s="1" t="s">
        <v>15</v>
      </c>
      <c r="G2138" s="1" t="s">
        <v>16</v>
      </c>
      <c r="H2138">
        <v>249</v>
      </c>
      <c r="I2138">
        <v>45</v>
      </c>
      <c r="J2138">
        <v>95</v>
      </c>
      <c r="K2138" s="1" t="s">
        <v>339</v>
      </c>
      <c r="L2138" s="1" t="s">
        <v>24</v>
      </c>
      <c r="M2138" s="1" t="s">
        <v>4566</v>
      </c>
      <c r="N2138" s="1" t="s">
        <v>4571</v>
      </c>
    </row>
    <row r="2139" spans="1:14" x14ac:dyDescent="0.35">
      <c r="A2139">
        <v>8171085</v>
      </c>
      <c r="B2139" s="1" t="s">
        <v>4548</v>
      </c>
      <c r="C2139">
        <v>1995.2</v>
      </c>
      <c r="D2139">
        <v>43</v>
      </c>
      <c r="E2139" s="1" t="s">
        <v>4572</v>
      </c>
      <c r="F2139" s="1" t="s">
        <v>15</v>
      </c>
      <c r="G2139" s="1" t="s">
        <v>32</v>
      </c>
      <c r="H2139">
        <v>57</v>
      </c>
      <c r="I2139">
        <v>23</v>
      </c>
      <c r="J2139">
        <v>64</v>
      </c>
      <c r="K2139" s="1" t="s">
        <v>819</v>
      </c>
      <c r="L2139" s="1" t="s">
        <v>24</v>
      </c>
      <c r="M2139" s="1" t="s">
        <v>4566</v>
      </c>
      <c r="N2139" s="1" t="s">
        <v>4573</v>
      </c>
    </row>
    <row r="2140" spans="1:14" x14ac:dyDescent="0.35">
      <c r="A2140">
        <v>8171026</v>
      </c>
      <c r="B2140" s="1" t="s">
        <v>4548</v>
      </c>
      <c r="C2140">
        <v>1995.2</v>
      </c>
      <c r="D2140">
        <v>43</v>
      </c>
      <c r="E2140" s="1" t="s">
        <v>4574</v>
      </c>
      <c r="F2140" s="1" t="s">
        <v>15</v>
      </c>
      <c r="G2140" s="1" t="s">
        <v>32</v>
      </c>
      <c r="H2140">
        <v>128</v>
      </c>
      <c r="I2140">
        <v>38</v>
      </c>
      <c r="J2140">
        <v>320</v>
      </c>
      <c r="K2140" s="1" t="s">
        <v>27</v>
      </c>
      <c r="L2140" s="1" t="s">
        <v>120</v>
      </c>
      <c r="M2140" s="1" t="s">
        <v>4566</v>
      </c>
      <c r="N2140" s="1" t="s">
        <v>4575</v>
      </c>
    </row>
    <row r="2141" spans="1:14" x14ac:dyDescent="0.35">
      <c r="A2141">
        <v>8171124</v>
      </c>
      <c r="B2141" s="1" t="s">
        <v>4548</v>
      </c>
      <c r="C2141">
        <v>1995.2</v>
      </c>
      <c r="D2141">
        <v>43</v>
      </c>
      <c r="E2141" s="1" t="s">
        <v>4576</v>
      </c>
      <c r="F2141" s="1" t="s">
        <v>15</v>
      </c>
      <c r="G2141" s="1" t="s">
        <v>32</v>
      </c>
      <c r="H2141">
        <v>157</v>
      </c>
      <c r="I2141">
        <v>41</v>
      </c>
      <c r="J2141">
        <v>67</v>
      </c>
      <c r="K2141" s="1" t="s">
        <v>23</v>
      </c>
      <c r="L2141" s="1" t="s">
        <v>24</v>
      </c>
      <c r="M2141" s="1" t="s">
        <v>4566</v>
      </c>
      <c r="N2141" s="1" t="s">
        <v>4577</v>
      </c>
    </row>
    <row r="2142" spans="1:14" x14ac:dyDescent="0.35">
      <c r="A2142">
        <v>8171110</v>
      </c>
      <c r="B2142" s="1" t="s">
        <v>4548</v>
      </c>
      <c r="C2142">
        <v>1995.2</v>
      </c>
      <c r="D2142">
        <v>43</v>
      </c>
      <c r="E2142" s="1" t="s">
        <v>4578</v>
      </c>
      <c r="F2142" s="1" t="s">
        <v>15</v>
      </c>
      <c r="G2142" s="1" t="s">
        <v>32</v>
      </c>
      <c r="H2142">
        <v>113</v>
      </c>
      <c r="I2142">
        <v>30</v>
      </c>
      <c r="J2142">
        <v>92</v>
      </c>
      <c r="K2142" s="1" t="s">
        <v>444</v>
      </c>
      <c r="L2142" s="1" t="s">
        <v>24</v>
      </c>
      <c r="M2142" s="1" t="s">
        <v>4566</v>
      </c>
      <c r="N2142" s="1" t="s">
        <v>4579</v>
      </c>
    </row>
    <row r="2143" spans="1:14" x14ac:dyDescent="0.35">
      <c r="A2143">
        <v>8171121</v>
      </c>
      <c r="B2143" s="1" t="s">
        <v>4548</v>
      </c>
      <c r="C2143">
        <v>1995.2</v>
      </c>
      <c r="D2143">
        <v>43</v>
      </c>
      <c r="E2143" s="1" t="s">
        <v>4580</v>
      </c>
      <c r="F2143" s="1" t="s">
        <v>15</v>
      </c>
      <c r="G2143" s="1" t="s">
        <v>32</v>
      </c>
      <c r="H2143">
        <v>112</v>
      </c>
      <c r="I2143">
        <v>42</v>
      </c>
      <c r="J2143">
        <v>164</v>
      </c>
      <c r="K2143" s="1" t="s">
        <v>146</v>
      </c>
      <c r="L2143" s="1" t="s">
        <v>120</v>
      </c>
      <c r="M2143" s="1" t="s">
        <v>4566</v>
      </c>
      <c r="N2143" s="1" t="s">
        <v>4581</v>
      </c>
    </row>
    <row r="2144" spans="1:14" x14ac:dyDescent="0.35">
      <c r="A2144">
        <v>8171030</v>
      </c>
      <c r="B2144" s="1" t="s">
        <v>4548</v>
      </c>
      <c r="C2144">
        <v>1995.2</v>
      </c>
      <c r="D2144">
        <v>43</v>
      </c>
      <c r="E2144" s="1" t="s">
        <v>4582</v>
      </c>
      <c r="F2144" s="1" t="s">
        <v>15</v>
      </c>
      <c r="G2144" s="1" t="s">
        <v>22</v>
      </c>
      <c r="H2144">
        <v>53</v>
      </c>
      <c r="I2144">
        <v>23</v>
      </c>
      <c r="J2144">
        <v>28</v>
      </c>
      <c r="K2144" s="1" t="s">
        <v>191</v>
      </c>
      <c r="L2144" s="1" t="s">
        <v>24</v>
      </c>
      <c r="M2144" s="1" t="s">
        <v>4566</v>
      </c>
      <c r="N2144" s="1" t="s">
        <v>4583</v>
      </c>
    </row>
    <row r="2145" spans="1:14" x14ac:dyDescent="0.35">
      <c r="A2145">
        <v>8171074</v>
      </c>
      <c r="B2145" s="1" t="s">
        <v>4548</v>
      </c>
      <c r="C2145">
        <v>1995.2</v>
      </c>
      <c r="D2145">
        <v>43</v>
      </c>
      <c r="E2145" s="1" t="s">
        <v>4584</v>
      </c>
      <c r="F2145" s="1" t="s">
        <v>15</v>
      </c>
      <c r="G2145" s="1" t="s">
        <v>22</v>
      </c>
      <c r="H2145">
        <v>57</v>
      </c>
      <c r="I2145">
        <v>9</v>
      </c>
      <c r="J2145">
        <v>11</v>
      </c>
      <c r="K2145" s="1" t="s">
        <v>84</v>
      </c>
      <c r="L2145" s="1" t="s">
        <v>24</v>
      </c>
      <c r="M2145" s="1" t="s">
        <v>4566</v>
      </c>
      <c r="N2145" s="1" t="s">
        <v>4585</v>
      </c>
    </row>
    <row r="2146" spans="1:14" x14ac:dyDescent="0.35">
      <c r="A2146">
        <v>8171096</v>
      </c>
      <c r="B2146" s="1" t="s">
        <v>4548</v>
      </c>
      <c r="C2146">
        <v>1995.2</v>
      </c>
      <c r="D2146">
        <v>43</v>
      </c>
      <c r="E2146" s="1" t="s">
        <v>4586</v>
      </c>
      <c r="F2146" s="1" t="s">
        <v>15</v>
      </c>
      <c r="G2146" s="1" t="s">
        <v>22</v>
      </c>
      <c r="H2146">
        <v>50</v>
      </c>
      <c r="I2146">
        <v>24</v>
      </c>
      <c r="J2146">
        <v>108</v>
      </c>
      <c r="K2146" s="1" t="s">
        <v>84</v>
      </c>
      <c r="L2146" s="1" t="s">
        <v>24</v>
      </c>
      <c r="M2146" s="1" t="s">
        <v>4566</v>
      </c>
      <c r="N2146" s="1" t="s">
        <v>4587</v>
      </c>
    </row>
    <row r="2147" spans="1:14" x14ac:dyDescent="0.35">
      <c r="A2147">
        <v>8172002</v>
      </c>
      <c r="B2147" s="1" t="s">
        <v>4548</v>
      </c>
      <c r="C2147">
        <v>1995.2</v>
      </c>
      <c r="D2147">
        <v>43</v>
      </c>
      <c r="E2147" s="1" t="s">
        <v>4588</v>
      </c>
      <c r="F2147" s="1" t="s">
        <v>15</v>
      </c>
      <c r="G2147" s="1" t="s">
        <v>22</v>
      </c>
      <c r="H2147">
        <v>76</v>
      </c>
      <c r="I2147">
        <v>16</v>
      </c>
      <c r="J2147">
        <v>57</v>
      </c>
      <c r="K2147" s="1" t="s">
        <v>137</v>
      </c>
      <c r="L2147" s="1" t="s">
        <v>24</v>
      </c>
      <c r="M2147" s="1" t="s">
        <v>4589</v>
      </c>
      <c r="N2147" s="1" t="s">
        <v>4590</v>
      </c>
    </row>
    <row r="2148" spans="1:14" x14ac:dyDescent="0.35">
      <c r="A2148">
        <v>8108002</v>
      </c>
      <c r="B2148" s="1" t="s">
        <v>4548</v>
      </c>
      <c r="C2148">
        <v>1995.2</v>
      </c>
      <c r="D2148">
        <v>43</v>
      </c>
      <c r="E2148" s="1" t="s">
        <v>4591</v>
      </c>
      <c r="F2148" s="1" t="s">
        <v>15</v>
      </c>
      <c r="G2148" s="1" t="s">
        <v>22</v>
      </c>
      <c r="H2148">
        <v>56</v>
      </c>
      <c r="I2148">
        <v>10</v>
      </c>
      <c r="J2148">
        <v>34</v>
      </c>
      <c r="K2148" s="1" t="s">
        <v>17</v>
      </c>
      <c r="L2148" s="1" t="s">
        <v>24</v>
      </c>
      <c r="M2148" s="1" t="s">
        <v>4592</v>
      </c>
      <c r="N2148" s="1" t="s">
        <v>4593</v>
      </c>
    </row>
    <row r="2149" spans="1:14" x14ac:dyDescent="0.35">
      <c r="A2149">
        <v>8103053</v>
      </c>
      <c r="B2149" s="1" t="s">
        <v>4548</v>
      </c>
      <c r="C2149">
        <v>1995.2</v>
      </c>
      <c r="D2149">
        <v>43</v>
      </c>
      <c r="E2149" s="1" t="s">
        <v>4594</v>
      </c>
      <c r="F2149" s="1" t="s">
        <v>15</v>
      </c>
      <c r="G2149" s="1" t="s">
        <v>32</v>
      </c>
      <c r="H2149">
        <v>107</v>
      </c>
      <c r="I2149">
        <v>102</v>
      </c>
      <c r="J2149">
        <v>335</v>
      </c>
      <c r="K2149" s="1" t="s">
        <v>124</v>
      </c>
      <c r="L2149" s="1" t="s">
        <v>24</v>
      </c>
      <c r="M2149" s="1" t="s">
        <v>4595</v>
      </c>
      <c r="N2149" s="1" t="s">
        <v>4596</v>
      </c>
    </row>
    <row r="2150" spans="1:14" x14ac:dyDescent="0.35">
      <c r="A2150">
        <v>8103042</v>
      </c>
      <c r="B2150" s="1" t="s">
        <v>4548</v>
      </c>
      <c r="C2150">
        <v>1995.2</v>
      </c>
      <c r="D2150">
        <v>43</v>
      </c>
      <c r="E2150" s="1" t="s">
        <v>4597</v>
      </c>
      <c r="F2150" s="1" t="s">
        <v>15</v>
      </c>
      <c r="G2150" s="1" t="s">
        <v>32</v>
      </c>
      <c r="H2150">
        <v>202</v>
      </c>
      <c r="I2150">
        <v>91</v>
      </c>
      <c r="J2150">
        <v>280</v>
      </c>
      <c r="K2150" s="1" t="s">
        <v>17</v>
      </c>
      <c r="L2150" s="1" t="s">
        <v>24</v>
      </c>
      <c r="M2150" s="1" t="s">
        <v>4595</v>
      </c>
      <c r="N2150" s="1" t="s">
        <v>4598</v>
      </c>
    </row>
    <row r="2151" spans="1:14" x14ac:dyDescent="0.35">
      <c r="A2151">
        <v>8103002</v>
      </c>
      <c r="B2151" s="1" t="s">
        <v>4548</v>
      </c>
      <c r="C2151">
        <v>1995.2</v>
      </c>
      <c r="D2151">
        <v>43</v>
      </c>
      <c r="E2151" s="1" t="s">
        <v>4599</v>
      </c>
      <c r="F2151" s="1" t="s">
        <v>15</v>
      </c>
      <c r="G2151" s="1" t="s">
        <v>22</v>
      </c>
      <c r="H2151">
        <v>50</v>
      </c>
      <c r="I2151">
        <v>14</v>
      </c>
      <c r="J2151">
        <v>77</v>
      </c>
      <c r="K2151" s="1" t="s">
        <v>17</v>
      </c>
      <c r="L2151" s="1" t="s">
        <v>24</v>
      </c>
      <c r="M2151" s="1" t="s">
        <v>4595</v>
      </c>
      <c r="N2151" s="1" t="s">
        <v>4600</v>
      </c>
    </row>
    <row r="2152" spans="1:14" x14ac:dyDescent="0.35">
      <c r="A2152">
        <v>8103016</v>
      </c>
      <c r="B2152" s="1" t="s">
        <v>4548</v>
      </c>
      <c r="C2152">
        <v>1995.2</v>
      </c>
      <c r="D2152">
        <v>43</v>
      </c>
      <c r="E2152" s="1" t="s">
        <v>4601</v>
      </c>
      <c r="F2152" s="1" t="s">
        <v>15</v>
      </c>
      <c r="G2152" s="1" t="s">
        <v>22</v>
      </c>
      <c r="H2152">
        <v>67</v>
      </c>
      <c r="I2152">
        <v>23</v>
      </c>
      <c r="J2152">
        <v>3</v>
      </c>
      <c r="K2152" s="1" t="s">
        <v>17</v>
      </c>
      <c r="L2152" s="1" t="s">
        <v>24</v>
      </c>
      <c r="M2152" s="1" t="s">
        <v>4595</v>
      </c>
      <c r="N2152" s="1" t="s">
        <v>4602</v>
      </c>
    </row>
    <row r="2153" spans="1:14" x14ac:dyDescent="0.35">
      <c r="A2153">
        <v>8101015</v>
      </c>
      <c r="B2153" s="1" t="s">
        <v>4548</v>
      </c>
      <c r="C2153">
        <v>1995.2</v>
      </c>
      <c r="D2153">
        <v>43</v>
      </c>
      <c r="E2153" s="1" t="s">
        <v>4603</v>
      </c>
      <c r="F2153" s="1" t="s">
        <v>15</v>
      </c>
      <c r="G2153" s="1" t="s">
        <v>32</v>
      </c>
      <c r="H2153">
        <v>176</v>
      </c>
      <c r="I2153">
        <v>84</v>
      </c>
      <c r="J2153">
        <v>253</v>
      </c>
      <c r="K2153" s="1" t="s">
        <v>17</v>
      </c>
      <c r="L2153" s="1" t="s">
        <v>18</v>
      </c>
      <c r="M2153" s="1" t="s">
        <v>4604</v>
      </c>
      <c r="N2153" s="1" t="s">
        <v>4605</v>
      </c>
    </row>
    <row r="2154" spans="1:14" x14ac:dyDescent="0.35">
      <c r="A2154">
        <v>8101026</v>
      </c>
      <c r="B2154" s="1" t="s">
        <v>4548</v>
      </c>
      <c r="C2154">
        <v>1995.2</v>
      </c>
      <c r="D2154">
        <v>43</v>
      </c>
      <c r="E2154" s="1" t="s">
        <v>4606</v>
      </c>
      <c r="F2154" s="1" t="s">
        <v>15</v>
      </c>
      <c r="G2154" s="1" t="s">
        <v>22</v>
      </c>
      <c r="H2154">
        <v>90</v>
      </c>
      <c r="I2154">
        <v>26</v>
      </c>
      <c r="J2154">
        <v>26</v>
      </c>
      <c r="K2154" s="1" t="s">
        <v>572</v>
      </c>
      <c r="L2154" s="1" t="s">
        <v>24</v>
      </c>
      <c r="M2154" s="1" t="s">
        <v>4604</v>
      </c>
      <c r="N2154" s="1" t="s">
        <v>4607</v>
      </c>
    </row>
    <row r="2155" spans="1:14" x14ac:dyDescent="0.35">
      <c r="A2155">
        <v>8106010</v>
      </c>
      <c r="B2155" s="1" t="s">
        <v>4548</v>
      </c>
      <c r="C2155">
        <v>1995.2</v>
      </c>
      <c r="D2155">
        <v>43</v>
      </c>
      <c r="E2155" s="1" t="s">
        <v>4608</v>
      </c>
      <c r="F2155" s="1" t="s">
        <v>15</v>
      </c>
      <c r="G2155" s="1" t="s">
        <v>32</v>
      </c>
      <c r="H2155">
        <v>156</v>
      </c>
      <c r="I2155">
        <v>21</v>
      </c>
      <c r="J2155">
        <v>15</v>
      </c>
      <c r="K2155" s="1" t="s">
        <v>17</v>
      </c>
      <c r="L2155" s="1" t="s">
        <v>24</v>
      </c>
      <c r="M2155" s="1" t="s">
        <v>4609</v>
      </c>
      <c r="N2155" s="1" t="s">
        <v>4610</v>
      </c>
    </row>
    <row r="2156" spans="1:14" x14ac:dyDescent="0.35">
      <c r="A2156">
        <v>8106011</v>
      </c>
      <c r="B2156" s="1" t="s">
        <v>4548</v>
      </c>
      <c r="C2156">
        <v>1995.2</v>
      </c>
      <c r="D2156">
        <v>43</v>
      </c>
      <c r="E2156" s="1" t="s">
        <v>4611</v>
      </c>
      <c r="F2156" s="1" t="s">
        <v>15</v>
      </c>
      <c r="G2156" s="1" t="s">
        <v>52</v>
      </c>
      <c r="H2156">
        <v>41</v>
      </c>
      <c r="I2156">
        <v>55</v>
      </c>
      <c r="K2156" s="1" t="s">
        <v>17</v>
      </c>
      <c r="L2156" s="1" t="s">
        <v>24</v>
      </c>
      <c r="M2156" s="1" t="s">
        <v>4609</v>
      </c>
      <c r="N2156" s="1" t="s">
        <v>4612</v>
      </c>
    </row>
    <row r="2157" spans="1:14" x14ac:dyDescent="0.35">
      <c r="A2157">
        <v>8107021</v>
      </c>
      <c r="B2157" s="1" t="s">
        <v>4548</v>
      </c>
      <c r="C2157">
        <v>1995.2</v>
      </c>
      <c r="D2157">
        <v>43</v>
      </c>
      <c r="E2157" s="1" t="s">
        <v>4613</v>
      </c>
      <c r="F2157" s="1" t="s">
        <v>15</v>
      </c>
      <c r="G2157" s="1" t="s">
        <v>32</v>
      </c>
      <c r="H2157">
        <v>103</v>
      </c>
      <c r="I2157">
        <v>31</v>
      </c>
      <c r="J2157">
        <v>410</v>
      </c>
      <c r="K2157" s="1" t="s">
        <v>17</v>
      </c>
      <c r="L2157" s="1" t="s">
        <v>24</v>
      </c>
      <c r="M2157" s="1" t="s">
        <v>4614</v>
      </c>
      <c r="N2157" s="1" t="s">
        <v>4615</v>
      </c>
    </row>
    <row r="2158" spans="1:14" x14ac:dyDescent="0.35">
      <c r="A2158">
        <v>8201021</v>
      </c>
      <c r="B2158" s="1" t="s">
        <v>4616</v>
      </c>
      <c r="C2158">
        <v>1391.7</v>
      </c>
      <c r="D2158">
        <v>44</v>
      </c>
      <c r="E2158" s="1" t="s">
        <v>4617</v>
      </c>
      <c r="F2158" s="1" t="s">
        <v>15</v>
      </c>
      <c r="G2158" s="1" t="s">
        <v>32</v>
      </c>
      <c r="H2158">
        <v>126</v>
      </c>
      <c r="I2158">
        <v>34</v>
      </c>
      <c r="J2158">
        <v>337</v>
      </c>
      <c r="K2158" s="1" t="s">
        <v>17</v>
      </c>
      <c r="L2158" s="1" t="s">
        <v>18</v>
      </c>
      <c r="M2158" s="1" t="s">
        <v>4618</v>
      </c>
      <c r="N2158" s="1" t="s">
        <v>4619</v>
      </c>
    </row>
    <row r="2159" spans="1:14" x14ac:dyDescent="0.35">
      <c r="A2159">
        <v>8204010</v>
      </c>
      <c r="B2159" s="1" t="s">
        <v>4616</v>
      </c>
      <c r="C2159">
        <v>1391.7</v>
      </c>
      <c r="D2159">
        <v>44</v>
      </c>
      <c r="E2159" s="1" t="s">
        <v>4620</v>
      </c>
      <c r="F2159" s="1" t="s">
        <v>15</v>
      </c>
      <c r="G2159" s="1" t="s">
        <v>32</v>
      </c>
      <c r="H2159">
        <v>143</v>
      </c>
      <c r="I2159">
        <v>52</v>
      </c>
      <c r="J2159">
        <v>420</v>
      </c>
      <c r="K2159" s="1" t="s">
        <v>17</v>
      </c>
      <c r="L2159" s="1" t="s">
        <v>18</v>
      </c>
      <c r="M2159" s="1" t="s">
        <v>4621</v>
      </c>
      <c r="N2159" s="1" t="s">
        <v>4622</v>
      </c>
    </row>
    <row r="2160" spans="1:14" x14ac:dyDescent="0.35">
      <c r="A2160">
        <v>8204012</v>
      </c>
      <c r="B2160" s="1" t="s">
        <v>4616</v>
      </c>
      <c r="C2160">
        <v>1391.7</v>
      </c>
      <c r="D2160">
        <v>44</v>
      </c>
      <c r="E2160" s="1" t="s">
        <v>4623</v>
      </c>
      <c r="F2160" s="1" t="s">
        <v>15</v>
      </c>
      <c r="G2160" s="1" t="s">
        <v>22</v>
      </c>
      <c r="H2160">
        <v>66</v>
      </c>
      <c r="I2160">
        <v>7</v>
      </c>
      <c r="J2160">
        <v>43</v>
      </c>
      <c r="K2160" s="1" t="s">
        <v>17</v>
      </c>
      <c r="L2160" s="1" t="s">
        <v>24</v>
      </c>
      <c r="M2160" s="1" t="s">
        <v>4621</v>
      </c>
      <c r="N2160" s="1" t="s">
        <v>4624</v>
      </c>
    </row>
    <row r="2161" spans="1:14" x14ac:dyDescent="0.35">
      <c r="A2161">
        <v>8204011</v>
      </c>
      <c r="B2161" s="1" t="s">
        <v>4616</v>
      </c>
      <c r="C2161">
        <v>1391.7</v>
      </c>
      <c r="D2161">
        <v>44</v>
      </c>
      <c r="E2161" s="1" t="s">
        <v>4625</v>
      </c>
      <c r="F2161" s="1" t="s">
        <v>15</v>
      </c>
      <c r="G2161" s="1" t="s">
        <v>22</v>
      </c>
      <c r="H2161">
        <v>20</v>
      </c>
      <c r="I2161">
        <v>8</v>
      </c>
      <c r="J2161">
        <v>11</v>
      </c>
      <c r="K2161" s="1" t="s">
        <v>17</v>
      </c>
      <c r="L2161" s="1" t="s">
        <v>24</v>
      </c>
      <c r="M2161" s="1" t="s">
        <v>4621</v>
      </c>
      <c r="N2161" s="1" t="s">
        <v>4626</v>
      </c>
    </row>
    <row r="2162" spans="1:14" x14ac:dyDescent="0.35">
      <c r="A2162">
        <v>8205021</v>
      </c>
      <c r="B2162" s="1" t="s">
        <v>4616</v>
      </c>
      <c r="C2162">
        <v>1391.7</v>
      </c>
      <c r="D2162">
        <v>44</v>
      </c>
      <c r="E2162" s="1" t="s">
        <v>4627</v>
      </c>
      <c r="F2162" s="1" t="s">
        <v>15</v>
      </c>
      <c r="G2162" s="1" t="s">
        <v>22</v>
      </c>
      <c r="H2162">
        <v>99</v>
      </c>
      <c r="I2162">
        <v>28</v>
      </c>
      <c r="J2162">
        <v>237</v>
      </c>
      <c r="K2162" s="1" t="s">
        <v>17</v>
      </c>
      <c r="L2162" s="1" t="s">
        <v>24</v>
      </c>
      <c r="M2162" s="1" t="s">
        <v>4628</v>
      </c>
      <c r="N2162" s="1" t="s">
        <v>4629</v>
      </c>
    </row>
    <row r="2163" spans="1:14" x14ac:dyDescent="0.35">
      <c r="A2163">
        <v>8206012</v>
      </c>
      <c r="B2163" s="1" t="s">
        <v>4616</v>
      </c>
      <c r="C2163">
        <v>1391.7</v>
      </c>
      <c r="D2163">
        <v>44</v>
      </c>
      <c r="E2163" s="1" t="s">
        <v>4630</v>
      </c>
      <c r="F2163" s="1" t="s">
        <v>15</v>
      </c>
      <c r="G2163" s="1" t="s">
        <v>22</v>
      </c>
      <c r="H2163">
        <v>76</v>
      </c>
      <c r="I2163">
        <v>43</v>
      </c>
      <c r="J2163">
        <v>162</v>
      </c>
      <c r="K2163" s="1" t="s">
        <v>17</v>
      </c>
      <c r="L2163" s="1" t="s">
        <v>24</v>
      </c>
      <c r="M2163" s="1" t="s">
        <v>4631</v>
      </c>
      <c r="N2163" s="1" t="s">
        <v>4632</v>
      </c>
    </row>
    <row r="2164" spans="1:14" x14ac:dyDescent="0.35">
      <c r="A2164">
        <v>8201010</v>
      </c>
      <c r="B2164" s="1" t="s">
        <v>4616</v>
      </c>
      <c r="C2164">
        <v>1391.7</v>
      </c>
      <c r="D2164">
        <v>44</v>
      </c>
      <c r="E2164" s="1" t="s">
        <v>4633</v>
      </c>
      <c r="F2164" s="1" t="s">
        <v>15</v>
      </c>
      <c r="G2164" s="1" t="s">
        <v>16</v>
      </c>
      <c r="H2164">
        <v>200</v>
      </c>
      <c r="I2164">
        <v>37</v>
      </c>
      <c r="J2164">
        <v>479</v>
      </c>
      <c r="K2164" s="1" t="s">
        <v>17</v>
      </c>
      <c r="L2164" s="1" t="s">
        <v>18</v>
      </c>
      <c r="M2164" s="1" t="s">
        <v>4634</v>
      </c>
      <c r="N2164" s="1" t="s">
        <v>4635</v>
      </c>
    </row>
    <row r="2165" spans="1:14" x14ac:dyDescent="0.35">
      <c r="A2165">
        <v>8205033</v>
      </c>
      <c r="B2165" s="1" t="s">
        <v>4616</v>
      </c>
      <c r="C2165">
        <v>1391.7</v>
      </c>
      <c r="D2165">
        <v>44</v>
      </c>
      <c r="E2165" s="1" t="s">
        <v>4636</v>
      </c>
      <c r="F2165" s="1" t="s">
        <v>15</v>
      </c>
      <c r="G2165" s="1" t="s">
        <v>22</v>
      </c>
      <c r="H2165">
        <v>66</v>
      </c>
      <c r="I2165">
        <v>22</v>
      </c>
      <c r="J2165">
        <v>67</v>
      </c>
      <c r="K2165" s="1" t="s">
        <v>819</v>
      </c>
      <c r="L2165" s="1" t="s">
        <v>24</v>
      </c>
      <c r="M2165" s="1" t="s">
        <v>4634</v>
      </c>
      <c r="N2165" s="1" t="s">
        <v>4637</v>
      </c>
    </row>
    <row r="2166" spans="1:14" x14ac:dyDescent="0.35">
      <c r="A2166">
        <v>8203020</v>
      </c>
      <c r="B2166" s="1" t="s">
        <v>4616</v>
      </c>
      <c r="C2166">
        <v>1391.7</v>
      </c>
      <c r="D2166">
        <v>44</v>
      </c>
      <c r="E2166" s="1" t="s">
        <v>4638</v>
      </c>
      <c r="F2166" s="1" t="s">
        <v>15</v>
      </c>
      <c r="G2166" s="1" t="s">
        <v>22</v>
      </c>
      <c r="H2166">
        <v>73</v>
      </c>
      <c r="I2166">
        <v>27</v>
      </c>
      <c r="J2166">
        <v>135</v>
      </c>
      <c r="K2166" s="1" t="s">
        <v>17</v>
      </c>
      <c r="L2166" s="1" t="s">
        <v>24</v>
      </c>
      <c r="M2166" s="1" t="s">
        <v>4639</v>
      </c>
      <c r="N2166" s="1" t="s">
        <v>4640</v>
      </c>
    </row>
    <row r="2167" spans="1:14" x14ac:dyDescent="0.35">
      <c r="A2167">
        <v>8271070</v>
      </c>
      <c r="B2167" s="1" t="s">
        <v>4616</v>
      </c>
      <c r="C2167">
        <v>1391.7</v>
      </c>
      <c r="D2167">
        <v>44</v>
      </c>
      <c r="E2167" s="1" t="s">
        <v>4641</v>
      </c>
      <c r="F2167" s="1" t="s">
        <v>71</v>
      </c>
      <c r="G2167" s="1" t="s">
        <v>32</v>
      </c>
      <c r="H2167">
        <v>33</v>
      </c>
      <c r="I2167">
        <v>15</v>
      </c>
      <c r="K2167" s="1" t="s">
        <v>23</v>
      </c>
      <c r="L2167" s="1" t="s">
        <v>24</v>
      </c>
      <c r="M2167" s="1" t="s">
        <v>4642</v>
      </c>
      <c r="N2167" s="1" t="s">
        <v>4643</v>
      </c>
    </row>
    <row r="2168" spans="1:14" x14ac:dyDescent="0.35">
      <c r="A2168">
        <v>8271016</v>
      </c>
      <c r="B2168" s="1" t="s">
        <v>4616</v>
      </c>
      <c r="C2168">
        <v>1391.7</v>
      </c>
      <c r="D2168">
        <v>44</v>
      </c>
      <c r="E2168" s="1" t="s">
        <v>4644</v>
      </c>
      <c r="F2168" s="1" t="s">
        <v>15</v>
      </c>
      <c r="G2168" s="1" t="s">
        <v>16</v>
      </c>
      <c r="H2168">
        <v>292</v>
      </c>
      <c r="I2168">
        <v>95</v>
      </c>
      <c r="J2168">
        <v>752</v>
      </c>
      <c r="K2168" s="1" t="s">
        <v>124</v>
      </c>
      <c r="L2168" s="1" t="s">
        <v>18</v>
      </c>
      <c r="M2168" s="1" t="s">
        <v>4642</v>
      </c>
      <c r="N2168" s="1" t="s">
        <v>4645</v>
      </c>
    </row>
    <row r="2169" spans="1:14" x14ac:dyDescent="0.35">
      <c r="A2169">
        <v>8271069</v>
      </c>
      <c r="B2169" s="1" t="s">
        <v>4616</v>
      </c>
      <c r="C2169">
        <v>1391.7</v>
      </c>
      <c r="D2169">
        <v>44</v>
      </c>
      <c r="E2169" s="1" t="s">
        <v>4646</v>
      </c>
      <c r="F2169" s="1" t="s">
        <v>15</v>
      </c>
      <c r="G2169" s="1" t="s">
        <v>22</v>
      </c>
      <c r="H2169">
        <v>31</v>
      </c>
      <c r="I2169">
        <v>18</v>
      </c>
      <c r="K2169" s="1" t="s">
        <v>137</v>
      </c>
      <c r="L2169" s="1" t="s">
        <v>24</v>
      </c>
      <c r="M2169" s="1" t="s">
        <v>4642</v>
      </c>
      <c r="N2169" s="1" t="s">
        <v>4647</v>
      </c>
    </row>
    <row r="2170" spans="1:14" x14ac:dyDescent="0.35">
      <c r="A2170">
        <v>8271020</v>
      </c>
      <c r="B2170" s="1" t="s">
        <v>4616</v>
      </c>
      <c r="C2170">
        <v>1391.7</v>
      </c>
      <c r="D2170">
        <v>44</v>
      </c>
      <c r="E2170" s="1" t="s">
        <v>4648</v>
      </c>
      <c r="F2170" s="1" t="s">
        <v>15</v>
      </c>
      <c r="G2170" s="1" t="s">
        <v>22</v>
      </c>
      <c r="H2170">
        <v>52</v>
      </c>
      <c r="I2170">
        <v>14</v>
      </c>
      <c r="J2170">
        <v>79</v>
      </c>
      <c r="K2170" s="1" t="s">
        <v>27</v>
      </c>
      <c r="L2170" s="1" t="s">
        <v>24</v>
      </c>
      <c r="M2170" s="1" t="s">
        <v>4642</v>
      </c>
      <c r="N2170" s="1" t="s">
        <v>4649</v>
      </c>
    </row>
    <row r="2171" spans="1:14" x14ac:dyDescent="0.35">
      <c r="A2171">
        <v>8271058</v>
      </c>
      <c r="B2171" s="1" t="s">
        <v>4616</v>
      </c>
      <c r="C2171">
        <v>1391.7</v>
      </c>
      <c r="D2171">
        <v>44</v>
      </c>
      <c r="E2171" s="1" t="s">
        <v>4650</v>
      </c>
      <c r="F2171" s="1" t="s">
        <v>15</v>
      </c>
      <c r="G2171" s="1" t="s">
        <v>22</v>
      </c>
      <c r="H2171">
        <v>38</v>
      </c>
      <c r="I2171">
        <v>28</v>
      </c>
      <c r="K2171" s="1" t="s">
        <v>146</v>
      </c>
      <c r="L2171" s="1" t="s">
        <v>24</v>
      </c>
      <c r="M2171" s="1" t="s">
        <v>4642</v>
      </c>
      <c r="N2171" s="1" t="s">
        <v>4651</v>
      </c>
    </row>
    <row r="2172" spans="1:14" x14ac:dyDescent="0.35">
      <c r="A2172">
        <v>8271057</v>
      </c>
      <c r="B2172" s="1" t="s">
        <v>4616</v>
      </c>
      <c r="C2172">
        <v>1391.7</v>
      </c>
      <c r="D2172">
        <v>44</v>
      </c>
      <c r="E2172" s="1" t="s">
        <v>4652</v>
      </c>
      <c r="F2172" s="1" t="s">
        <v>15</v>
      </c>
      <c r="G2172" s="1" t="s">
        <v>22</v>
      </c>
      <c r="H2172">
        <v>58</v>
      </c>
      <c r="I2172">
        <v>21</v>
      </c>
      <c r="J2172">
        <v>54</v>
      </c>
      <c r="K2172" s="1" t="s">
        <v>84</v>
      </c>
      <c r="L2172" s="1" t="s">
        <v>24</v>
      </c>
      <c r="M2172" s="1" t="s">
        <v>4642</v>
      </c>
      <c r="N2172" s="1" t="s">
        <v>4653</v>
      </c>
    </row>
    <row r="2173" spans="1:14" x14ac:dyDescent="0.35">
      <c r="A2173">
        <v>8271031</v>
      </c>
      <c r="B2173" s="1" t="s">
        <v>4616</v>
      </c>
      <c r="C2173">
        <v>1391.7</v>
      </c>
      <c r="D2173">
        <v>44</v>
      </c>
      <c r="E2173" s="1" t="s">
        <v>4654</v>
      </c>
      <c r="F2173" s="1" t="s">
        <v>15</v>
      </c>
      <c r="G2173" s="1" t="s">
        <v>22</v>
      </c>
      <c r="H2173">
        <v>79</v>
      </c>
      <c r="I2173">
        <v>35</v>
      </c>
      <c r="J2173">
        <v>129</v>
      </c>
      <c r="K2173" s="1" t="s">
        <v>84</v>
      </c>
      <c r="L2173" s="1" t="s">
        <v>24</v>
      </c>
      <c r="M2173" s="1" t="s">
        <v>4642</v>
      </c>
      <c r="N2173" s="1" t="s">
        <v>4655</v>
      </c>
    </row>
    <row r="2174" spans="1:14" x14ac:dyDescent="0.35">
      <c r="A2174">
        <v>8271042</v>
      </c>
      <c r="B2174" s="1" t="s">
        <v>4616</v>
      </c>
      <c r="C2174">
        <v>1391.7</v>
      </c>
      <c r="D2174">
        <v>44</v>
      </c>
      <c r="E2174" s="1" t="s">
        <v>4656</v>
      </c>
      <c r="F2174" s="1" t="s">
        <v>15</v>
      </c>
      <c r="G2174" s="1" t="s">
        <v>22</v>
      </c>
      <c r="H2174">
        <v>44</v>
      </c>
      <c r="I2174">
        <v>24</v>
      </c>
      <c r="J2174">
        <v>56</v>
      </c>
      <c r="K2174" s="1" t="s">
        <v>84</v>
      </c>
      <c r="L2174" s="1" t="s">
        <v>24</v>
      </c>
      <c r="M2174" s="1" t="s">
        <v>4642</v>
      </c>
      <c r="N2174" s="1" t="s">
        <v>4657</v>
      </c>
    </row>
    <row r="2175" spans="1:14" x14ac:dyDescent="0.35">
      <c r="A2175">
        <v>8272004</v>
      </c>
      <c r="B2175" s="1" t="s">
        <v>4616</v>
      </c>
      <c r="C2175">
        <v>1391.7</v>
      </c>
      <c r="D2175">
        <v>44</v>
      </c>
      <c r="E2175" s="1" t="s">
        <v>4658</v>
      </c>
      <c r="F2175" s="1" t="s">
        <v>129</v>
      </c>
      <c r="G2175" s="1" t="s">
        <v>32</v>
      </c>
      <c r="H2175">
        <v>32</v>
      </c>
      <c r="I2175">
        <v>12</v>
      </c>
      <c r="J2175">
        <v>22</v>
      </c>
      <c r="K2175" s="1" t="s">
        <v>124</v>
      </c>
      <c r="L2175" s="1" t="s">
        <v>24</v>
      </c>
      <c r="M2175" s="1" t="s">
        <v>4659</v>
      </c>
      <c r="N2175" s="1" t="s">
        <v>4660</v>
      </c>
    </row>
    <row r="2176" spans="1:14" x14ac:dyDescent="0.35">
      <c r="A2176">
        <v>8202043</v>
      </c>
      <c r="B2176" s="1" t="s">
        <v>4616</v>
      </c>
      <c r="C2176">
        <v>1391.7</v>
      </c>
      <c r="D2176">
        <v>44</v>
      </c>
      <c r="E2176" s="1" t="s">
        <v>4661</v>
      </c>
      <c r="F2176" s="1" t="s">
        <v>15</v>
      </c>
      <c r="G2176" s="1" t="s">
        <v>32</v>
      </c>
      <c r="H2176">
        <v>151</v>
      </c>
      <c r="I2176">
        <v>56</v>
      </c>
      <c r="J2176">
        <v>515</v>
      </c>
      <c r="K2176" s="1" t="s">
        <v>137</v>
      </c>
      <c r="L2176" s="1" t="s">
        <v>18</v>
      </c>
      <c r="M2176" s="1" t="s">
        <v>4659</v>
      </c>
      <c r="N2176" s="1" t="s">
        <v>4662</v>
      </c>
    </row>
    <row r="2177" spans="1:14" x14ac:dyDescent="0.35">
      <c r="A2177">
        <v>8272003</v>
      </c>
      <c r="B2177" s="1" t="s">
        <v>4616</v>
      </c>
      <c r="C2177">
        <v>1391.7</v>
      </c>
      <c r="D2177">
        <v>44</v>
      </c>
      <c r="E2177" s="1" t="s">
        <v>4663</v>
      </c>
      <c r="F2177" s="1" t="s">
        <v>15</v>
      </c>
      <c r="G2177" s="1" t="s">
        <v>22</v>
      </c>
      <c r="H2177">
        <v>63</v>
      </c>
      <c r="I2177">
        <v>23</v>
      </c>
      <c r="J2177">
        <v>63</v>
      </c>
      <c r="K2177" s="1" t="s">
        <v>124</v>
      </c>
      <c r="L2177" s="1" t="s">
        <v>24</v>
      </c>
      <c r="M2177" s="1" t="s">
        <v>4659</v>
      </c>
      <c r="N2177" s="1" t="s">
        <v>4664</v>
      </c>
    </row>
    <row r="2178" spans="1:14" x14ac:dyDescent="0.35">
      <c r="A2178">
        <v>8205032</v>
      </c>
      <c r="B2178" s="1" t="s">
        <v>4616</v>
      </c>
      <c r="C2178">
        <v>1391.7</v>
      </c>
      <c r="D2178">
        <v>44</v>
      </c>
      <c r="E2178" s="1" t="s">
        <v>4665</v>
      </c>
      <c r="F2178" s="1" t="s">
        <v>15</v>
      </c>
      <c r="G2178" s="1" t="s">
        <v>32</v>
      </c>
      <c r="H2178">
        <v>163</v>
      </c>
      <c r="I2178">
        <v>31</v>
      </c>
      <c r="J2178">
        <v>147</v>
      </c>
      <c r="K2178" s="1" t="s">
        <v>17</v>
      </c>
      <c r="L2178" s="1" t="s">
        <v>24</v>
      </c>
      <c r="M2178" s="1" t="s">
        <v>4666</v>
      </c>
      <c r="N2178" s="1" t="s">
        <v>4667</v>
      </c>
    </row>
    <row r="2179" spans="1:14" x14ac:dyDescent="0.35">
      <c r="A2179">
        <v>8208001</v>
      </c>
      <c r="B2179" s="1" t="s">
        <v>4616</v>
      </c>
      <c r="C2179">
        <v>1391.7</v>
      </c>
      <c r="D2179">
        <v>44</v>
      </c>
      <c r="E2179" s="1" t="s">
        <v>4668</v>
      </c>
      <c r="F2179" s="1" t="s">
        <v>15</v>
      </c>
      <c r="G2179" s="1" t="s">
        <v>52</v>
      </c>
      <c r="H2179">
        <v>31</v>
      </c>
      <c r="I2179">
        <v>12</v>
      </c>
      <c r="J2179">
        <v>72</v>
      </c>
      <c r="K2179" s="1" t="s">
        <v>17</v>
      </c>
      <c r="L2179" s="1" t="s">
        <v>24</v>
      </c>
      <c r="M2179" s="1" t="s">
        <v>4669</v>
      </c>
      <c r="N2179" s="1" t="s">
        <v>4670</v>
      </c>
    </row>
    <row r="2180" spans="1:14" x14ac:dyDescent="0.35">
      <c r="A2180">
        <v>5206015</v>
      </c>
      <c r="B2180" s="1" t="s">
        <v>4671</v>
      </c>
      <c r="C2180">
        <v>5815.3</v>
      </c>
      <c r="D2180">
        <v>296</v>
      </c>
      <c r="E2180" s="1" t="s">
        <v>4672</v>
      </c>
      <c r="F2180" s="1" t="s">
        <v>15</v>
      </c>
      <c r="G2180" s="1" t="s">
        <v>32</v>
      </c>
      <c r="H2180">
        <v>234</v>
      </c>
      <c r="I2180">
        <v>29</v>
      </c>
      <c r="J2180">
        <v>675</v>
      </c>
      <c r="K2180" s="1" t="s">
        <v>17</v>
      </c>
      <c r="L2180" s="1" t="s">
        <v>18</v>
      </c>
      <c r="M2180" s="1" t="s">
        <v>4673</v>
      </c>
      <c r="N2180" s="1" t="s">
        <v>4674</v>
      </c>
    </row>
    <row r="2181" spans="1:14" x14ac:dyDescent="0.35">
      <c r="A2181">
        <v>5206029</v>
      </c>
      <c r="B2181" s="1" t="s">
        <v>4671</v>
      </c>
      <c r="C2181">
        <v>5815.3</v>
      </c>
      <c r="D2181">
        <v>296</v>
      </c>
      <c r="E2181" s="1" t="s">
        <v>4675</v>
      </c>
      <c r="F2181" s="1" t="s">
        <v>15</v>
      </c>
      <c r="G2181" s="1" t="s">
        <v>22</v>
      </c>
      <c r="H2181">
        <v>101</v>
      </c>
      <c r="I2181">
        <v>25</v>
      </c>
      <c r="J2181">
        <v>67</v>
      </c>
      <c r="K2181" s="1" t="s">
        <v>17</v>
      </c>
      <c r="L2181" s="1" t="s">
        <v>18</v>
      </c>
      <c r="M2181" s="1" t="s">
        <v>4673</v>
      </c>
      <c r="N2181" s="1" t="s">
        <v>4676</v>
      </c>
    </row>
    <row r="2182" spans="1:14" x14ac:dyDescent="0.35">
      <c r="A2182">
        <v>5205014</v>
      </c>
      <c r="B2182" s="1" t="s">
        <v>4671</v>
      </c>
      <c r="C2182">
        <v>5815.3</v>
      </c>
      <c r="D2182">
        <v>296</v>
      </c>
      <c r="E2182" s="1" t="s">
        <v>4677</v>
      </c>
      <c r="F2182" s="1" t="s">
        <v>15</v>
      </c>
      <c r="G2182" s="1" t="s">
        <v>32</v>
      </c>
      <c r="H2182">
        <v>261</v>
      </c>
      <c r="I2182">
        <v>29</v>
      </c>
      <c r="J2182">
        <v>742</v>
      </c>
      <c r="K2182" s="1" t="s">
        <v>17</v>
      </c>
      <c r="L2182" s="1" t="s">
        <v>24</v>
      </c>
      <c r="M2182" s="1" t="s">
        <v>4678</v>
      </c>
      <c r="N2182" s="1" t="s">
        <v>4679</v>
      </c>
    </row>
    <row r="2183" spans="1:14" x14ac:dyDescent="0.35">
      <c r="A2183">
        <v>5205016</v>
      </c>
      <c r="B2183" s="1" t="s">
        <v>4671</v>
      </c>
      <c r="C2183">
        <v>5815.3</v>
      </c>
      <c r="D2183">
        <v>296</v>
      </c>
      <c r="E2183" s="1" t="s">
        <v>4680</v>
      </c>
      <c r="F2183" s="1" t="s">
        <v>15</v>
      </c>
      <c r="G2183" s="1" t="s">
        <v>22</v>
      </c>
      <c r="H2183">
        <v>51</v>
      </c>
      <c r="I2183">
        <v>23</v>
      </c>
      <c r="J2183">
        <v>74</v>
      </c>
      <c r="K2183" s="1" t="s">
        <v>17</v>
      </c>
      <c r="L2183" s="1" t="s">
        <v>24</v>
      </c>
      <c r="M2183" s="1" t="s">
        <v>4678</v>
      </c>
      <c r="N2183" s="1" t="s">
        <v>4681</v>
      </c>
    </row>
    <row r="2184" spans="1:14" x14ac:dyDescent="0.35">
      <c r="A2184">
        <v>5206028</v>
      </c>
      <c r="B2184" s="1" t="s">
        <v>4671</v>
      </c>
      <c r="C2184">
        <v>5815.3</v>
      </c>
      <c r="D2184">
        <v>296</v>
      </c>
      <c r="E2184" s="1" t="s">
        <v>4682</v>
      </c>
      <c r="F2184" s="1" t="s">
        <v>15</v>
      </c>
      <c r="G2184" s="1" t="s">
        <v>22</v>
      </c>
      <c r="H2184">
        <v>94</v>
      </c>
      <c r="I2184">
        <v>22</v>
      </c>
      <c r="J2184">
        <v>114</v>
      </c>
      <c r="K2184" s="1" t="s">
        <v>444</v>
      </c>
      <c r="L2184" s="1" t="s">
        <v>24</v>
      </c>
      <c r="M2184" s="1" t="s">
        <v>4683</v>
      </c>
      <c r="N2184" s="1" t="s">
        <v>4684</v>
      </c>
    </row>
    <row r="2185" spans="1:14" x14ac:dyDescent="0.35">
      <c r="A2185">
        <v>5272016</v>
      </c>
      <c r="B2185" s="1" t="s">
        <v>4671</v>
      </c>
      <c r="C2185">
        <v>5815.3</v>
      </c>
      <c r="D2185">
        <v>296</v>
      </c>
      <c r="E2185" s="1" t="s">
        <v>4685</v>
      </c>
      <c r="F2185" s="1" t="s">
        <v>15</v>
      </c>
      <c r="G2185" s="1" t="s">
        <v>22</v>
      </c>
      <c r="H2185">
        <v>30</v>
      </c>
      <c r="I2185">
        <v>13</v>
      </c>
      <c r="K2185" s="1" t="s">
        <v>27</v>
      </c>
      <c r="L2185" s="1" t="s">
        <v>24</v>
      </c>
      <c r="M2185" s="1" t="s">
        <v>4683</v>
      </c>
      <c r="N2185" s="1" t="s">
        <v>4686</v>
      </c>
    </row>
    <row r="2186" spans="1:14" x14ac:dyDescent="0.35">
      <c r="A2186">
        <v>5272005</v>
      </c>
      <c r="B2186" s="1" t="s">
        <v>4671</v>
      </c>
      <c r="C2186">
        <v>5815.3</v>
      </c>
      <c r="D2186">
        <v>296</v>
      </c>
      <c r="E2186" s="1" t="s">
        <v>4687</v>
      </c>
      <c r="F2186" s="1" t="s">
        <v>15</v>
      </c>
      <c r="G2186" s="1" t="s">
        <v>22</v>
      </c>
      <c r="H2186">
        <v>101</v>
      </c>
      <c r="I2186">
        <v>19</v>
      </c>
      <c r="J2186">
        <v>324</v>
      </c>
      <c r="K2186" s="1" t="s">
        <v>137</v>
      </c>
      <c r="L2186" s="1" t="s">
        <v>18</v>
      </c>
      <c r="M2186" s="1" t="s">
        <v>4683</v>
      </c>
      <c r="N2186" s="1" t="s">
        <v>4688</v>
      </c>
    </row>
    <row r="2187" spans="1:14" x14ac:dyDescent="0.35">
      <c r="A2187">
        <v>5206030</v>
      </c>
      <c r="B2187" s="1" t="s">
        <v>4671</v>
      </c>
      <c r="C2187">
        <v>5815.3</v>
      </c>
      <c r="D2187">
        <v>296</v>
      </c>
      <c r="E2187" s="1" t="s">
        <v>4689</v>
      </c>
      <c r="F2187" s="1" t="s">
        <v>15</v>
      </c>
      <c r="G2187" s="1" t="s">
        <v>22</v>
      </c>
      <c r="H2187">
        <v>74</v>
      </c>
      <c r="I2187">
        <v>29</v>
      </c>
      <c r="J2187">
        <v>99</v>
      </c>
      <c r="K2187" s="1" t="s">
        <v>90</v>
      </c>
      <c r="L2187" s="1" t="s">
        <v>24</v>
      </c>
      <c r="M2187" s="1" t="s">
        <v>4683</v>
      </c>
      <c r="N2187" s="1" t="s">
        <v>4690</v>
      </c>
    </row>
    <row r="2188" spans="1:14" x14ac:dyDescent="0.35">
      <c r="A2188">
        <v>5271102</v>
      </c>
      <c r="B2188" s="1" t="s">
        <v>4671</v>
      </c>
      <c r="C2188">
        <v>5815.3</v>
      </c>
      <c r="D2188">
        <v>296</v>
      </c>
      <c r="E2188" s="1" t="s">
        <v>4691</v>
      </c>
      <c r="F2188" s="1" t="s">
        <v>71</v>
      </c>
      <c r="G2188" s="1" t="s">
        <v>32</v>
      </c>
      <c r="H2188">
        <v>22</v>
      </c>
      <c r="I2188">
        <v>17</v>
      </c>
      <c r="J2188">
        <v>27</v>
      </c>
      <c r="K2188" s="1" t="s">
        <v>95</v>
      </c>
      <c r="L2188" s="1" t="s">
        <v>24</v>
      </c>
      <c r="M2188" s="1" t="s">
        <v>4692</v>
      </c>
      <c r="N2188" s="1" t="s">
        <v>4693</v>
      </c>
    </row>
    <row r="2189" spans="1:14" x14ac:dyDescent="0.35">
      <c r="A2189">
        <v>5271099</v>
      </c>
      <c r="B2189" s="1" t="s">
        <v>4671</v>
      </c>
      <c r="C2189">
        <v>5815.3</v>
      </c>
      <c r="D2189">
        <v>296</v>
      </c>
      <c r="E2189" s="1" t="s">
        <v>2594</v>
      </c>
      <c r="F2189" s="1" t="s">
        <v>71</v>
      </c>
      <c r="G2189" s="1" t="s">
        <v>32</v>
      </c>
      <c r="H2189">
        <v>56</v>
      </c>
      <c r="I2189">
        <v>18</v>
      </c>
      <c r="J2189">
        <v>211</v>
      </c>
      <c r="K2189" s="1" t="s">
        <v>90</v>
      </c>
      <c r="L2189" s="1" t="s">
        <v>24</v>
      </c>
      <c r="M2189" s="1" t="s">
        <v>4692</v>
      </c>
      <c r="N2189" s="1" t="s">
        <v>4694</v>
      </c>
    </row>
    <row r="2190" spans="1:14" x14ac:dyDescent="0.35">
      <c r="A2190">
        <v>5271054</v>
      </c>
      <c r="B2190" s="1" t="s">
        <v>4671</v>
      </c>
      <c r="C2190">
        <v>5815.3</v>
      </c>
      <c r="D2190">
        <v>296</v>
      </c>
      <c r="E2190" s="1" t="s">
        <v>4695</v>
      </c>
      <c r="F2190" s="1" t="s">
        <v>129</v>
      </c>
      <c r="G2190" s="1" t="s">
        <v>16</v>
      </c>
      <c r="H2190">
        <v>111</v>
      </c>
      <c r="I2190">
        <v>34</v>
      </c>
      <c r="J2190">
        <v>329</v>
      </c>
      <c r="K2190" s="1" t="s">
        <v>124</v>
      </c>
      <c r="L2190" s="1" t="s">
        <v>18</v>
      </c>
      <c r="M2190" s="1" t="s">
        <v>4692</v>
      </c>
      <c r="N2190" s="1" t="s">
        <v>4696</v>
      </c>
    </row>
    <row r="2191" spans="1:14" x14ac:dyDescent="0.35">
      <c r="A2191">
        <v>5271103</v>
      </c>
      <c r="B2191" s="1" t="s">
        <v>4671</v>
      </c>
      <c r="C2191">
        <v>5815.3</v>
      </c>
      <c r="D2191">
        <v>296</v>
      </c>
      <c r="E2191" s="1" t="s">
        <v>4697</v>
      </c>
      <c r="F2191" s="1" t="s">
        <v>334</v>
      </c>
      <c r="G2191" s="1" t="s">
        <v>32</v>
      </c>
      <c r="H2191">
        <v>27</v>
      </c>
      <c r="I2191">
        <v>10</v>
      </c>
      <c r="J2191">
        <v>30</v>
      </c>
      <c r="K2191" s="1" t="s">
        <v>124</v>
      </c>
      <c r="L2191" s="1" t="s">
        <v>24</v>
      </c>
      <c r="M2191" s="1" t="s">
        <v>4692</v>
      </c>
      <c r="N2191" s="1" t="s">
        <v>4698</v>
      </c>
    </row>
    <row r="2192" spans="1:14" x14ac:dyDescent="0.35">
      <c r="A2192">
        <v>5271010</v>
      </c>
      <c r="B2192" s="1" t="s">
        <v>4671</v>
      </c>
      <c r="C2192">
        <v>5815.3</v>
      </c>
      <c r="D2192">
        <v>296</v>
      </c>
      <c r="E2192" s="1" t="s">
        <v>4699</v>
      </c>
      <c r="F2192" s="1" t="s">
        <v>15</v>
      </c>
      <c r="G2192" s="1" t="s">
        <v>130</v>
      </c>
      <c r="H2192">
        <v>763</v>
      </c>
      <c r="I2192">
        <v>105</v>
      </c>
      <c r="J2192">
        <v>1274</v>
      </c>
      <c r="K2192" s="1" t="s">
        <v>124</v>
      </c>
      <c r="L2192" s="1" t="s">
        <v>18</v>
      </c>
      <c r="M2192" s="1" t="s">
        <v>4692</v>
      </c>
      <c r="N2192" s="1" t="s">
        <v>4700</v>
      </c>
    </row>
    <row r="2193" spans="1:14" x14ac:dyDescent="0.35">
      <c r="A2193">
        <v>5271087</v>
      </c>
      <c r="B2193" s="1" t="s">
        <v>4671</v>
      </c>
      <c r="C2193">
        <v>5815.3</v>
      </c>
      <c r="D2193">
        <v>296</v>
      </c>
      <c r="E2193" s="1" t="s">
        <v>4701</v>
      </c>
      <c r="F2193" s="1" t="s">
        <v>15</v>
      </c>
      <c r="G2193" s="1" t="s">
        <v>16</v>
      </c>
      <c r="H2193">
        <v>355</v>
      </c>
      <c r="I2193">
        <v>138</v>
      </c>
      <c r="J2193">
        <v>1070</v>
      </c>
      <c r="K2193" s="1" t="s">
        <v>137</v>
      </c>
      <c r="L2193" s="1" t="s">
        <v>18</v>
      </c>
      <c r="M2193" s="1" t="s">
        <v>4692</v>
      </c>
      <c r="N2193" s="1" t="s">
        <v>4702</v>
      </c>
    </row>
    <row r="2194" spans="1:14" x14ac:dyDescent="0.35">
      <c r="A2194">
        <v>5271104</v>
      </c>
      <c r="B2194" s="1" t="s">
        <v>4671</v>
      </c>
      <c r="C2194">
        <v>5815.3</v>
      </c>
      <c r="D2194">
        <v>296</v>
      </c>
      <c r="E2194" s="1" t="s">
        <v>4703</v>
      </c>
      <c r="F2194" s="1" t="s">
        <v>15</v>
      </c>
      <c r="G2194" s="1" t="s">
        <v>32</v>
      </c>
      <c r="H2194">
        <v>107</v>
      </c>
      <c r="I2194">
        <v>42</v>
      </c>
      <c r="J2194">
        <v>74</v>
      </c>
      <c r="K2194" s="1" t="s">
        <v>23</v>
      </c>
      <c r="L2194" s="1" t="s">
        <v>24</v>
      </c>
      <c r="M2194" s="1" t="s">
        <v>4692</v>
      </c>
      <c r="N2194" s="1" t="s">
        <v>4704</v>
      </c>
    </row>
    <row r="2195" spans="1:14" x14ac:dyDescent="0.35">
      <c r="A2195">
        <v>5271101</v>
      </c>
      <c r="B2195" s="1" t="s">
        <v>4671</v>
      </c>
      <c r="C2195">
        <v>5815.3</v>
      </c>
      <c r="D2195">
        <v>296</v>
      </c>
      <c r="E2195" s="1" t="s">
        <v>4705</v>
      </c>
      <c r="F2195" s="1" t="s">
        <v>15</v>
      </c>
      <c r="G2195" s="1" t="s">
        <v>32</v>
      </c>
      <c r="H2195">
        <v>52</v>
      </c>
      <c r="I2195">
        <v>61</v>
      </c>
      <c r="J2195">
        <v>135</v>
      </c>
      <c r="K2195" s="1" t="s">
        <v>23</v>
      </c>
      <c r="L2195" s="1" t="s">
        <v>24</v>
      </c>
      <c r="M2195" s="1" t="s">
        <v>4692</v>
      </c>
      <c r="N2195" s="1" t="s">
        <v>4706</v>
      </c>
    </row>
    <row r="2196" spans="1:14" x14ac:dyDescent="0.35">
      <c r="A2196">
        <v>5271100</v>
      </c>
      <c r="B2196" s="1" t="s">
        <v>4671</v>
      </c>
      <c r="C2196">
        <v>5815.3</v>
      </c>
      <c r="D2196">
        <v>296</v>
      </c>
      <c r="E2196" s="1" t="s">
        <v>4707</v>
      </c>
      <c r="F2196" s="1" t="s">
        <v>15</v>
      </c>
      <c r="G2196" s="1" t="s">
        <v>32</v>
      </c>
      <c r="H2196">
        <v>40</v>
      </c>
      <c r="I2196">
        <v>56</v>
      </c>
      <c r="J2196">
        <v>208</v>
      </c>
      <c r="K2196" s="1" t="s">
        <v>90</v>
      </c>
      <c r="L2196" s="1" t="s">
        <v>24</v>
      </c>
      <c r="M2196" s="1" t="s">
        <v>4692</v>
      </c>
      <c r="N2196" s="1" t="s">
        <v>4708</v>
      </c>
    </row>
    <row r="2197" spans="1:14" x14ac:dyDescent="0.35">
      <c r="A2197">
        <v>5271076</v>
      </c>
      <c r="B2197" s="1" t="s">
        <v>4671</v>
      </c>
      <c r="C2197">
        <v>5815.3</v>
      </c>
      <c r="D2197">
        <v>296</v>
      </c>
      <c r="E2197" s="1" t="s">
        <v>4709</v>
      </c>
      <c r="F2197" s="1" t="s">
        <v>15</v>
      </c>
      <c r="G2197" s="1" t="s">
        <v>32</v>
      </c>
      <c r="H2197">
        <v>71</v>
      </c>
      <c r="I2197">
        <v>70</v>
      </c>
      <c r="J2197">
        <v>298</v>
      </c>
      <c r="K2197" s="1" t="s">
        <v>23</v>
      </c>
      <c r="L2197" s="1" t="s">
        <v>24</v>
      </c>
      <c r="M2197" s="1" t="s">
        <v>4692</v>
      </c>
      <c r="N2197" s="1" t="s">
        <v>4710</v>
      </c>
    </row>
    <row r="2198" spans="1:14" x14ac:dyDescent="0.35">
      <c r="A2198">
        <v>5271032</v>
      </c>
      <c r="B2198" s="1" t="s">
        <v>4671</v>
      </c>
      <c r="C2198">
        <v>5815.3</v>
      </c>
      <c r="D2198">
        <v>296</v>
      </c>
      <c r="E2198" s="1" t="s">
        <v>4711</v>
      </c>
      <c r="F2198" s="1" t="s">
        <v>15</v>
      </c>
      <c r="G2198" s="1" t="s">
        <v>32</v>
      </c>
      <c r="H2198">
        <v>106</v>
      </c>
      <c r="I2198">
        <v>32</v>
      </c>
      <c r="J2198">
        <v>329</v>
      </c>
      <c r="K2198" s="1" t="s">
        <v>444</v>
      </c>
      <c r="L2198" s="1" t="s">
        <v>24</v>
      </c>
      <c r="M2198" s="1" t="s">
        <v>4692</v>
      </c>
      <c r="N2198" s="1" t="s">
        <v>4712</v>
      </c>
    </row>
    <row r="2199" spans="1:14" x14ac:dyDescent="0.35">
      <c r="A2199">
        <v>5271065</v>
      </c>
      <c r="B2199" s="1" t="s">
        <v>4671</v>
      </c>
      <c r="C2199">
        <v>5815.3</v>
      </c>
      <c r="D2199">
        <v>296</v>
      </c>
      <c r="E2199" s="1" t="s">
        <v>4713</v>
      </c>
      <c r="F2199" s="1" t="s">
        <v>15</v>
      </c>
      <c r="G2199" s="1" t="s">
        <v>32</v>
      </c>
      <c r="H2199">
        <v>105</v>
      </c>
      <c r="I2199">
        <v>23</v>
      </c>
      <c r="J2199">
        <v>235</v>
      </c>
      <c r="K2199" s="1" t="s">
        <v>146</v>
      </c>
      <c r="L2199" s="1" t="s">
        <v>24</v>
      </c>
      <c r="M2199" s="1" t="s">
        <v>4692</v>
      </c>
      <c r="N2199" s="1" t="s">
        <v>4714</v>
      </c>
    </row>
    <row r="2200" spans="1:14" x14ac:dyDescent="0.35">
      <c r="A2200">
        <v>5272003</v>
      </c>
      <c r="B2200" s="1" t="s">
        <v>4671</v>
      </c>
      <c r="C2200">
        <v>5815.3</v>
      </c>
      <c r="D2200">
        <v>296</v>
      </c>
      <c r="E2200" s="1" t="s">
        <v>4715</v>
      </c>
      <c r="F2200" s="1" t="s">
        <v>15</v>
      </c>
      <c r="G2200" s="1" t="s">
        <v>32</v>
      </c>
      <c r="H2200">
        <v>120</v>
      </c>
      <c r="I2200">
        <v>59</v>
      </c>
      <c r="J2200">
        <v>256</v>
      </c>
      <c r="K2200" s="1" t="s">
        <v>90</v>
      </c>
      <c r="L2200" s="1" t="s">
        <v>24</v>
      </c>
      <c r="M2200" s="1" t="s">
        <v>4692</v>
      </c>
      <c r="N2200" s="1" t="s">
        <v>4716</v>
      </c>
    </row>
    <row r="2201" spans="1:14" x14ac:dyDescent="0.35">
      <c r="A2201">
        <v>5271021</v>
      </c>
      <c r="B2201" s="1" t="s">
        <v>4671</v>
      </c>
      <c r="C2201">
        <v>5815.3</v>
      </c>
      <c r="D2201">
        <v>296</v>
      </c>
      <c r="E2201" s="1" t="s">
        <v>4717</v>
      </c>
      <c r="F2201" s="1" t="s">
        <v>15</v>
      </c>
      <c r="G2201" s="1" t="s">
        <v>22</v>
      </c>
      <c r="H2201">
        <v>64</v>
      </c>
      <c r="I2201">
        <v>28</v>
      </c>
      <c r="J2201">
        <v>162</v>
      </c>
      <c r="K2201" s="1" t="s">
        <v>27</v>
      </c>
      <c r="L2201" s="1" t="s">
        <v>24</v>
      </c>
      <c r="M2201" s="1" t="s">
        <v>4692</v>
      </c>
      <c r="N2201" s="1" t="s">
        <v>4718</v>
      </c>
    </row>
    <row r="2202" spans="1:14" x14ac:dyDescent="0.35">
      <c r="A2202">
        <v>5271098</v>
      </c>
      <c r="B2202" s="1" t="s">
        <v>4671</v>
      </c>
      <c r="C2202">
        <v>5815.3</v>
      </c>
      <c r="D2202">
        <v>296</v>
      </c>
      <c r="E2202" s="1" t="s">
        <v>4719</v>
      </c>
      <c r="F2202" s="1" t="s">
        <v>15</v>
      </c>
      <c r="G2202" s="1" t="s">
        <v>22</v>
      </c>
      <c r="H2202">
        <v>61</v>
      </c>
      <c r="I2202">
        <v>33</v>
      </c>
      <c r="J2202">
        <v>131</v>
      </c>
      <c r="K2202" s="1" t="s">
        <v>23</v>
      </c>
      <c r="L2202" s="1" t="s">
        <v>24</v>
      </c>
      <c r="M2202" s="1" t="s">
        <v>4692</v>
      </c>
      <c r="N2202" s="1" t="s">
        <v>4720</v>
      </c>
    </row>
    <row r="2203" spans="1:14" x14ac:dyDescent="0.35">
      <c r="A2203">
        <v>5271043</v>
      </c>
      <c r="B2203" s="1" t="s">
        <v>4671</v>
      </c>
      <c r="C2203">
        <v>5815.3</v>
      </c>
      <c r="D2203">
        <v>296</v>
      </c>
      <c r="E2203" s="1" t="s">
        <v>4721</v>
      </c>
      <c r="F2203" s="1" t="s">
        <v>15</v>
      </c>
      <c r="G2203" s="1" t="s">
        <v>22</v>
      </c>
      <c r="H2203">
        <v>50</v>
      </c>
      <c r="I2203">
        <v>18</v>
      </c>
      <c r="J2203">
        <v>64</v>
      </c>
      <c r="K2203" s="1" t="s">
        <v>572</v>
      </c>
      <c r="L2203" s="1" t="s">
        <v>24</v>
      </c>
      <c r="M2203" s="1" t="s">
        <v>4692</v>
      </c>
      <c r="N2203" s="1" t="s">
        <v>4722</v>
      </c>
    </row>
    <row r="2204" spans="1:14" x14ac:dyDescent="0.35">
      <c r="A2204">
        <v>5201010</v>
      </c>
      <c r="B2204" s="1" t="s">
        <v>4671</v>
      </c>
      <c r="C2204">
        <v>5815.3</v>
      </c>
      <c r="D2204">
        <v>296</v>
      </c>
      <c r="E2204" s="1" t="s">
        <v>4723</v>
      </c>
      <c r="F2204" s="1" t="s">
        <v>15</v>
      </c>
      <c r="G2204" s="1" t="s">
        <v>16</v>
      </c>
      <c r="H2204">
        <v>234</v>
      </c>
      <c r="I2204">
        <v>56</v>
      </c>
      <c r="J2204">
        <v>490</v>
      </c>
      <c r="K2204" s="1" t="s">
        <v>17</v>
      </c>
      <c r="L2204" s="1" t="s">
        <v>18</v>
      </c>
      <c r="M2204" s="1" t="s">
        <v>4724</v>
      </c>
      <c r="N2204" s="1" t="s">
        <v>4725</v>
      </c>
    </row>
    <row r="2205" spans="1:14" x14ac:dyDescent="0.35">
      <c r="A2205">
        <v>5201012</v>
      </c>
      <c r="B2205" s="1" t="s">
        <v>4671</v>
      </c>
      <c r="C2205">
        <v>5815.3</v>
      </c>
      <c r="D2205">
        <v>296</v>
      </c>
      <c r="E2205" s="1" t="s">
        <v>4726</v>
      </c>
      <c r="F2205" s="1" t="s">
        <v>15</v>
      </c>
      <c r="G2205" s="1" t="s">
        <v>32</v>
      </c>
      <c r="H2205">
        <v>103</v>
      </c>
      <c r="I2205">
        <v>51</v>
      </c>
      <c r="J2205">
        <v>302</v>
      </c>
      <c r="K2205" s="1" t="s">
        <v>17</v>
      </c>
      <c r="L2205" s="1" t="s">
        <v>18</v>
      </c>
      <c r="M2205" s="1" t="s">
        <v>4724</v>
      </c>
      <c r="N2205" s="1" t="s">
        <v>4727</v>
      </c>
    </row>
    <row r="2206" spans="1:14" x14ac:dyDescent="0.35">
      <c r="A2206">
        <v>5202023</v>
      </c>
      <c r="B2206" s="1" t="s">
        <v>4671</v>
      </c>
      <c r="C2206">
        <v>5815.3</v>
      </c>
      <c r="D2206">
        <v>296</v>
      </c>
      <c r="E2206" s="1" t="s">
        <v>4728</v>
      </c>
      <c r="F2206" s="1" t="s">
        <v>71</v>
      </c>
      <c r="G2206" s="1" t="s">
        <v>32</v>
      </c>
      <c r="H2206">
        <v>25</v>
      </c>
      <c r="I2206">
        <v>18</v>
      </c>
      <c r="J2206">
        <v>15</v>
      </c>
      <c r="K2206" s="1" t="s">
        <v>84</v>
      </c>
      <c r="L2206" s="1" t="s">
        <v>24</v>
      </c>
      <c r="M2206" s="1" t="s">
        <v>4729</v>
      </c>
      <c r="N2206" s="1" t="s">
        <v>4730</v>
      </c>
    </row>
    <row r="2207" spans="1:14" x14ac:dyDescent="0.35">
      <c r="A2207">
        <v>5202035</v>
      </c>
      <c r="B2207" s="1" t="s">
        <v>4671</v>
      </c>
      <c r="C2207">
        <v>5815.3</v>
      </c>
      <c r="D2207">
        <v>296</v>
      </c>
      <c r="E2207" s="1" t="s">
        <v>4731</v>
      </c>
      <c r="F2207" s="1" t="s">
        <v>15</v>
      </c>
      <c r="G2207" s="1" t="s">
        <v>32</v>
      </c>
      <c r="H2207">
        <v>74</v>
      </c>
      <c r="I2207">
        <v>47</v>
      </c>
      <c r="J2207">
        <v>35</v>
      </c>
      <c r="K2207" s="1" t="s">
        <v>124</v>
      </c>
      <c r="L2207" s="1" t="s">
        <v>18</v>
      </c>
      <c r="M2207" s="1" t="s">
        <v>4729</v>
      </c>
      <c r="N2207" s="1" t="s">
        <v>4732</v>
      </c>
    </row>
    <row r="2208" spans="1:14" x14ac:dyDescent="0.35">
      <c r="A2208">
        <v>5202011</v>
      </c>
      <c r="B2208" s="1" t="s">
        <v>4671</v>
      </c>
      <c r="C2208">
        <v>5815.3</v>
      </c>
      <c r="D2208">
        <v>296</v>
      </c>
      <c r="E2208" s="1" t="s">
        <v>4733</v>
      </c>
      <c r="F2208" s="1" t="s">
        <v>15</v>
      </c>
      <c r="G2208" s="1" t="s">
        <v>32</v>
      </c>
      <c r="H2208">
        <v>240</v>
      </c>
      <c r="I2208">
        <v>138</v>
      </c>
      <c r="J2208">
        <v>760</v>
      </c>
      <c r="K2208" s="1" t="s">
        <v>17</v>
      </c>
      <c r="L2208" s="1" t="s">
        <v>18</v>
      </c>
      <c r="M2208" s="1" t="s">
        <v>4729</v>
      </c>
      <c r="N2208" s="1" t="s">
        <v>4734</v>
      </c>
    </row>
    <row r="2209" spans="1:14" x14ac:dyDescent="0.35">
      <c r="A2209">
        <v>5202022</v>
      </c>
      <c r="B2209" s="1" t="s">
        <v>4671</v>
      </c>
      <c r="C2209">
        <v>5815.3</v>
      </c>
      <c r="D2209">
        <v>296</v>
      </c>
      <c r="E2209" s="1" t="s">
        <v>4735</v>
      </c>
      <c r="F2209" s="1" t="s">
        <v>15</v>
      </c>
      <c r="G2209" s="1" t="s">
        <v>22</v>
      </c>
      <c r="H2209">
        <v>83</v>
      </c>
      <c r="I2209">
        <v>35</v>
      </c>
      <c r="J2209">
        <v>331</v>
      </c>
      <c r="K2209" s="1" t="s">
        <v>23</v>
      </c>
      <c r="L2209" s="1" t="s">
        <v>24</v>
      </c>
      <c r="M2209" s="1" t="s">
        <v>4729</v>
      </c>
      <c r="N2209" s="1" t="s">
        <v>4736</v>
      </c>
    </row>
    <row r="2210" spans="1:14" x14ac:dyDescent="0.35">
      <c r="A2210">
        <v>5202024</v>
      </c>
      <c r="B2210" s="1" t="s">
        <v>4671</v>
      </c>
      <c r="C2210">
        <v>5815.3</v>
      </c>
      <c r="D2210">
        <v>296</v>
      </c>
      <c r="E2210" s="1" t="s">
        <v>1405</v>
      </c>
      <c r="F2210" s="1" t="s">
        <v>15</v>
      </c>
      <c r="G2210" s="1" t="s">
        <v>22</v>
      </c>
      <c r="H2210">
        <v>58</v>
      </c>
      <c r="I2210">
        <v>25</v>
      </c>
      <c r="J2210">
        <v>65</v>
      </c>
      <c r="K2210" s="1" t="s">
        <v>90</v>
      </c>
      <c r="L2210" s="1" t="s">
        <v>24</v>
      </c>
      <c r="M2210" s="1" t="s">
        <v>4729</v>
      </c>
      <c r="N2210" s="1" t="s">
        <v>4737</v>
      </c>
    </row>
    <row r="2211" spans="1:14" x14ac:dyDescent="0.35">
      <c r="A2211">
        <v>5202036</v>
      </c>
      <c r="B2211" s="1" t="s">
        <v>4671</v>
      </c>
      <c r="C2211">
        <v>5815.3</v>
      </c>
      <c r="D2211">
        <v>296</v>
      </c>
      <c r="E2211" s="1" t="s">
        <v>4738</v>
      </c>
      <c r="F2211" s="1" t="s">
        <v>15</v>
      </c>
      <c r="G2211" s="1" t="s">
        <v>22</v>
      </c>
      <c r="H2211">
        <v>48</v>
      </c>
      <c r="I2211">
        <v>14</v>
      </c>
      <c r="K2211" s="1" t="s">
        <v>90</v>
      </c>
      <c r="L2211" s="1" t="s">
        <v>24</v>
      </c>
      <c r="M2211" s="1" t="s">
        <v>4729</v>
      </c>
      <c r="N2211" s="1" t="s">
        <v>4739</v>
      </c>
    </row>
    <row r="2212" spans="1:14" x14ac:dyDescent="0.35">
      <c r="A2212">
        <v>5203042</v>
      </c>
      <c r="B2212" s="1" t="s">
        <v>4671</v>
      </c>
      <c r="C2212">
        <v>5815.3</v>
      </c>
      <c r="D2212">
        <v>296</v>
      </c>
      <c r="E2212" s="1" t="s">
        <v>4740</v>
      </c>
      <c r="F2212" s="1" t="s">
        <v>71</v>
      </c>
      <c r="G2212" s="1" t="s">
        <v>32</v>
      </c>
      <c r="H2212">
        <v>62</v>
      </c>
      <c r="I2212">
        <v>15</v>
      </c>
      <c r="K2212" s="1" t="s">
        <v>23</v>
      </c>
      <c r="L2212" s="1" t="s">
        <v>24</v>
      </c>
      <c r="M2212" s="1" t="s">
        <v>4741</v>
      </c>
      <c r="N2212" s="1" t="s">
        <v>4742</v>
      </c>
    </row>
    <row r="2213" spans="1:14" x14ac:dyDescent="0.35">
      <c r="A2213">
        <v>5203029</v>
      </c>
      <c r="B2213" s="1" t="s">
        <v>4671</v>
      </c>
      <c r="C2213">
        <v>5815.3</v>
      </c>
      <c r="D2213">
        <v>296</v>
      </c>
      <c r="E2213" s="1" t="s">
        <v>4743</v>
      </c>
      <c r="F2213" s="1" t="s">
        <v>71</v>
      </c>
      <c r="G2213" s="1" t="s">
        <v>32</v>
      </c>
      <c r="H2213">
        <v>38</v>
      </c>
      <c r="I2213">
        <v>12</v>
      </c>
      <c r="K2213" s="1" t="s">
        <v>23</v>
      </c>
      <c r="L2213" s="1" t="s">
        <v>24</v>
      </c>
      <c r="M2213" s="1" t="s">
        <v>4741</v>
      </c>
      <c r="N2213" s="1" t="s">
        <v>4744</v>
      </c>
    </row>
    <row r="2214" spans="1:14" x14ac:dyDescent="0.35">
      <c r="A2214">
        <v>5203012</v>
      </c>
      <c r="B2214" s="1" t="s">
        <v>4671</v>
      </c>
      <c r="C2214">
        <v>5815.3</v>
      </c>
      <c r="D2214">
        <v>296</v>
      </c>
      <c r="E2214" s="1" t="s">
        <v>4745</v>
      </c>
      <c r="F2214" s="1" t="s">
        <v>15</v>
      </c>
      <c r="G2214" s="1" t="s">
        <v>16</v>
      </c>
      <c r="H2214">
        <v>283</v>
      </c>
      <c r="I2214">
        <v>105</v>
      </c>
      <c r="J2214">
        <v>1280</v>
      </c>
      <c r="K2214" s="1" t="s">
        <v>17</v>
      </c>
      <c r="L2214" s="1" t="s">
        <v>18</v>
      </c>
      <c r="M2214" s="1" t="s">
        <v>4741</v>
      </c>
      <c r="N2214" s="1" t="s">
        <v>4746</v>
      </c>
    </row>
    <row r="2215" spans="1:14" x14ac:dyDescent="0.35">
      <c r="A2215">
        <v>5203025</v>
      </c>
      <c r="B2215" s="1" t="s">
        <v>4671</v>
      </c>
      <c r="C2215">
        <v>5815.3</v>
      </c>
      <c r="D2215">
        <v>296</v>
      </c>
      <c r="E2215" s="1" t="s">
        <v>4747</v>
      </c>
      <c r="F2215" s="1" t="s">
        <v>15</v>
      </c>
      <c r="G2215" s="1" t="s">
        <v>32</v>
      </c>
      <c r="H2215">
        <v>103</v>
      </c>
      <c r="I2215">
        <v>60</v>
      </c>
      <c r="J2215">
        <v>181</v>
      </c>
      <c r="K2215" s="1" t="s">
        <v>90</v>
      </c>
      <c r="L2215" s="1" t="s">
        <v>120</v>
      </c>
      <c r="M2215" s="1" t="s">
        <v>4741</v>
      </c>
      <c r="N2215" s="1" t="s">
        <v>4748</v>
      </c>
    </row>
    <row r="2216" spans="1:14" x14ac:dyDescent="0.35">
      <c r="A2216">
        <v>5203024</v>
      </c>
      <c r="B2216" s="1" t="s">
        <v>4671</v>
      </c>
      <c r="C2216">
        <v>5815.3</v>
      </c>
      <c r="D2216">
        <v>296</v>
      </c>
      <c r="E2216" s="1" t="s">
        <v>4749</v>
      </c>
      <c r="F2216" s="1" t="s">
        <v>15</v>
      </c>
      <c r="G2216" s="1" t="s">
        <v>32</v>
      </c>
      <c r="H2216">
        <v>115</v>
      </c>
      <c r="I2216">
        <v>56</v>
      </c>
      <c r="J2216">
        <v>113</v>
      </c>
      <c r="K2216" s="1" t="s">
        <v>23</v>
      </c>
      <c r="L2216" s="1" t="s">
        <v>24</v>
      </c>
      <c r="M2216" s="1" t="s">
        <v>4741</v>
      </c>
      <c r="N2216" s="1" t="s">
        <v>4750</v>
      </c>
    </row>
    <row r="2217" spans="1:14" x14ac:dyDescent="0.35">
      <c r="A2217">
        <v>5203030</v>
      </c>
      <c r="B2217" s="1" t="s">
        <v>4671</v>
      </c>
      <c r="C2217">
        <v>5815.3</v>
      </c>
      <c r="D2217">
        <v>296</v>
      </c>
      <c r="E2217" s="1" t="s">
        <v>4751</v>
      </c>
      <c r="F2217" s="1" t="s">
        <v>15</v>
      </c>
      <c r="G2217" s="1" t="s">
        <v>22</v>
      </c>
      <c r="H2217">
        <v>50</v>
      </c>
      <c r="I2217">
        <v>21</v>
      </c>
      <c r="K2217" s="1" t="s">
        <v>17</v>
      </c>
      <c r="L2217" s="1" t="s">
        <v>24</v>
      </c>
      <c r="M2217" s="1" t="s">
        <v>4741</v>
      </c>
      <c r="N2217" s="1" t="s">
        <v>4752</v>
      </c>
    </row>
    <row r="2218" spans="1:14" x14ac:dyDescent="0.35">
      <c r="A2218">
        <v>5203027</v>
      </c>
      <c r="B2218" s="1" t="s">
        <v>4671</v>
      </c>
      <c r="C2218">
        <v>5815.3</v>
      </c>
      <c r="D2218">
        <v>296</v>
      </c>
      <c r="E2218" s="1" t="s">
        <v>4753</v>
      </c>
      <c r="F2218" s="1" t="s">
        <v>15</v>
      </c>
      <c r="G2218" s="1" t="s">
        <v>22</v>
      </c>
      <c r="H2218">
        <v>70</v>
      </c>
      <c r="I2218">
        <v>36</v>
      </c>
      <c r="J2218">
        <v>83</v>
      </c>
      <c r="K2218" s="1" t="s">
        <v>17</v>
      </c>
      <c r="L2218" s="1" t="s">
        <v>24</v>
      </c>
      <c r="M2218" s="1" t="s">
        <v>4741</v>
      </c>
      <c r="N2218" s="1" t="s">
        <v>4754</v>
      </c>
    </row>
    <row r="2219" spans="1:14" x14ac:dyDescent="0.35">
      <c r="A2219">
        <v>5203028</v>
      </c>
      <c r="B2219" s="1" t="s">
        <v>4671</v>
      </c>
      <c r="C2219">
        <v>5815.3</v>
      </c>
      <c r="D2219">
        <v>296</v>
      </c>
      <c r="E2219" s="1" t="s">
        <v>4755</v>
      </c>
      <c r="F2219" s="1" t="s">
        <v>15</v>
      </c>
      <c r="G2219" s="1" t="s">
        <v>22</v>
      </c>
      <c r="H2219">
        <v>72</v>
      </c>
      <c r="I2219">
        <v>51</v>
      </c>
      <c r="J2219">
        <v>35</v>
      </c>
      <c r="K2219" s="1" t="s">
        <v>90</v>
      </c>
      <c r="L2219" s="1" t="s">
        <v>24</v>
      </c>
      <c r="M2219" s="1" t="s">
        <v>4741</v>
      </c>
      <c r="N2219" s="1" t="s">
        <v>4756</v>
      </c>
    </row>
    <row r="2220" spans="1:14" x14ac:dyDescent="0.35">
      <c r="A2220">
        <v>5203041</v>
      </c>
      <c r="B2220" s="1" t="s">
        <v>4671</v>
      </c>
      <c r="C2220">
        <v>5815.3</v>
      </c>
      <c r="D2220">
        <v>296</v>
      </c>
      <c r="E2220" s="1" t="s">
        <v>4757</v>
      </c>
      <c r="F2220" s="1" t="s">
        <v>15</v>
      </c>
      <c r="G2220" s="1" t="s">
        <v>52</v>
      </c>
      <c r="H2220">
        <v>43</v>
      </c>
      <c r="I2220">
        <v>12</v>
      </c>
      <c r="K2220" s="1" t="s">
        <v>17</v>
      </c>
      <c r="L2220" s="1" t="s">
        <v>24</v>
      </c>
      <c r="M2220" s="1" t="s">
        <v>4741</v>
      </c>
      <c r="N2220" s="1" t="s">
        <v>4758</v>
      </c>
    </row>
    <row r="2221" spans="1:14" x14ac:dyDescent="0.35">
      <c r="A2221">
        <v>5208002</v>
      </c>
      <c r="B2221" s="1" t="s">
        <v>4671</v>
      </c>
      <c r="C2221">
        <v>5815.3</v>
      </c>
      <c r="D2221">
        <v>296</v>
      </c>
      <c r="E2221" s="1" t="s">
        <v>4759</v>
      </c>
      <c r="F2221" s="1" t="s">
        <v>15</v>
      </c>
      <c r="G2221" s="1" t="s">
        <v>32</v>
      </c>
      <c r="H2221">
        <v>151</v>
      </c>
      <c r="I2221">
        <v>25</v>
      </c>
      <c r="J2221">
        <v>80</v>
      </c>
      <c r="K2221" s="1" t="s">
        <v>17</v>
      </c>
      <c r="L2221" s="1" t="s">
        <v>18</v>
      </c>
      <c r="M2221" s="1" t="s">
        <v>4760</v>
      </c>
      <c r="N2221" s="1" t="s">
        <v>4761</v>
      </c>
    </row>
    <row r="2222" spans="1:14" x14ac:dyDescent="0.35">
      <c r="A2222">
        <v>5206027</v>
      </c>
      <c r="B2222" s="1" t="s">
        <v>4671</v>
      </c>
      <c r="C2222">
        <v>5815.3</v>
      </c>
      <c r="D2222">
        <v>296</v>
      </c>
      <c r="E2222" s="1" t="s">
        <v>4762</v>
      </c>
      <c r="F2222" s="1" t="s">
        <v>15</v>
      </c>
      <c r="G2222" s="1" t="s">
        <v>32</v>
      </c>
      <c r="H2222">
        <v>189</v>
      </c>
      <c r="I2222">
        <v>53</v>
      </c>
      <c r="J2222">
        <v>281</v>
      </c>
      <c r="K2222" s="1" t="s">
        <v>124</v>
      </c>
      <c r="L2222" s="1" t="s">
        <v>18</v>
      </c>
      <c r="M2222" s="1" t="s">
        <v>4763</v>
      </c>
      <c r="N2222" s="1" t="s">
        <v>4764</v>
      </c>
    </row>
    <row r="2223" spans="1:14" x14ac:dyDescent="0.35">
      <c r="A2223">
        <v>5204013</v>
      </c>
      <c r="B2223" s="1" t="s">
        <v>4671</v>
      </c>
      <c r="C2223">
        <v>5815.3</v>
      </c>
      <c r="D2223">
        <v>296</v>
      </c>
      <c r="E2223" s="1" t="s">
        <v>4765</v>
      </c>
      <c r="F2223" s="1" t="s">
        <v>15</v>
      </c>
      <c r="G2223" s="1" t="s">
        <v>32</v>
      </c>
      <c r="H2223">
        <v>233</v>
      </c>
      <c r="I2223">
        <v>37</v>
      </c>
      <c r="J2223">
        <v>335</v>
      </c>
      <c r="K2223" s="1" t="s">
        <v>17</v>
      </c>
      <c r="L2223" s="1" t="s">
        <v>18</v>
      </c>
      <c r="M2223" s="1" t="s">
        <v>4763</v>
      </c>
      <c r="N2223" s="1" t="s">
        <v>4766</v>
      </c>
    </row>
    <row r="2224" spans="1:14" x14ac:dyDescent="0.35">
      <c r="A2224">
        <v>5207004</v>
      </c>
      <c r="B2224" s="1" t="s">
        <v>4671</v>
      </c>
      <c r="C2224">
        <v>5815.3</v>
      </c>
      <c r="D2224">
        <v>296</v>
      </c>
      <c r="E2224" s="1" t="s">
        <v>4767</v>
      </c>
      <c r="F2224" s="1" t="s">
        <v>15</v>
      </c>
      <c r="G2224" s="1" t="s">
        <v>22</v>
      </c>
      <c r="H2224">
        <v>52</v>
      </c>
      <c r="I2224">
        <v>87</v>
      </c>
      <c r="J2224">
        <v>59</v>
      </c>
      <c r="K2224" s="1" t="s">
        <v>444</v>
      </c>
      <c r="L2224" s="1" t="s">
        <v>24</v>
      </c>
      <c r="M2224" s="1" t="s">
        <v>4763</v>
      </c>
      <c r="N2224" s="1" t="s">
        <v>4768</v>
      </c>
    </row>
    <row r="2225" spans="1:14" x14ac:dyDescent="0.35">
      <c r="A2225">
        <v>5207002</v>
      </c>
      <c r="B2225" s="1" t="s">
        <v>4671</v>
      </c>
      <c r="C2225">
        <v>5815.3</v>
      </c>
      <c r="D2225">
        <v>296</v>
      </c>
      <c r="E2225" s="1" t="s">
        <v>4769</v>
      </c>
      <c r="F2225" s="1" t="s">
        <v>15</v>
      </c>
      <c r="G2225" s="1" t="s">
        <v>32</v>
      </c>
      <c r="H2225">
        <v>100</v>
      </c>
      <c r="I2225">
        <v>49</v>
      </c>
      <c r="J2225">
        <v>304</v>
      </c>
      <c r="K2225" s="1" t="s">
        <v>17</v>
      </c>
      <c r="L2225" s="1" t="s">
        <v>18</v>
      </c>
      <c r="M2225" s="1" t="s">
        <v>4770</v>
      </c>
      <c r="N2225" s="1" t="s">
        <v>4771</v>
      </c>
    </row>
    <row r="2226" spans="1:14" x14ac:dyDescent="0.35">
      <c r="A2226">
        <v>5307010</v>
      </c>
      <c r="B2226" s="1" t="s">
        <v>4772</v>
      </c>
      <c r="C2226">
        <v>5828.6</v>
      </c>
      <c r="D2226">
        <v>126</v>
      </c>
      <c r="E2226" s="1" t="s">
        <v>4773</v>
      </c>
      <c r="F2226" s="1" t="s">
        <v>15</v>
      </c>
      <c r="G2226" s="1" t="s">
        <v>32</v>
      </c>
      <c r="H2226">
        <v>121</v>
      </c>
      <c r="I2226">
        <v>31</v>
      </c>
      <c r="J2226">
        <v>596</v>
      </c>
      <c r="K2226" s="1" t="s">
        <v>17</v>
      </c>
      <c r="L2226" s="1" t="s">
        <v>24</v>
      </c>
      <c r="M2226" s="1" t="s">
        <v>4774</v>
      </c>
      <c r="N2226" s="1" t="s">
        <v>4775</v>
      </c>
    </row>
    <row r="2227" spans="1:14" x14ac:dyDescent="0.35">
      <c r="A2227">
        <v>5307021</v>
      </c>
      <c r="B2227" s="1" t="s">
        <v>4772</v>
      </c>
      <c r="C2227">
        <v>5828.6</v>
      </c>
      <c r="D2227">
        <v>126</v>
      </c>
      <c r="E2227" s="1" t="s">
        <v>4776</v>
      </c>
      <c r="F2227" s="1" t="s">
        <v>15</v>
      </c>
      <c r="G2227" s="1" t="s">
        <v>52</v>
      </c>
      <c r="H2227">
        <v>18</v>
      </c>
      <c r="I2227">
        <v>9</v>
      </c>
      <c r="J2227">
        <v>25</v>
      </c>
      <c r="K2227" s="1" t="s">
        <v>17</v>
      </c>
      <c r="L2227" s="1" t="s">
        <v>24</v>
      </c>
      <c r="M2227" s="1" t="s">
        <v>4774</v>
      </c>
      <c r="N2227" s="1" t="s">
        <v>4777</v>
      </c>
    </row>
    <row r="2228" spans="1:14" x14ac:dyDescent="0.35">
      <c r="A2228">
        <v>5306016</v>
      </c>
      <c r="B2228" s="1" t="s">
        <v>4772</v>
      </c>
      <c r="C2228">
        <v>5828.6</v>
      </c>
      <c r="D2228">
        <v>126</v>
      </c>
      <c r="E2228" s="1" t="s">
        <v>4778</v>
      </c>
      <c r="F2228" s="1" t="s">
        <v>15</v>
      </c>
      <c r="G2228" s="1" t="s">
        <v>32</v>
      </c>
      <c r="H2228">
        <v>183</v>
      </c>
      <c r="I2228">
        <v>26</v>
      </c>
      <c r="J2228">
        <v>367</v>
      </c>
      <c r="K2228" s="1" t="s">
        <v>17</v>
      </c>
      <c r="L2228" s="1" t="s">
        <v>18</v>
      </c>
      <c r="M2228" s="1" t="s">
        <v>4779</v>
      </c>
      <c r="N2228" s="1" t="s">
        <v>4780</v>
      </c>
    </row>
    <row r="2229" spans="1:14" x14ac:dyDescent="0.35">
      <c r="A2229">
        <v>5306031</v>
      </c>
      <c r="B2229" s="1" t="s">
        <v>4772</v>
      </c>
      <c r="C2229">
        <v>5828.6</v>
      </c>
      <c r="D2229">
        <v>126</v>
      </c>
      <c r="E2229" s="1" t="s">
        <v>4781</v>
      </c>
      <c r="F2229" s="1" t="s">
        <v>15</v>
      </c>
      <c r="G2229" s="1" t="s">
        <v>22</v>
      </c>
      <c r="H2229">
        <v>88</v>
      </c>
      <c r="I2229">
        <v>31</v>
      </c>
      <c r="K2229" s="1" t="s">
        <v>84</v>
      </c>
      <c r="L2229" s="1" t="s">
        <v>24</v>
      </c>
      <c r="M2229" s="1" t="s">
        <v>4779</v>
      </c>
      <c r="N2229" s="1" t="s">
        <v>4782</v>
      </c>
    </row>
    <row r="2230" spans="1:14" x14ac:dyDescent="0.35">
      <c r="A2230">
        <v>5306020</v>
      </c>
      <c r="B2230" s="1" t="s">
        <v>4772</v>
      </c>
      <c r="C2230">
        <v>5828.6</v>
      </c>
      <c r="D2230">
        <v>126</v>
      </c>
      <c r="E2230" s="1" t="s">
        <v>4783</v>
      </c>
      <c r="F2230" s="1" t="s">
        <v>15</v>
      </c>
      <c r="G2230" s="1" t="s">
        <v>22</v>
      </c>
      <c r="H2230">
        <v>50</v>
      </c>
      <c r="I2230">
        <v>23</v>
      </c>
      <c r="J2230">
        <v>108</v>
      </c>
      <c r="K2230" s="1" t="s">
        <v>84</v>
      </c>
      <c r="L2230" s="1" t="s">
        <v>24</v>
      </c>
      <c r="M2230" s="1" t="s">
        <v>4779</v>
      </c>
      <c r="N2230" s="1" t="s">
        <v>4784</v>
      </c>
    </row>
    <row r="2231" spans="1:14" x14ac:dyDescent="0.35">
      <c r="A2231">
        <v>5306053</v>
      </c>
      <c r="B2231" s="1" t="s">
        <v>4772</v>
      </c>
      <c r="C2231">
        <v>5828.6</v>
      </c>
      <c r="D2231">
        <v>126</v>
      </c>
      <c r="E2231" s="1" t="s">
        <v>4785</v>
      </c>
      <c r="F2231" s="1" t="s">
        <v>15</v>
      </c>
      <c r="G2231" s="1" t="s">
        <v>22</v>
      </c>
      <c r="H2231">
        <v>72</v>
      </c>
      <c r="I2231">
        <v>18</v>
      </c>
      <c r="K2231" s="1" t="s">
        <v>27</v>
      </c>
      <c r="L2231" s="1" t="s">
        <v>24</v>
      </c>
      <c r="M2231" s="1" t="s">
        <v>4779</v>
      </c>
      <c r="N2231" s="1" t="s">
        <v>4786</v>
      </c>
    </row>
    <row r="2232" spans="1:14" x14ac:dyDescent="0.35">
      <c r="A2232">
        <v>5311013</v>
      </c>
      <c r="B2232" s="1" t="s">
        <v>4772</v>
      </c>
      <c r="C2232">
        <v>5828.6</v>
      </c>
      <c r="D2232">
        <v>126</v>
      </c>
      <c r="E2232" s="1" t="s">
        <v>4787</v>
      </c>
      <c r="F2232" s="1" t="s">
        <v>15</v>
      </c>
      <c r="G2232" s="1" t="s">
        <v>32</v>
      </c>
      <c r="H2232">
        <v>184</v>
      </c>
      <c r="I2232">
        <v>18</v>
      </c>
      <c r="J2232">
        <v>605</v>
      </c>
      <c r="K2232" s="1" t="s">
        <v>17</v>
      </c>
      <c r="L2232" s="1" t="s">
        <v>18</v>
      </c>
      <c r="M2232" s="1" t="s">
        <v>4788</v>
      </c>
      <c r="N2232" s="1" t="s">
        <v>4789</v>
      </c>
    </row>
    <row r="2233" spans="1:14" x14ac:dyDescent="0.35">
      <c r="A2233">
        <v>5311024</v>
      </c>
      <c r="B2233" s="1" t="s">
        <v>4772</v>
      </c>
      <c r="C2233">
        <v>5828.6</v>
      </c>
      <c r="D2233">
        <v>126</v>
      </c>
      <c r="E2233" s="1" t="s">
        <v>4790</v>
      </c>
      <c r="F2233" s="1" t="s">
        <v>15</v>
      </c>
      <c r="G2233" s="1" t="s">
        <v>22</v>
      </c>
      <c r="H2233">
        <v>50</v>
      </c>
      <c r="I2233">
        <v>38</v>
      </c>
      <c r="J2233">
        <v>72</v>
      </c>
      <c r="K2233" s="1" t="s">
        <v>572</v>
      </c>
      <c r="L2233" s="1" t="s">
        <v>24</v>
      </c>
      <c r="M2233" s="1" t="s">
        <v>4788</v>
      </c>
      <c r="N2233" s="1" t="s">
        <v>4791</v>
      </c>
    </row>
    <row r="2234" spans="1:14" x14ac:dyDescent="0.35">
      <c r="A2234">
        <v>5309012</v>
      </c>
      <c r="B2234" s="1" t="s">
        <v>4772</v>
      </c>
      <c r="C2234">
        <v>5828.6</v>
      </c>
      <c r="D2234">
        <v>126</v>
      </c>
      <c r="E2234" s="1" t="s">
        <v>4792</v>
      </c>
      <c r="F2234" s="1" t="s">
        <v>15</v>
      </c>
      <c r="G2234" s="1" t="s">
        <v>32</v>
      </c>
      <c r="H2234">
        <v>147</v>
      </c>
      <c r="I2234">
        <v>34</v>
      </c>
      <c r="J2234">
        <v>380</v>
      </c>
      <c r="K2234" s="1" t="s">
        <v>17</v>
      </c>
      <c r="L2234" s="1" t="s">
        <v>18</v>
      </c>
      <c r="M2234" s="1" t="s">
        <v>4793</v>
      </c>
      <c r="N2234" s="1" t="s">
        <v>4794</v>
      </c>
    </row>
    <row r="2235" spans="1:14" x14ac:dyDescent="0.35">
      <c r="A2235">
        <v>5309046</v>
      </c>
      <c r="B2235" s="1" t="s">
        <v>4772</v>
      </c>
      <c r="C2235">
        <v>5828.6</v>
      </c>
      <c r="D2235">
        <v>126</v>
      </c>
      <c r="E2235" s="1" t="s">
        <v>4795</v>
      </c>
      <c r="F2235" s="1" t="s">
        <v>15</v>
      </c>
      <c r="G2235" s="1" t="s">
        <v>52</v>
      </c>
      <c r="H2235">
        <v>30</v>
      </c>
      <c r="I2235">
        <v>10</v>
      </c>
      <c r="K2235" s="1" t="s">
        <v>17</v>
      </c>
      <c r="L2235" s="1" t="s">
        <v>24</v>
      </c>
      <c r="M2235" s="1" t="s">
        <v>4793</v>
      </c>
      <c r="N2235" s="1" t="s">
        <v>4796</v>
      </c>
    </row>
    <row r="2236" spans="1:14" x14ac:dyDescent="0.35">
      <c r="A2236">
        <v>5371047</v>
      </c>
      <c r="B2236" s="1" t="s">
        <v>4772</v>
      </c>
      <c r="C2236">
        <v>5828.6</v>
      </c>
      <c r="D2236">
        <v>126</v>
      </c>
      <c r="E2236" s="1" t="s">
        <v>4797</v>
      </c>
      <c r="F2236" s="1" t="s">
        <v>71</v>
      </c>
      <c r="G2236" s="1" t="s">
        <v>32</v>
      </c>
      <c r="H2236">
        <v>62</v>
      </c>
      <c r="I2236">
        <v>24</v>
      </c>
      <c r="J2236">
        <v>199</v>
      </c>
      <c r="K2236" s="1" t="s">
        <v>84</v>
      </c>
      <c r="L2236" s="1" t="s">
        <v>24</v>
      </c>
      <c r="M2236" s="1" t="s">
        <v>4798</v>
      </c>
      <c r="N2236" s="1" t="s">
        <v>4799</v>
      </c>
    </row>
    <row r="2237" spans="1:14" x14ac:dyDescent="0.35">
      <c r="A2237">
        <v>5371059</v>
      </c>
      <c r="B2237" s="1" t="s">
        <v>4772</v>
      </c>
      <c r="C2237">
        <v>5828.6</v>
      </c>
      <c r="D2237">
        <v>126</v>
      </c>
      <c r="E2237" s="1" t="s">
        <v>4800</v>
      </c>
      <c r="F2237" s="1" t="s">
        <v>129</v>
      </c>
      <c r="G2237" s="1" t="s">
        <v>32</v>
      </c>
      <c r="H2237">
        <v>39</v>
      </c>
      <c r="I2237">
        <v>23</v>
      </c>
      <c r="J2237">
        <v>204</v>
      </c>
      <c r="K2237" s="1" t="s">
        <v>124</v>
      </c>
      <c r="L2237" s="1" t="s">
        <v>18</v>
      </c>
      <c r="M2237" s="1" t="s">
        <v>4798</v>
      </c>
      <c r="N2237" s="1" t="s">
        <v>4801</v>
      </c>
    </row>
    <row r="2238" spans="1:14" x14ac:dyDescent="0.35">
      <c r="A2238">
        <v>5371011</v>
      </c>
      <c r="B2238" s="1" t="s">
        <v>4772</v>
      </c>
      <c r="C2238">
        <v>5828.6</v>
      </c>
      <c r="D2238">
        <v>126</v>
      </c>
      <c r="E2238" s="1" t="s">
        <v>4802</v>
      </c>
      <c r="F2238" s="1" t="s">
        <v>15</v>
      </c>
      <c r="G2238" s="1" t="s">
        <v>16</v>
      </c>
      <c r="H2238">
        <v>344</v>
      </c>
      <c r="I2238">
        <v>74</v>
      </c>
      <c r="J2238">
        <v>660</v>
      </c>
      <c r="K2238" s="1" t="s">
        <v>124</v>
      </c>
      <c r="L2238" s="1" t="s">
        <v>18</v>
      </c>
      <c r="M2238" s="1" t="s">
        <v>4798</v>
      </c>
      <c r="N2238" s="1" t="s">
        <v>4803</v>
      </c>
    </row>
    <row r="2239" spans="1:14" x14ac:dyDescent="0.35">
      <c r="A2239">
        <v>5303028</v>
      </c>
      <c r="B2239" s="1" t="s">
        <v>4772</v>
      </c>
      <c r="C2239">
        <v>5828.6</v>
      </c>
      <c r="D2239">
        <v>126</v>
      </c>
      <c r="E2239" s="1" t="s">
        <v>4804</v>
      </c>
      <c r="F2239" s="1" t="s">
        <v>15</v>
      </c>
      <c r="G2239" s="1" t="s">
        <v>16</v>
      </c>
      <c r="H2239">
        <v>231</v>
      </c>
      <c r="I2239">
        <v>79</v>
      </c>
      <c r="J2239">
        <v>358</v>
      </c>
      <c r="K2239" s="1" t="s">
        <v>23</v>
      </c>
      <c r="L2239" s="1" t="s">
        <v>24</v>
      </c>
      <c r="M2239" s="1" t="s">
        <v>4798</v>
      </c>
      <c r="N2239" s="1" t="s">
        <v>4805</v>
      </c>
    </row>
    <row r="2240" spans="1:14" x14ac:dyDescent="0.35">
      <c r="A2240">
        <v>5303056</v>
      </c>
      <c r="B2240" s="1" t="s">
        <v>4772</v>
      </c>
      <c r="C2240">
        <v>5828.6</v>
      </c>
      <c r="D2240">
        <v>126</v>
      </c>
      <c r="E2240" s="1" t="s">
        <v>4806</v>
      </c>
      <c r="F2240" s="1" t="s">
        <v>15</v>
      </c>
      <c r="G2240" s="1" t="s">
        <v>16</v>
      </c>
      <c r="H2240">
        <v>220</v>
      </c>
      <c r="I2240">
        <v>22</v>
      </c>
      <c r="K2240" s="1" t="s">
        <v>339</v>
      </c>
      <c r="L2240" s="1" t="s">
        <v>24</v>
      </c>
      <c r="M2240" s="1" t="s">
        <v>4798</v>
      </c>
      <c r="N2240" s="1" t="s">
        <v>4807</v>
      </c>
    </row>
    <row r="2241" spans="1:14" x14ac:dyDescent="0.35">
      <c r="A2241">
        <v>5303033</v>
      </c>
      <c r="B2241" s="1" t="s">
        <v>4772</v>
      </c>
      <c r="C2241">
        <v>5828.6</v>
      </c>
      <c r="D2241">
        <v>126</v>
      </c>
      <c r="E2241" s="1" t="s">
        <v>4808</v>
      </c>
      <c r="F2241" s="1" t="s">
        <v>15</v>
      </c>
      <c r="G2241" s="1" t="s">
        <v>32</v>
      </c>
      <c r="H2241">
        <v>154</v>
      </c>
      <c r="I2241">
        <v>97</v>
      </c>
      <c r="J2241">
        <v>193</v>
      </c>
      <c r="K2241" s="1" t="s">
        <v>146</v>
      </c>
      <c r="L2241" s="1" t="s">
        <v>120</v>
      </c>
      <c r="M2241" s="1" t="s">
        <v>4798</v>
      </c>
      <c r="N2241" s="1" t="s">
        <v>4809</v>
      </c>
    </row>
    <row r="2242" spans="1:14" x14ac:dyDescent="0.35">
      <c r="A2242">
        <v>5303022</v>
      </c>
      <c r="B2242" s="1" t="s">
        <v>4772</v>
      </c>
      <c r="C2242">
        <v>5828.6</v>
      </c>
      <c r="D2242">
        <v>126</v>
      </c>
      <c r="E2242" s="1" t="s">
        <v>4810</v>
      </c>
      <c r="F2242" s="1" t="s">
        <v>15</v>
      </c>
      <c r="G2242" s="1" t="s">
        <v>32</v>
      </c>
      <c r="H2242">
        <v>130</v>
      </c>
      <c r="I2242">
        <v>33</v>
      </c>
      <c r="J2242">
        <v>208</v>
      </c>
      <c r="K2242" s="1" t="s">
        <v>27</v>
      </c>
      <c r="L2242" s="1" t="s">
        <v>24</v>
      </c>
      <c r="M2242" s="1" t="s">
        <v>4798</v>
      </c>
      <c r="N2242" s="1" t="s">
        <v>4811</v>
      </c>
    </row>
    <row r="2243" spans="1:14" x14ac:dyDescent="0.35">
      <c r="A2243">
        <v>5371046</v>
      </c>
      <c r="B2243" s="1" t="s">
        <v>4772</v>
      </c>
      <c r="C2243">
        <v>5828.6</v>
      </c>
      <c r="D2243">
        <v>126</v>
      </c>
      <c r="E2243" s="1" t="s">
        <v>4812</v>
      </c>
      <c r="F2243" s="1" t="s">
        <v>15</v>
      </c>
      <c r="G2243" s="1" t="s">
        <v>32</v>
      </c>
      <c r="H2243">
        <v>87</v>
      </c>
      <c r="I2243">
        <v>23</v>
      </c>
      <c r="J2243">
        <v>88</v>
      </c>
      <c r="K2243" s="1" t="s">
        <v>191</v>
      </c>
      <c r="L2243" s="1" t="s">
        <v>24</v>
      </c>
      <c r="M2243" s="1" t="s">
        <v>4798</v>
      </c>
      <c r="N2243" s="1" t="s">
        <v>4813</v>
      </c>
    </row>
    <row r="2244" spans="1:14" x14ac:dyDescent="0.35">
      <c r="A2244">
        <v>5371054</v>
      </c>
      <c r="B2244" s="1" t="s">
        <v>4772</v>
      </c>
      <c r="C2244">
        <v>5828.6</v>
      </c>
      <c r="D2244">
        <v>126</v>
      </c>
      <c r="E2244" s="1" t="s">
        <v>4814</v>
      </c>
      <c r="F2244" s="1" t="s">
        <v>15</v>
      </c>
      <c r="G2244" s="1" t="s">
        <v>32</v>
      </c>
      <c r="H2244">
        <v>122</v>
      </c>
      <c r="I2244">
        <v>33</v>
      </c>
      <c r="J2244">
        <v>112</v>
      </c>
      <c r="K2244" s="1" t="s">
        <v>95</v>
      </c>
      <c r="L2244" s="1" t="s">
        <v>24</v>
      </c>
      <c r="M2244" s="1" t="s">
        <v>4798</v>
      </c>
      <c r="N2244" s="1" t="s">
        <v>4815</v>
      </c>
    </row>
    <row r="2245" spans="1:14" x14ac:dyDescent="0.35">
      <c r="A2245">
        <v>5371058</v>
      </c>
      <c r="B2245" s="1" t="s">
        <v>4772</v>
      </c>
      <c r="C2245">
        <v>5828.6</v>
      </c>
      <c r="D2245">
        <v>126</v>
      </c>
      <c r="E2245" s="1" t="s">
        <v>4816</v>
      </c>
      <c r="F2245" s="1" t="s">
        <v>15</v>
      </c>
      <c r="G2245" s="1" t="s">
        <v>32</v>
      </c>
      <c r="H2245">
        <v>137</v>
      </c>
      <c r="I2245">
        <v>43</v>
      </c>
      <c r="J2245">
        <v>231</v>
      </c>
      <c r="K2245" s="1" t="s">
        <v>84</v>
      </c>
      <c r="L2245" s="1" t="s">
        <v>24</v>
      </c>
      <c r="M2245" s="1" t="s">
        <v>4798</v>
      </c>
      <c r="N2245" s="1" t="s">
        <v>4817</v>
      </c>
    </row>
    <row r="2246" spans="1:14" x14ac:dyDescent="0.35">
      <c r="A2246">
        <v>5371052</v>
      </c>
      <c r="B2246" s="1" t="s">
        <v>4772</v>
      </c>
      <c r="C2246">
        <v>5828.6</v>
      </c>
      <c r="D2246">
        <v>126</v>
      </c>
      <c r="E2246" s="1" t="s">
        <v>4818</v>
      </c>
      <c r="F2246" s="1" t="s">
        <v>15</v>
      </c>
      <c r="G2246" s="1" t="s">
        <v>32</v>
      </c>
      <c r="H2246">
        <v>100</v>
      </c>
      <c r="I2246">
        <v>69</v>
      </c>
      <c r="J2246">
        <v>195</v>
      </c>
      <c r="K2246" s="1" t="s">
        <v>572</v>
      </c>
      <c r="L2246" s="1" t="s">
        <v>24</v>
      </c>
      <c r="M2246" s="1" t="s">
        <v>4798</v>
      </c>
      <c r="N2246" s="1" t="s">
        <v>4819</v>
      </c>
    </row>
    <row r="2247" spans="1:14" x14ac:dyDescent="0.35">
      <c r="A2247">
        <v>5303013</v>
      </c>
      <c r="B2247" s="1" t="s">
        <v>4772</v>
      </c>
      <c r="C2247">
        <v>5828.6</v>
      </c>
      <c r="D2247">
        <v>126</v>
      </c>
      <c r="E2247" s="1" t="s">
        <v>4820</v>
      </c>
      <c r="F2247" s="1" t="s">
        <v>15</v>
      </c>
      <c r="G2247" s="1" t="s">
        <v>32</v>
      </c>
      <c r="H2247">
        <v>156</v>
      </c>
      <c r="I2247">
        <v>51</v>
      </c>
      <c r="J2247">
        <v>196</v>
      </c>
      <c r="K2247" s="1" t="s">
        <v>137</v>
      </c>
      <c r="L2247" s="1" t="s">
        <v>18</v>
      </c>
      <c r="M2247" s="1" t="s">
        <v>4798</v>
      </c>
      <c r="N2247" s="1" t="s">
        <v>4821</v>
      </c>
    </row>
    <row r="2248" spans="1:14" x14ac:dyDescent="0.35">
      <c r="A2248">
        <v>5371057</v>
      </c>
      <c r="B2248" s="1" t="s">
        <v>4772</v>
      </c>
      <c r="C2248">
        <v>5828.6</v>
      </c>
      <c r="D2248">
        <v>126</v>
      </c>
      <c r="E2248" s="1" t="s">
        <v>4822</v>
      </c>
      <c r="F2248" s="1" t="s">
        <v>15</v>
      </c>
      <c r="G2248" s="1" t="s">
        <v>22</v>
      </c>
      <c r="H2248">
        <v>61</v>
      </c>
      <c r="I2248">
        <v>89</v>
      </c>
      <c r="J2248">
        <v>124</v>
      </c>
      <c r="K2248" s="1" t="s">
        <v>90</v>
      </c>
      <c r="L2248" s="1" t="s">
        <v>24</v>
      </c>
      <c r="M2248" s="1" t="s">
        <v>4798</v>
      </c>
      <c r="N2248" s="1" t="s">
        <v>4823</v>
      </c>
    </row>
    <row r="2249" spans="1:14" x14ac:dyDescent="0.35">
      <c r="A2249">
        <v>5303057</v>
      </c>
      <c r="B2249" s="1" t="s">
        <v>4772</v>
      </c>
      <c r="C2249">
        <v>5828.6</v>
      </c>
      <c r="D2249">
        <v>126</v>
      </c>
      <c r="E2249" s="1" t="s">
        <v>4824</v>
      </c>
      <c r="F2249" s="1" t="s">
        <v>15</v>
      </c>
      <c r="G2249" s="1" t="s">
        <v>32</v>
      </c>
      <c r="H2249">
        <v>205</v>
      </c>
      <c r="I2249">
        <v>31</v>
      </c>
      <c r="K2249" s="1" t="s">
        <v>23</v>
      </c>
      <c r="L2249" s="1" t="s">
        <v>24</v>
      </c>
      <c r="M2249" s="1" t="s">
        <v>4825</v>
      </c>
      <c r="N2249" s="1" t="s">
        <v>4826</v>
      </c>
    </row>
    <row r="2250" spans="1:14" x14ac:dyDescent="0.35">
      <c r="A2250">
        <v>5303045</v>
      </c>
      <c r="B2250" s="1" t="s">
        <v>4772</v>
      </c>
      <c r="C2250">
        <v>5828.6</v>
      </c>
      <c r="D2250">
        <v>126</v>
      </c>
      <c r="E2250" s="1" t="s">
        <v>4827</v>
      </c>
      <c r="F2250" s="1" t="s">
        <v>15</v>
      </c>
      <c r="G2250" s="1" t="s">
        <v>32</v>
      </c>
      <c r="H2250">
        <v>102</v>
      </c>
      <c r="I2250">
        <v>30</v>
      </c>
      <c r="J2250">
        <v>373</v>
      </c>
      <c r="K2250" s="1" t="s">
        <v>17</v>
      </c>
      <c r="L2250" s="1" t="s">
        <v>18</v>
      </c>
      <c r="M2250" s="1" t="s">
        <v>4825</v>
      </c>
      <c r="N2250" s="1" t="s">
        <v>4828</v>
      </c>
    </row>
    <row r="2251" spans="1:14" x14ac:dyDescent="0.35">
      <c r="A2251">
        <v>5308045</v>
      </c>
      <c r="B2251" s="1" t="s">
        <v>4772</v>
      </c>
      <c r="C2251">
        <v>5828.6</v>
      </c>
      <c r="D2251">
        <v>126</v>
      </c>
      <c r="E2251" s="1" t="s">
        <v>4829</v>
      </c>
      <c r="F2251" s="1" t="s">
        <v>15</v>
      </c>
      <c r="G2251" s="1" t="s">
        <v>32</v>
      </c>
      <c r="H2251">
        <v>103</v>
      </c>
      <c r="I2251">
        <v>23</v>
      </c>
      <c r="J2251">
        <v>311</v>
      </c>
      <c r="K2251" s="1" t="s">
        <v>17</v>
      </c>
      <c r="L2251" s="1" t="s">
        <v>24</v>
      </c>
      <c r="M2251" s="1" t="s">
        <v>4830</v>
      </c>
      <c r="N2251" s="1" t="s">
        <v>4831</v>
      </c>
    </row>
    <row r="2252" spans="1:14" x14ac:dyDescent="0.35">
      <c r="A2252">
        <v>5309034</v>
      </c>
      <c r="B2252" s="1" t="s">
        <v>4772</v>
      </c>
      <c r="C2252">
        <v>5828.6</v>
      </c>
      <c r="D2252">
        <v>126</v>
      </c>
      <c r="E2252" s="1" t="s">
        <v>4832</v>
      </c>
      <c r="F2252" s="1" t="s">
        <v>15</v>
      </c>
      <c r="G2252" s="1" t="s">
        <v>22</v>
      </c>
      <c r="H2252">
        <v>60</v>
      </c>
      <c r="I2252">
        <v>17</v>
      </c>
      <c r="J2252">
        <v>31</v>
      </c>
      <c r="K2252" s="1" t="s">
        <v>572</v>
      </c>
      <c r="L2252" s="1" t="s">
        <v>24</v>
      </c>
      <c r="M2252" s="1" t="s">
        <v>4830</v>
      </c>
      <c r="N2252" s="1" t="s">
        <v>4833</v>
      </c>
    </row>
    <row r="2253" spans="1:14" x14ac:dyDescent="0.35">
      <c r="A2253">
        <v>5308023</v>
      </c>
      <c r="B2253" s="1" t="s">
        <v>4772</v>
      </c>
      <c r="C2253">
        <v>5828.6</v>
      </c>
      <c r="D2253">
        <v>126</v>
      </c>
      <c r="E2253" s="1" t="s">
        <v>4834</v>
      </c>
      <c r="F2253" s="1" t="s">
        <v>15</v>
      </c>
      <c r="G2253" s="1" t="s">
        <v>22</v>
      </c>
      <c r="H2253">
        <v>55</v>
      </c>
      <c r="I2253">
        <v>11</v>
      </c>
      <c r="J2253">
        <v>26</v>
      </c>
      <c r="K2253" s="1" t="s">
        <v>572</v>
      </c>
      <c r="L2253" s="1" t="s">
        <v>24</v>
      </c>
      <c r="M2253" s="1" t="s">
        <v>4830</v>
      </c>
      <c r="N2253" s="1" t="s">
        <v>4835</v>
      </c>
    </row>
    <row r="2254" spans="1:14" x14ac:dyDescent="0.35">
      <c r="A2254">
        <v>5306042</v>
      </c>
      <c r="B2254" s="1" t="s">
        <v>4772</v>
      </c>
      <c r="C2254">
        <v>5828.6</v>
      </c>
      <c r="D2254">
        <v>126</v>
      </c>
      <c r="E2254" s="1" t="s">
        <v>4836</v>
      </c>
      <c r="F2254" s="1" t="s">
        <v>15</v>
      </c>
      <c r="G2254" s="1" t="s">
        <v>32</v>
      </c>
      <c r="H2254">
        <v>107</v>
      </c>
      <c r="I2254">
        <v>23</v>
      </c>
      <c r="J2254">
        <v>391</v>
      </c>
      <c r="K2254" s="1" t="s">
        <v>17</v>
      </c>
      <c r="L2254" s="1" t="s">
        <v>18</v>
      </c>
      <c r="M2254" s="1" t="s">
        <v>4837</v>
      </c>
      <c r="N2254" s="1" t="s">
        <v>4838</v>
      </c>
    </row>
    <row r="2255" spans="1:14" x14ac:dyDescent="0.35">
      <c r="A2255">
        <v>5313015</v>
      </c>
      <c r="B2255" s="1" t="s">
        <v>4772</v>
      </c>
      <c r="C2255">
        <v>5828.6</v>
      </c>
      <c r="D2255">
        <v>126</v>
      </c>
      <c r="E2255" s="1" t="s">
        <v>4839</v>
      </c>
      <c r="F2255" s="1" t="s">
        <v>15</v>
      </c>
      <c r="G2255" s="1" t="s">
        <v>32</v>
      </c>
      <c r="H2255">
        <v>265</v>
      </c>
      <c r="I2255">
        <v>30</v>
      </c>
      <c r="J2255">
        <v>425</v>
      </c>
      <c r="K2255" s="1" t="s">
        <v>17</v>
      </c>
      <c r="L2255" s="1" t="s">
        <v>18</v>
      </c>
      <c r="M2255" s="1" t="s">
        <v>4840</v>
      </c>
      <c r="N2255" s="1" t="s">
        <v>4841</v>
      </c>
    </row>
    <row r="2256" spans="1:14" x14ac:dyDescent="0.35">
      <c r="A2256">
        <v>5313026</v>
      </c>
      <c r="B2256" s="1" t="s">
        <v>4772</v>
      </c>
      <c r="C2256">
        <v>5828.6</v>
      </c>
      <c r="D2256">
        <v>126</v>
      </c>
      <c r="E2256" s="1" t="s">
        <v>4842</v>
      </c>
      <c r="F2256" s="1" t="s">
        <v>15</v>
      </c>
      <c r="G2256" s="1" t="s">
        <v>52</v>
      </c>
      <c r="H2256">
        <v>69</v>
      </c>
      <c r="I2256">
        <v>16</v>
      </c>
      <c r="J2256">
        <v>113</v>
      </c>
      <c r="K2256" s="1" t="s">
        <v>572</v>
      </c>
      <c r="L2256" s="1" t="s">
        <v>24</v>
      </c>
      <c r="M2256" s="1" t="s">
        <v>4840</v>
      </c>
      <c r="N2256" s="1" t="s">
        <v>4843</v>
      </c>
    </row>
    <row r="2257" spans="1:14" x14ac:dyDescent="0.35">
      <c r="A2257">
        <v>5313037</v>
      </c>
      <c r="B2257" s="1" t="s">
        <v>4772</v>
      </c>
      <c r="C2257">
        <v>5828.6</v>
      </c>
      <c r="D2257">
        <v>126</v>
      </c>
      <c r="E2257" s="1" t="s">
        <v>4844</v>
      </c>
      <c r="F2257" s="1" t="s">
        <v>15</v>
      </c>
      <c r="G2257" s="1" t="s">
        <v>52</v>
      </c>
      <c r="H2257">
        <v>71</v>
      </c>
      <c r="I2257">
        <v>28</v>
      </c>
      <c r="K2257" s="1" t="s">
        <v>17</v>
      </c>
      <c r="L2257" s="1" t="s">
        <v>24</v>
      </c>
      <c r="M2257" s="1" t="s">
        <v>4840</v>
      </c>
      <c r="N2257" s="1" t="s">
        <v>4845</v>
      </c>
    </row>
    <row r="2258" spans="1:14" x14ac:dyDescent="0.35">
      <c r="A2258">
        <v>5315002</v>
      </c>
      <c r="B2258" s="1" t="s">
        <v>4772</v>
      </c>
      <c r="C2258">
        <v>5828.6</v>
      </c>
      <c r="D2258">
        <v>126</v>
      </c>
      <c r="E2258" s="1" t="s">
        <v>4846</v>
      </c>
      <c r="F2258" s="1" t="s">
        <v>15</v>
      </c>
      <c r="G2258" s="1" t="s">
        <v>32</v>
      </c>
      <c r="H2258">
        <v>77</v>
      </c>
      <c r="I2258">
        <v>40</v>
      </c>
      <c r="J2258">
        <v>198</v>
      </c>
      <c r="K2258" s="1" t="s">
        <v>23</v>
      </c>
      <c r="L2258" s="1" t="s">
        <v>24</v>
      </c>
      <c r="M2258" s="1" t="s">
        <v>4847</v>
      </c>
      <c r="N2258" s="1" t="s">
        <v>4848</v>
      </c>
    </row>
    <row r="2259" spans="1:14" x14ac:dyDescent="0.35">
      <c r="A2259">
        <v>5315004</v>
      </c>
      <c r="B2259" s="1" t="s">
        <v>4772</v>
      </c>
      <c r="C2259">
        <v>5828.6</v>
      </c>
      <c r="D2259">
        <v>126</v>
      </c>
      <c r="E2259" s="1" t="s">
        <v>4849</v>
      </c>
      <c r="F2259" s="1" t="s">
        <v>15</v>
      </c>
      <c r="G2259" s="1" t="s">
        <v>22</v>
      </c>
      <c r="H2259">
        <v>50</v>
      </c>
      <c r="I2259">
        <v>26</v>
      </c>
      <c r="K2259" s="1" t="s">
        <v>572</v>
      </c>
      <c r="L2259" s="1" t="s">
        <v>24</v>
      </c>
      <c r="M2259" s="1" t="s">
        <v>4847</v>
      </c>
      <c r="N2259" s="1" t="s">
        <v>4850</v>
      </c>
    </row>
    <row r="2260" spans="1:14" x14ac:dyDescent="0.35">
      <c r="A2260">
        <v>5319002</v>
      </c>
      <c r="B2260" s="1" t="s">
        <v>4772</v>
      </c>
      <c r="C2260">
        <v>5828.6</v>
      </c>
      <c r="D2260">
        <v>126</v>
      </c>
      <c r="E2260" s="1" t="s">
        <v>4851</v>
      </c>
      <c r="F2260" s="1" t="s">
        <v>15</v>
      </c>
      <c r="G2260" s="1" t="s">
        <v>22</v>
      </c>
      <c r="H2260">
        <v>58</v>
      </c>
      <c r="I2260">
        <v>17</v>
      </c>
      <c r="J2260">
        <v>79</v>
      </c>
      <c r="K2260" s="1" t="s">
        <v>17</v>
      </c>
      <c r="L2260" s="1" t="s">
        <v>24</v>
      </c>
      <c r="M2260" s="1" t="s">
        <v>4852</v>
      </c>
      <c r="N2260" s="1" t="s">
        <v>4853</v>
      </c>
    </row>
    <row r="2261" spans="1:14" x14ac:dyDescent="0.35">
      <c r="A2261">
        <v>5319013</v>
      </c>
      <c r="B2261" s="1" t="s">
        <v>4772</v>
      </c>
      <c r="C2261">
        <v>5828.6</v>
      </c>
      <c r="D2261">
        <v>126</v>
      </c>
      <c r="E2261" s="1" t="s">
        <v>4854</v>
      </c>
      <c r="F2261" s="1" t="s">
        <v>15</v>
      </c>
      <c r="G2261" s="1" t="s">
        <v>52</v>
      </c>
      <c r="H2261">
        <v>32</v>
      </c>
      <c r="I2261">
        <v>40</v>
      </c>
      <c r="K2261" s="1" t="s">
        <v>17</v>
      </c>
      <c r="L2261" s="1" t="s">
        <v>24</v>
      </c>
      <c r="M2261" s="1" t="s">
        <v>4852</v>
      </c>
      <c r="N2261" s="1" t="s">
        <v>4855</v>
      </c>
    </row>
    <row r="2262" spans="1:14" x14ac:dyDescent="0.35">
      <c r="A2262">
        <v>5318002</v>
      </c>
      <c r="B2262" s="1" t="s">
        <v>4772</v>
      </c>
      <c r="C2262">
        <v>5828.6</v>
      </c>
      <c r="D2262">
        <v>126</v>
      </c>
      <c r="E2262" s="1" t="s">
        <v>4856</v>
      </c>
      <c r="F2262" s="1" t="s">
        <v>15</v>
      </c>
      <c r="G2262" s="1" t="s">
        <v>32</v>
      </c>
      <c r="H2262">
        <v>103</v>
      </c>
      <c r="I2262">
        <v>16</v>
      </c>
      <c r="J2262">
        <v>138</v>
      </c>
      <c r="K2262" s="1" t="s">
        <v>17</v>
      </c>
      <c r="L2262" s="1" t="s">
        <v>18</v>
      </c>
      <c r="M2262" s="1" t="s">
        <v>4857</v>
      </c>
      <c r="N2262" s="1" t="s">
        <v>4858</v>
      </c>
    </row>
    <row r="2263" spans="1:14" x14ac:dyDescent="0.35">
      <c r="A2263">
        <v>5318014</v>
      </c>
      <c r="B2263" s="1" t="s">
        <v>4772</v>
      </c>
      <c r="C2263">
        <v>5828.6</v>
      </c>
      <c r="D2263">
        <v>126</v>
      </c>
      <c r="E2263" s="1" t="s">
        <v>4859</v>
      </c>
      <c r="F2263" s="1" t="s">
        <v>15</v>
      </c>
      <c r="G2263" s="1" t="s">
        <v>52</v>
      </c>
      <c r="I2263">
        <v>1</v>
      </c>
      <c r="K2263" s="1" t="s">
        <v>17</v>
      </c>
      <c r="L2263" s="1" t="s">
        <v>24</v>
      </c>
      <c r="M2263" s="1" t="s">
        <v>4857</v>
      </c>
      <c r="N2263" s="1" t="s">
        <v>4860</v>
      </c>
    </row>
    <row r="2264" spans="1:14" x14ac:dyDescent="0.35">
      <c r="A2264">
        <v>5312014</v>
      </c>
      <c r="B2264" s="1" t="s">
        <v>4772</v>
      </c>
      <c r="C2264">
        <v>5828.6</v>
      </c>
      <c r="D2264">
        <v>126</v>
      </c>
      <c r="E2264" s="1" t="s">
        <v>4861</v>
      </c>
      <c r="F2264" s="1" t="s">
        <v>15</v>
      </c>
      <c r="G2264" s="1" t="s">
        <v>32</v>
      </c>
      <c r="H2264">
        <v>113</v>
      </c>
      <c r="I2264">
        <v>21</v>
      </c>
      <c r="J2264">
        <v>399</v>
      </c>
      <c r="K2264" s="1" t="s">
        <v>17</v>
      </c>
      <c r="L2264" s="1" t="s">
        <v>18</v>
      </c>
      <c r="M2264" s="1" t="s">
        <v>4862</v>
      </c>
      <c r="N2264" s="1" t="s">
        <v>4863</v>
      </c>
    </row>
    <row r="2265" spans="1:14" x14ac:dyDescent="0.35">
      <c r="A2265">
        <v>5303024</v>
      </c>
      <c r="B2265" s="1" t="s">
        <v>4772</v>
      </c>
      <c r="C2265">
        <v>5828.6</v>
      </c>
      <c r="D2265">
        <v>126</v>
      </c>
      <c r="E2265" s="1" t="s">
        <v>4864</v>
      </c>
      <c r="F2265" s="1" t="s">
        <v>15</v>
      </c>
      <c r="G2265" s="1" t="s">
        <v>32</v>
      </c>
      <c r="H2265">
        <v>110</v>
      </c>
      <c r="I2265">
        <v>22</v>
      </c>
      <c r="J2265">
        <v>217</v>
      </c>
      <c r="K2265" s="1" t="s">
        <v>17</v>
      </c>
      <c r="L2265" s="1" t="s">
        <v>24</v>
      </c>
      <c r="M2265" s="1" t="s">
        <v>4865</v>
      </c>
      <c r="N2265" s="1" t="s">
        <v>4866</v>
      </c>
    </row>
    <row r="2266" spans="1:14" x14ac:dyDescent="0.35">
      <c r="A2266">
        <v>5320013</v>
      </c>
      <c r="B2266" s="1" t="s">
        <v>4772</v>
      </c>
      <c r="C2266">
        <v>5828.6</v>
      </c>
      <c r="D2266">
        <v>126</v>
      </c>
      <c r="E2266" s="1" t="s">
        <v>4867</v>
      </c>
      <c r="F2266" s="1" t="s">
        <v>15</v>
      </c>
      <c r="G2266" s="1" t="s">
        <v>1172</v>
      </c>
      <c r="H2266">
        <v>30</v>
      </c>
      <c r="I2266">
        <v>4</v>
      </c>
      <c r="K2266" s="1" t="s">
        <v>17</v>
      </c>
      <c r="L2266" s="1" t="s">
        <v>24</v>
      </c>
      <c r="M2266" s="1" t="s">
        <v>4868</v>
      </c>
      <c r="N2266" s="1" t="s">
        <v>4869</v>
      </c>
    </row>
    <row r="2267" spans="1:14" x14ac:dyDescent="0.35">
      <c r="A2267">
        <v>5320002</v>
      </c>
      <c r="B2267" s="1" t="s">
        <v>4772</v>
      </c>
      <c r="C2267">
        <v>5828.6</v>
      </c>
      <c r="D2267">
        <v>126</v>
      </c>
      <c r="E2267" s="1" t="s">
        <v>4870</v>
      </c>
      <c r="F2267" s="1" t="s">
        <v>15</v>
      </c>
      <c r="G2267" s="1" t="s">
        <v>22</v>
      </c>
      <c r="H2267">
        <v>58</v>
      </c>
      <c r="I2267">
        <v>15</v>
      </c>
      <c r="J2267">
        <v>61</v>
      </c>
      <c r="K2267" s="1" t="s">
        <v>17</v>
      </c>
      <c r="L2267" s="1" t="s">
        <v>24</v>
      </c>
      <c r="M2267" s="1" t="s">
        <v>4868</v>
      </c>
      <c r="N2267" s="1" t="s">
        <v>4871</v>
      </c>
    </row>
    <row r="2268" spans="1:14" x14ac:dyDescent="0.35">
      <c r="A2268">
        <v>5310012</v>
      </c>
      <c r="B2268" s="1" t="s">
        <v>4772</v>
      </c>
      <c r="C2268">
        <v>5828.6</v>
      </c>
      <c r="D2268">
        <v>126</v>
      </c>
      <c r="E2268" s="1" t="s">
        <v>4872</v>
      </c>
      <c r="F2268" s="1" t="s">
        <v>15</v>
      </c>
      <c r="G2268" s="1" t="s">
        <v>32</v>
      </c>
      <c r="H2268">
        <v>202</v>
      </c>
      <c r="I2268">
        <v>31</v>
      </c>
      <c r="J2268">
        <v>803</v>
      </c>
      <c r="K2268" s="1" t="s">
        <v>17</v>
      </c>
      <c r="L2268" s="1" t="s">
        <v>18</v>
      </c>
      <c r="M2268" s="1" t="s">
        <v>4873</v>
      </c>
      <c r="N2268" s="1" t="s">
        <v>4874</v>
      </c>
    </row>
    <row r="2269" spans="1:14" x14ac:dyDescent="0.35">
      <c r="A2269">
        <v>5310023</v>
      </c>
      <c r="B2269" s="1" t="s">
        <v>4772</v>
      </c>
      <c r="C2269">
        <v>5828.6</v>
      </c>
      <c r="D2269">
        <v>126</v>
      </c>
      <c r="E2269" s="1" t="s">
        <v>4875</v>
      </c>
      <c r="F2269" s="1" t="s">
        <v>15</v>
      </c>
      <c r="G2269" s="1" t="s">
        <v>22</v>
      </c>
      <c r="H2269">
        <v>54</v>
      </c>
      <c r="I2269">
        <v>21</v>
      </c>
      <c r="J2269">
        <v>105</v>
      </c>
      <c r="K2269" s="1" t="s">
        <v>572</v>
      </c>
      <c r="L2269" s="1" t="s">
        <v>24</v>
      </c>
      <c r="M2269" s="1" t="s">
        <v>4873</v>
      </c>
      <c r="N2269" s="1" t="s">
        <v>4876</v>
      </c>
    </row>
    <row r="2270" spans="1:14" x14ac:dyDescent="0.35">
      <c r="A2270">
        <v>5310034</v>
      </c>
      <c r="B2270" s="1" t="s">
        <v>4772</v>
      </c>
      <c r="C2270">
        <v>5828.6</v>
      </c>
      <c r="D2270">
        <v>126</v>
      </c>
      <c r="E2270" s="1" t="s">
        <v>4877</v>
      </c>
      <c r="F2270" s="1" t="s">
        <v>15</v>
      </c>
      <c r="G2270" s="1" t="s">
        <v>22</v>
      </c>
      <c r="H2270">
        <v>77</v>
      </c>
      <c r="I2270">
        <v>49</v>
      </c>
      <c r="J2270">
        <v>148</v>
      </c>
      <c r="K2270" s="1" t="s">
        <v>84</v>
      </c>
      <c r="L2270" s="1" t="s">
        <v>24</v>
      </c>
      <c r="M2270" s="1" t="s">
        <v>4873</v>
      </c>
      <c r="N2270" s="1" t="s">
        <v>4878</v>
      </c>
    </row>
    <row r="2271" spans="1:14" x14ac:dyDescent="0.35">
      <c r="A2271">
        <v>5301033</v>
      </c>
      <c r="B2271" s="1" t="s">
        <v>4772</v>
      </c>
      <c r="C2271">
        <v>5828.6</v>
      </c>
      <c r="D2271">
        <v>126</v>
      </c>
      <c r="E2271" s="1" t="s">
        <v>4879</v>
      </c>
      <c r="F2271" s="1" t="s">
        <v>15</v>
      </c>
      <c r="G2271" s="1" t="s">
        <v>32</v>
      </c>
      <c r="H2271">
        <v>117</v>
      </c>
      <c r="I2271">
        <v>34</v>
      </c>
      <c r="J2271">
        <v>473</v>
      </c>
      <c r="K2271" s="1" t="s">
        <v>17</v>
      </c>
      <c r="L2271" s="1" t="s">
        <v>18</v>
      </c>
      <c r="M2271" s="1" t="s">
        <v>4880</v>
      </c>
      <c r="N2271" s="1" t="s">
        <v>4881</v>
      </c>
    </row>
    <row r="2272" spans="1:14" x14ac:dyDescent="0.35">
      <c r="A2272">
        <v>5301035</v>
      </c>
      <c r="B2272" s="1" t="s">
        <v>4772</v>
      </c>
      <c r="C2272">
        <v>5828.6</v>
      </c>
      <c r="D2272">
        <v>126</v>
      </c>
      <c r="E2272" s="1" t="s">
        <v>4882</v>
      </c>
      <c r="F2272" s="1" t="s">
        <v>15</v>
      </c>
      <c r="G2272" s="1" t="s">
        <v>22</v>
      </c>
      <c r="H2272">
        <v>50</v>
      </c>
      <c r="I2272">
        <v>17</v>
      </c>
      <c r="J2272">
        <v>1</v>
      </c>
      <c r="K2272" s="1" t="s">
        <v>17</v>
      </c>
      <c r="L2272" s="1" t="s">
        <v>24</v>
      </c>
      <c r="M2272" s="1" t="s">
        <v>4880</v>
      </c>
      <c r="N2272" s="1" t="s">
        <v>4883</v>
      </c>
    </row>
    <row r="2273" spans="1:14" x14ac:dyDescent="0.35">
      <c r="A2273">
        <v>5301011</v>
      </c>
      <c r="B2273" s="1" t="s">
        <v>4772</v>
      </c>
      <c r="C2273">
        <v>5828.6</v>
      </c>
      <c r="D2273">
        <v>126</v>
      </c>
      <c r="E2273" s="1" t="s">
        <v>4884</v>
      </c>
      <c r="F2273" s="1" t="s">
        <v>15</v>
      </c>
      <c r="G2273" s="1" t="s">
        <v>22</v>
      </c>
      <c r="H2273">
        <v>86</v>
      </c>
      <c r="I2273">
        <v>23</v>
      </c>
      <c r="J2273">
        <v>217</v>
      </c>
      <c r="K2273" s="1" t="s">
        <v>84</v>
      </c>
      <c r="L2273" s="1" t="s">
        <v>24</v>
      </c>
      <c r="M2273" s="1" t="s">
        <v>4880</v>
      </c>
      <c r="N2273" s="1" t="s">
        <v>4885</v>
      </c>
    </row>
    <row r="2274" spans="1:14" x14ac:dyDescent="0.35">
      <c r="A2274">
        <v>5301022</v>
      </c>
      <c r="B2274" s="1" t="s">
        <v>4772</v>
      </c>
      <c r="C2274">
        <v>5828.6</v>
      </c>
      <c r="D2274">
        <v>126</v>
      </c>
      <c r="E2274" s="1" t="s">
        <v>4886</v>
      </c>
      <c r="F2274" s="1" t="s">
        <v>15</v>
      </c>
      <c r="G2274" s="1" t="s">
        <v>32</v>
      </c>
      <c r="H2274">
        <v>121</v>
      </c>
      <c r="I2274">
        <v>21</v>
      </c>
      <c r="J2274">
        <v>100</v>
      </c>
      <c r="K2274" s="1" t="s">
        <v>84</v>
      </c>
      <c r="L2274" s="1" t="s">
        <v>24</v>
      </c>
      <c r="M2274" s="1" t="s">
        <v>4887</v>
      </c>
      <c r="N2274" s="1" t="s">
        <v>4888</v>
      </c>
    </row>
    <row r="2275" spans="1:14" x14ac:dyDescent="0.35">
      <c r="A2275">
        <v>5317002</v>
      </c>
      <c r="B2275" s="1" t="s">
        <v>4772</v>
      </c>
      <c r="C2275">
        <v>5828.6</v>
      </c>
      <c r="D2275">
        <v>126</v>
      </c>
      <c r="E2275" s="1" t="s">
        <v>4889</v>
      </c>
      <c r="F2275" s="1" t="s">
        <v>15</v>
      </c>
      <c r="G2275" s="1" t="s">
        <v>22</v>
      </c>
      <c r="H2275">
        <v>121</v>
      </c>
      <c r="I2275">
        <v>24</v>
      </c>
      <c r="J2275">
        <v>72</v>
      </c>
      <c r="K2275" s="1" t="s">
        <v>17</v>
      </c>
      <c r="L2275" s="1" t="s">
        <v>24</v>
      </c>
      <c r="M2275" s="1" t="s">
        <v>4887</v>
      </c>
      <c r="N2275" s="1" t="s">
        <v>4890</v>
      </c>
    </row>
    <row r="2276" spans="1:14" x14ac:dyDescent="0.35">
      <c r="A2276">
        <v>5316003</v>
      </c>
      <c r="B2276" s="1" t="s">
        <v>4772</v>
      </c>
      <c r="C2276">
        <v>5828.6</v>
      </c>
      <c r="D2276">
        <v>126</v>
      </c>
      <c r="E2276" s="1" t="s">
        <v>4891</v>
      </c>
      <c r="F2276" s="1" t="s">
        <v>15</v>
      </c>
      <c r="G2276" s="1" t="s">
        <v>22</v>
      </c>
      <c r="H2276">
        <v>83</v>
      </c>
      <c r="I2276">
        <v>22</v>
      </c>
      <c r="J2276">
        <v>160</v>
      </c>
      <c r="K2276" s="1" t="s">
        <v>17</v>
      </c>
      <c r="L2276" s="1" t="s">
        <v>24</v>
      </c>
      <c r="M2276" s="1" t="s">
        <v>4892</v>
      </c>
      <c r="N2276" s="1" t="s">
        <v>4893</v>
      </c>
    </row>
    <row r="2277" spans="1:14" x14ac:dyDescent="0.35">
      <c r="A2277">
        <v>5302045</v>
      </c>
      <c r="B2277" s="1" t="s">
        <v>4772</v>
      </c>
      <c r="C2277">
        <v>5828.6</v>
      </c>
      <c r="D2277">
        <v>126</v>
      </c>
      <c r="E2277" s="1" t="s">
        <v>4894</v>
      </c>
      <c r="F2277" s="1" t="s">
        <v>71</v>
      </c>
      <c r="G2277" s="1" t="s">
        <v>32</v>
      </c>
      <c r="H2277">
        <v>34</v>
      </c>
      <c r="I2277">
        <v>9</v>
      </c>
      <c r="K2277" s="1" t="s">
        <v>23</v>
      </c>
      <c r="L2277" s="1" t="s">
        <v>120</v>
      </c>
      <c r="M2277" s="1" t="s">
        <v>4895</v>
      </c>
      <c r="N2277" s="1" t="s">
        <v>4896</v>
      </c>
    </row>
    <row r="2278" spans="1:14" x14ac:dyDescent="0.35">
      <c r="A2278">
        <v>5302023</v>
      </c>
      <c r="B2278" s="1" t="s">
        <v>4772</v>
      </c>
      <c r="C2278">
        <v>5828.6</v>
      </c>
      <c r="D2278">
        <v>126</v>
      </c>
      <c r="E2278" s="1" t="s">
        <v>4897</v>
      </c>
      <c r="F2278" s="1" t="s">
        <v>15</v>
      </c>
      <c r="G2278" s="1" t="s">
        <v>32</v>
      </c>
      <c r="H2278">
        <v>136</v>
      </c>
      <c r="I2278">
        <v>35</v>
      </c>
      <c r="J2278">
        <v>520</v>
      </c>
      <c r="K2278" s="1" t="s">
        <v>17</v>
      </c>
      <c r="L2278" s="1" t="s">
        <v>18</v>
      </c>
      <c r="M2278" s="1" t="s">
        <v>4895</v>
      </c>
      <c r="N2278" s="1" t="s">
        <v>4898</v>
      </c>
    </row>
    <row r="2279" spans="1:14" x14ac:dyDescent="0.35">
      <c r="A2279">
        <v>5302012</v>
      </c>
      <c r="B2279" s="1" t="s">
        <v>4772</v>
      </c>
      <c r="C2279">
        <v>5828.6</v>
      </c>
      <c r="D2279">
        <v>126</v>
      </c>
      <c r="E2279" s="1" t="s">
        <v>4899</v>
      </c>
      <c r="F2279" s="1" t="s">
        <v>15</v>
      </c>
      <c r="G2279" s="1" t="s">
        <v>22</v>
      </c>
      <c r="H2279">
        <v>82</v>
      </c>
      <c r="I2279">
        <v>30</v>
      </c>
      <c r="J2279">
        <v>176</v>
      </c>
      <c r="K2279" s="1" t="s">
        <v>84</v>
      </c>
      <c r="L2279" s="1" t="s">
        <v>24</v>
      </c>
      <c r="M2279" s="1" t="s">
        <v>4895</v>
      </c>
      <c r="N2279" s="1" t="s">
        <v>4900</v>
      </c>
    </row>
    <row r="2280" spans="1:14" x14ac:dyDescent="0.35">
      <c r="A2280">
        <v>5302034</v>
      </c>
      <c r="B2280" s="1" t="s">
        <v>4772</v>
      </c>
      <c r="C2280">
        <v>5828.6</v>
      </c>
      <c r="D2280">
        <v>126</v>
      </c>
      <c r="E2280" s="1" t="s">
        <v>4901</v>
      </c>
      <c r="F2280" s="1" t="s">
        <v>15</v>
      </c>
      <c r="G2280" s="1" t="s">
        <v>22</v>
      </c>
      <c r="H2280">
        <v>53</v>
      </c>
      <c r="I2280">
        <v>30</v>
      </c>
      <c r="J2280">
        <v>72</v>
      </c>
      <c r="K2280" s="1" t="s">
        <v>84</v>
      </c>
      <c r="L2280" s="1" t="s">
        <v>24</v>
      </c>
      <c r="M2280" s="1" t="s">
        <v>4895</v>
      </c>
      <c r="N2280" s="1" t="s">
        <v>4902</v>
      </c>
    </row>
    <row r="2281" spans="1:14" x14ac:dyDescent="0.35">
      <c r="A2281">
        <v>5302046</v>
      </c>
      <c r="B2281" s="1" t="s">
        <v>4772</v>
      </c>
      <c r="C2281">
        <v>5828.6</v>
      </c>
      <c r="D2281">
        <v>126</v>
      </c>
      <c r="E2281" s="1" t="s">
        <v>4903</v>
      </c>
      <c r="F2281" s="1" t="s">
        <v>15</v>
      </c>
      <c r="G2281" s="1" t="s">
        <v>52</v>
      </c>
      <c r="H2281">
        <v>37</v>
      </c>
      <c r="I2281">
        <v>11</v>
      </c>
      <c r="K2281" s="1" t="s">
        <v>49</v>
      </c>
      <c r="L2281" s="1" t="s">
        <v>24</v>
      </c>
      <c r="M2281" s="1" t="s">
        <v>4895</v>
      </c>
      <c r="N2281" s="1" t="s">
        <v>4904</v>
      </c>
    </row>
    <row r="2282" spans="1:14" x14ac:dyDescent="0.35">
      <c r="A2282">
        <v>5304014</v>
      </c>
      <c r="B2282" s="1" t="s">
        <v>4772</v>
      </c>
      <c r="C2282">
        <v>5828.6</v>
      </c>
      <c r="D2282">
        <v>126</v>
      </c>
      <c r="E2282" s="1" t="s">
        <v>4905</v>
      </c>
      <c r="F2282" s="1" t="s">
        <v>15</v>
      </c>
      <c r="G2282" s="1" t="s">
        <v>32</v>
      </c>
      <c r="H2282">
        <v>109</v>
      </c>
      <c r="I2282">
        <v>34</v>
      </c>
      <c r="J2282">
        <v>331</v>
      </c>
      <c r="K2282" s="1" t="s">
        <v>17</v>
      </c>
      <c r="L2282" s="1" t="s">
        <v>18</v>
      </c>
      <c r="M2282" s="1" t="s">
        <v>4906</v>
      </c>
      <c r="N2282" s="1" t="s">
        <v>4907</v>
      </c>
    </row>
    <row r="2283" spans="1:14" x14ac:dyDescent="0.35">
      <c r="A2283">
        <v>5304015</v>
      </c>
      <c r="B2283" s="1" t="s">
        <v>4772</v>
      </c>
      <c r="C2283">
        <v>5828.6</v>
      </c>
      <c r="D2283">
        <v>126</v>
      </c>
      <c r="E2283" s="1" t="s">
        <v>4908</v>
      </c>
      <c r="F2283" s="1" t="s">
        <v>15</v>
      </c>
      <c r="G2283" s="1" t="s">
        <v>52</v>
      </c>
      <c r="H2283">
        <v>30</v>
      </c>
      <c r="I2283">
        <v>14</v>
      </c>
      <c r="J2283">
        <v>56</v>
      </c>
      <c r="K2283" s="1" t="s">
        <v>84</v>
      </c>
      <c r="L2283" s="1" t="s">
        <v>24</v>
      </c>
      <c r="M2283" s="1" t="s">
        <v>4906</v>
      </c>
      <c r="N2283" s="1" t="s">
        <v>4909</v>
      </c>
    </row>
    <row r="2284" spans="1:14" x14ac:dyDescent="0.35">
      <c r="A2284">
        <v>5304026</v>
      </c>
      <c r="B2284" s="1" t="s">
        <v>4772</v>
      </c>
      <c r="C2284">
        <v>5828.6</v>
      </c>
      <c r="D2284">
        <v>126</v>
      </c>
      <c r="E2284" s="1" t="s">
        <v>4910</v>
      </c>
      <c r="F2284" s="1" t="s">
        <v>15</v>
      </c>
      <c r="G2284" s="1" t="s">
        <v>52</v>
      </c>
      <c r="H2284">
        <v>33</v>
      </c>
      <c r="I2284">
        <v>4</v>
      </c>
      <c r="K2284" s="1" t="s">
        <v>17</v>
      </c>
      <c r="L2284" s="1" t="s">
        <v>24</v>
      </c>
      <c r="M2284" s="1" t="s">
        <v>4906</v>
      </c>
      <c r="N2284" s="1" t="s">
        <v>4911</v>
      </c>
    </row>
    <row r="2285" spans="1:14" x14ac:dyDescent="0.35">
      <c r="A2285">
        <v>5305015</v>
      </c>
      <c r="B2285" s="1" t="s">
        <v>4772</v>
      </c>
      <c r="C2285">
        <v>5828.6</v>
      </c>
      <c r="D2285">
        <v>126</v>
      </c>
      <c r="E2285" s="1" t="s">
        <v>4912</v>
      </c>
      <c r="F2285" s="1" t="s">
        <v>15</v>
      </c>
      <c r="G2285" s="1" t="s">
        <v>32</v>
      </c>
      <c r="H2285">
        <v>114</v>
      </c>
      <c r="I2285">
        <v>28</v>
      </c>
      <c r="J2285">
        <v>363</v>
      </c>
      <c r="K2285" s="1" t="s">
        <v>17</v>
      </c>
      <c r="L2285" s="1" t="s">
        <v>18</v>
      </c>
      <c r="M2285" s="1" t="s">
        <v>4913</v>
      </c>
      <c r="N2285" s="1" t="s">
        <v>4914</v>
      </c>
    </row>
    <row r="2286" spans="1:14" x14ac:dyDescent="0.35">
      <c r="A2286">
        <v>5305025</v>
      </c>
      <c r="B2286" s="1" t="s">
        <v>4772</v>
      </c>
      <c r="C2286">
        <v>5828.6</v>
      </c>
      <c r="D2286">
        <v>126</v>
      </c>
      <c r="E2286" s="1" t="s">
        <v>4915</v>
      </c>
      <c r="F2286" s="1" t="s">
        <v>15</v>
      </c>
      <c r="G2286" s="1" t="s">
        <v>32</v>
      </c>
      <c r="H2286">
        <v>133</v>
      </c>
      <c r="I2286">
        <v>43</v>
      </c>
      <c r="J2286">
        <v>127</v>
      </c>
      <c r="K2286" s="1" t="s">
        <v>90</v>
      </c>
      <c r="L2286" s="1" t="s">
        <v>24</v>
      </c>
      <c r="M2286" s="1" t="s">
        <v>4913</v>
      </c>
      <c r="N2286" s="1" t="s">
        <v>4916</v>
      </c>
    </row>
    <row r="2287" spans="1:14" x14ac:dyDescent="0.35">
      <c r="A2287">
        <v>5305024</v>
      </c>
      <c r="B2287" s="1" t="s">
        <v>4772</v>
      </c>
      <c r="C2287">
        <v>5828.6</v>
      </c>
      <c r="D2287">
        <v>126</v>
      </c>
      <c r="E2287" s="1" t="s">
        <v>4917</v>
      </c>
      <c r="F2287" s="1" t="s">
        <v>15</v>
      </c>
      <c r="G2287" s="1" t="s">
        <v>22</v>
      </c>
      <c r="H2287">
        <v>55</v>
      </c>
      <c r="I2287">
        <v>21</v>
      </c>
      <c r="J2287">
        <v>10</v>
      </c>
      <c r="K2287" s="1" t="s">
        <v>84</v>
      </c>
      <c r="L2287" s="1" t="s">
        <v>24</v>
      </c>
      <c r="M2287" s="1" t="s">
        <v>4913</v>
      </c>
      <c r="N2287" s="1" t="s">
        <v>4918</v>
      </c>
    </row>
    <row r="2288" spans="1:14" x14ac:dyDescent="0.35">
      <c r="A2288">
        <v>9205030</v>
      </c>
      <c r="B2288" s="1" t="s">
        <v>4919</v>
      </c>
      <c r="C2288">
        <v>1086.5</v>
      </c>
      <c r="D2288">
        <v>13</v>
      </c>
      <c r="E2288" s="1" t="s">
        <v>4920</v>
      </c>
      <c r="F2288" s="1" t="s">
        <v>15</v>
      </c>
      <c r="G2288" s="1" t="s">
        <v>32</v>
      </c>
      <c r="H2288">
        <v>103</v>
      </c>
      <c r="I2288">
        <v>41</v>
      </c>
      <c r="J2288">
        <v>26</v>
      </c>
      <c r="K2288" s="1" t="s">
        <v>191</v>
      </c>
      <c r="L2288" s="1" t="s">
        <v>24</v>
      </c>
      <c r="M2288" s="1" t="s">
        <v>4921</v>
      </c>
      <c r="N2288" s="1" t="s">
        <v>4922</v>
      </c>
    </row>
    <row r="2289" spans="1:14" x14ac:dyDescent="0.35">
      <c r="A2289">
        <v>9205015</v>
      </c>
      <c r="B2289" s="1" t="s">
        <v>4919</v>
      </c>
      <c r="C2289">
        <v>1086.5</v>
      </c>
      <c r="D2289">
        <v>13</v>
      </c>
      <c r="E2289" s="1" t="s">
        <v>4923</v>
      </c>
      <c r="F2289" s="1" t="s">
        <v>15</v>
      </c>
      <c r="G2289" s="1" t="s">
        <v>32</v>
      </c>
      <c r="H2289">
        <v>380</v>
      </c>
      <c r="I2289">
        <v>55</v>
      </c>
      <c r="J2289">
        <v>577</v>
      </c>
      <c r="K2289" s="1" t="s">
        <v>17</v>
      </c>
      <c r="L2289" s="1" t="s">
        <v>18</v>
      </c>
      <c r="M2289" s="1" t="s">
        <v>4921</v>
      </c>
      <c r="N2289" s="1" t="s">
        <v>4924</v>
      </c>
    </row>
    <row r="2290" spans="1:14" x14ac:dyDescent="0.35">
      <c r="A2290">
        <v>9271078</v>
      </c>
      <c r="B2290" s="1" t="s">
        <v>4919</v>
      </c>
      <c r="C2290">
        <v>1086.5</v>
      </c>
      <c r="D2290">
        <v>13</v>
      </c>
      <c r="E2290" s="1" t="s">
        <v>4925</v>
      </c>
      <c r="F2290" s="1" t="s">
        <v>15</v>
      </c>
      <c r="G2290" s="1" t="s">
        <v>32</v>
      </c>
      <c r="H2290">
        <v>130</v>
      </c>
      <c r="I2290">
        <v>47</v>
      </c>
      <c r="J2290">
        <v>253</v>
      </c>
      <c r="K2290" s="1" t="s">
        <v>17</v>
      </c>
      <c r="L2290" s="1" t="s">
        <v>18</v>
      </c>
      <c r="M2290" s="1" t="s">
        <v>4926</v>
      </c>
      <c r="N2290" s="1" t="s">
        <v>4927</v>
      </c>
    </row>
    <row r="2291" spans="1:14" x14ac:dyDescent="0.35">
      <c r="A2291">
        <v>9220043</v>
      </c>
      <c r="B2291" s="1" t="s">
        <v>4919</v>
      </c>
      <c r="C2291">
        <v>1086.5</v>
      </c>
      <c r="D2291">
        <v>13</v>
      </c>
      <c r="E2291" s="1" t="s">
        <v>4928</v>
      </c>
      <c r="F2291" s="1" t="s">
        <v>15</v>
      </c>
      <c r="G2291" s="1" t="s">
        <v>22</v>
      </c>
      <c r="H2291">
        <v>86</v>
      </c>
      <c r="I2291">
        <v>19</v>
      </c>
      <c r="J2291">
        <v>164</v>
      </c>
      <c r="K2291" s="1" t="s">
        <v>17</v>
      </c>
      <c r="L2291" s="1" t="s">
        <v>24</v>
      </c>
      <c r="M2291" s="1" t="s">
        <v>4929</v>
      </c>
      <c r="N2291" s="1" t="s">
        <v>4930</v>
      </c>
    </row>
    <row r="2292" spans="1:14" x14ac:dyDescent="0.35">
      <c r="A2292">
        <v>9204014</v>
      </c>
      <c r="B2292" s="1" t="s">
        <v>4919</v>
      </c>
      <c r="C2292">
        <v>1086.5</v>
      </c>
      <c r="D2292">
        <v>13</v>
      </c>
      <c r="E2292" s="1" t="s">
        <v>4931</v>
      </c>
      <c r="F2292" s="1" t="s">
        <v>15</v>
      </c>
      <c r="G2292" s="1" t="s">
        <v>32</v>
      </c>
      <c r="H2292">
        <v>125</v>
      </c>
      <c r="I2292">
        <v>42</v>
      </c>
      <c r="J2292">
        <v>78</v>
      </c>
      <c r="K2292" s="1" t="s">
        <v>17</v>
      </c>
      <c r="L2292" s="1" t="s">
        <v>24</v>
      </c>
      <c r="M2292" s="1" t="s">
        <v>4932</v>
      </c>
      <c r="N2292" s="1" t="s">
        <v>4933</v>
      </c>
    </row>
    <row r="2293" spans="1:14" x14ac:dyDescent="0.35">
      <c r="A2293">
        <v>9271045</v>
      </c>
      <c r="B2293" s="1" t="s">
        <v>4919</v>
      </c>
      <c r="C2293">
        <v>1086.5</v>
      </c>
      <c r="D2293">
        <v>13</v>
      </c>
      <c r="E2293" s="1" t="s">
        <v>4934</v>
      </c>
      <c r="F2293" s="1" t="s">
        <v>129</v>
      </c>
      <c r="G2293" s="1" t="s">
        <v>16</v>
      </c>
      <c r="H2293">
        <v>76</v>
      </c>
      <c r="I2293">
        <v>20</v>
      </c>
      <c r="J2293">
        <v>80</v>
      </c>
      <c r="K2293" s="1" t="s">
        <v>124</v>
      </c>
      <c r="L2293" s="1" t="s">
        <v>24</v>
      </c>
      <c r="M2293" s="1" t="s">
        <v>4935</v>
      </c>
      <c r="N2293" s="1" t="s">
        <v>4936</v>
      </c>
    </row>
    <row r="2294" spans="1:14" x14ac:dyDescent="0.35">
      <c r="A2294">
        <v>9271012</v>
      </c>
      <c r="B2294" s="1" t="s">
        <v>4919</v>
      </c>
      <c r="C2294">
        <v>1086.5</v>
      </c>
      <c r="D2294">
        <v>13</v>
      </c>
      <c r="E2294" s="1" t="s">
        <v>4937</v>
      </c>
      <c r="F2294" s="1" t="s">
        <v>15</v>
      </c>
      <c r="G2294" s="1" t="s">
        <v>16</v>
      </c>
      <c r="H2294">
        <v>300</v>
      </c>
      <c r="I2294">
        <v>37</v>
      </c>
      <c r="J2294">
        <v>522</v>
      </c>
      <c r="K2294" s="1" t="s">
        <v>124</v>
      </c>
      <c r="L2294" s="1" t="s">
        <v>18</v>
      </c>
      <c r="M2294" s="1" t="s">
        <v>4935</v>
      </c>
      <c r="N2294" s="1" t="s">
        <v>4938</v>
      </c>
    </row>
    <row r="2295" spans="1:14" x14ac:dyDescent="0.35">
      <c r="A2295">
        <v>9203015</v>
      </c>
      <c r="B2295" s="1" t="s">
        <v>4919</v>
      </c>
      <c r="C2295">
        <v>1086.5</v>
      </c>
      <c r="D2295">
        <v>13</v>
      </c>
      <c r="E2295" s="1" t="s">
        <v>4939</v>
      </c>
      <c r="F2295" s="1" t="s">
        <v>15</v>
      </c>
      <c r="G2295" s="1" t="s">
        <v>32</v>
      </c>
      <c r="H2295">
        <v>108</v>
      </c>
      <c r="I2295">
        <v>32</v>
      </c>
      <c r="J2295">
        <v>164</v>
      </c>
      <c r="K2295" s="1" t="s">
        <v>191</v>
      </c>
      <c r="L2295" s="1" t="s">
        <v>24</v>
      </c>
      <c r="M2295" s="1" t="s">
        <v>4935</v>
      </c>
      <c r="N2295" s="1" t="s">
        <v>4940</v>
      </c>
    </row>
    <row r="2296" spans="1:14" x14ac:dyDescent="0.35">
      <c r="A2296">
        <v>9271023</v>
      </c>
      <c r="B2296" s="1" t="s">
        <v>4919</v>
      </c>
      <c r="C2296">
        <v>1086.5</v>
      </c>
      <c r="D2296">
        <v>13</v>
      </c>
      <c r="E2296" s="1" t="s">
        <v>4941</v>
      </c>
      <c r="F2296" s="1" t="s">
        <v>15</v>
      </c>
      <c r="G2296" s="1" t="s">
        <v>32</v>
      </c>
      <c r="H2296">
        <v>236</v>
      </c>
      <c r="I2296">
        <v>79</v>
      </c>
      <c r="J2296">
        <v>190</v>
      </c>
      <c r="K2296" s="1" t="s">
        <v>124</v>
      </c>
      <c r="L2296" s="1" t="s">
        <v>18</v>
      </c>
      <c r="M2296" s="1" t="s">
        <v>4935</v>
      </c>
      <c r="N2296" s="1" t="s">
        <v>4942</v>
      </c>
    </row>
    <row r="2297" spans="1:14" x14ac:dyDescent="0.35">
      <c r="A2297">
        <v>9271056</v>
      </c>
      <c r="B2297" s="1" t="s">
        <v>4919</v>
      </c>
      <c r="C2297">
        <v>1086.5</v>
      </c>
      <c r="D2297">
        <v>13</v>
      </c>
      <c r="E2297" s="1" t="s">
        <v>4943</v>
      </c>
      <c r="F2297" s="1" t="s">
        <v>15</v>
      </c>
      <c r="G2297" s="1" t="s">
        <v>32</v>
      </c>
      <c r="H2297">
        <v>147</v>
      </c>
      <c r="I2297">
        <v>82</v>
      </c>
      <c r="J2297">
        <v>336</v>
      </c>
      <c r="K2297" s="1" t="s">
        <v>84</v>
      </c>
      <c r="L2297" s="1" t="s">
        <v>24</v>
      </c>
      <c r="M2297" s="1" t="s">
        <v>4935</v>
      </c>
      <c r="N2297" s="1" t="s">
        <v>4944</v>
      </c>
    </row>
    <row r="2298" spans="1:14" x14ac:dyDescent="0.35">
      <c r="A2298">
        <v>9271079</v>
      </c>
      <c r="B2298" s="1" t="s">
        <v>4919</v>
      </c>
      <c r="C2298">
        <v>1086.5</v>
      </c>
      <c r="D2298">
        <v>13</v>
      </c>
      <c r="E2298" s="1" t="s">
        <v>4945</v>
      </c>
      <c r="F2298" s="1" t="s">
        <v>15</v>
      </c>
      <c r="G2298" s="1" t="s">
        <v>32</v>
      </c>
      <c r="H2298">
        <v>124</v>
      </c>
      <c r="I2298">
        <v>44</v>
      </c>
      <c r="J2298">
        <v>204</v>
      </c>
      <c r="K2298" s="1" t="s">
        <v>95</v>
      </c>
      <c r="L2298" s="1" t="s">
        <v>120</v>
      </c>
      <c r="M2298" s="1" t="s">
        <v>4935</v>
      </c>
      <c r="N2298" s="1" t="s">
        <v>4946</v>
      </c>
    </row>
    <row r="2299" spans="1:14" x14ac:dyDescent="0.35">
      <c r="A2299">
        <v>9271067</v>
      </c>
      <c r="B2299" s="1" t="s">
        <v>4919</v>
      </c>
      <c r="C2299">
        <v>1086.5</v>
      </c>
      <c r="D2299">
        <v>13</v>
      </c>
      <c r="E2299" s="1" t="s">
        <v>4947</v>
      </c>
      <c r="F2299" s="1" t="s">
        <v>15</v>
      </c>
      <c r="G2299" s="1" t="s">
        <v>32</v>
      </c>
      <c r="H2299">
        <v>132</v>
      </c>
      <c r="I2299">
        <v>39</v>
      </c>
      <c r="J2299">
        <v>340</v>
      </c>
      <c r="K2299" s="1" t="s">
        <v>146</v>
      </c>
      <c r="L2299" s="1" t="s">
        <v>120</v>
      </c>
      <c r="M2299" s="1" t="s">
        <v>4935</v>
      </c>
      <c r="N2299" s="1" t="s">
        <v>4948</v>
      </c>
    </row>
    <row r="2300" spans="1:14" x14ac:dyDescent="0.35">
      <c r="A2300">
        <v>9203016</v>
      </c>
      <c r="B2300" s="1" t="s">
        <v>4919</v>
      </c>
      <c r="C2300">
        <v>1086.5</v>
      </c>
      <c r="D2300">
        <v>13</v>
      </c>
      <c r="E2300" s="1" t="s">
        <v>4949</v>
      </c>
      <c r="F2300" s="1" t="s">
        <v>15</v>
      </c>
      <c r="G2300" s="1" t="s">
        <v>32</v>
      </c>
      <c r="H2300">
        <v>133</v>
      </c>
      <c r="I2300">
        <v>49</v>
      </c>
      <c r="J2300">
        <v>376</v>
      </c>
      <c r="K2300" s="1" t="s">
        <v>27</v>
      </c>
      <c r="L2300" s="1" t="s">
        <v>120</v>
      </c>
      <c r="M2300" s="1" t="s">
        <v>4935</v>
      </c>
      <c r="N2300" s="1" t="s">
        <v>4950</v>
      </c>
    </row>
    <row r="2301" spans="1:14" x14ac:dyDescent="0.35">
      <c r="A2301">
        <v>9271080</v>
      </c>
      <c r="B2301" s="1" t="s">
        <v>4919</v>
      </c>
      <c r="C2301">
        <v>1086.5</v>
      </c>
      <c r="D2301">
        <v>13</v>
      </c>
      <c r="E2301" s="1" t="s">
        <v>4951</v>
      </c>
      <c r="F2301" s="1" t="s">
        <v>15</v>
      </c>
      <c r="G2301" s="1" t="s">
        <v>22</v>
      </c>
      <c r="H2301">
        <v>55</v>
      </c>
      <c r="I2301">
        <v>25</v>
      </c>
      <c r="J2301">
        <v>47</v>
      </c>
      <c r="K2301" s="1" t="s">
        <v>137</v>
      </c>
      <c r="L2301" s="1" t="s">
        <v>24</v>
      </c>
      <c r="M2301" s="1" t="s">
        <v>4935</v>
      </c>
      <c r="N2301" s="1" t="s">
        <v>4952</v>
      </c>
    </row>
    <row r="2302" spans="1:14" x14ac:dyDescent="0.35">
      <c r="A2302">
        <v>9228002</v>
      </c>
      <c r="B2302" s="1" t="s">
        <v>4919</v>
      </c>
      <c r="C2302">
        <v>1086.5</v>
      </c>
      <c r="D2302">
        <v>13</v>
      </c>
      <c r="E2302" s="1" t="s">
        <v>4953</v>
      </c>
      <c r="F2302" s="1" t="s">
        <v>4954</v>
      </c>
      <c r="G2302" s="1" t="s">
        <v>15</v>
      </c>
      <c r="H2302">
        <v>1220</v>
      </c>
      <c r="I2302">
        <v>50</v>
      </c>
      <c r="J2302">
        <v>20</v>
      </c>
      <c r="K2302" s="1" t="s">
        <v>24</v>
      </c>
      <c r="L2302" s="1" t="s">
        <v>52</v>
      </c>
      <c r="M2302" s="1" t="s">
        <v>4955</v>
      </c>
      <c r="N2302" s="1" t="s">
        <v>4956</v>
      </c>
    </row>
    <row r="2303" spans="1:14" x14ac:dyDescent="0.35">
      <c r="A2303">
        <v>9219044</v>
      </c>
      <c r="B2303" s="1" t="s">
        <v>4919</v>
      </c>
      <c r="C2303">
        <v>1086.5</v>
      </c>
      <c r="D2303">
        <v>13</v>
      </c>
      <c r="E2303" s="1" t="s">
        <v>4957</v>
      </c>
      <c r="F2303" s="1" t="s">
        <v>15</v>
      </c>
      <c r="G2303" s="1" t="s">
        <v>22</v>
      </c>
      <c r="H2303">
        <v>63</v>
      </c>
      <c r="I2303">
        <v>13</v>
      </c>
      <c r="K2303" s="1" t="s">
        <v>17</v>
      </c>
      <c r="L2303" s="1" t="s">
        <v>24</v>
      </c>
      <c r="M2303" s="1" t="s">
        <v>4958</v>
      </c>
      <c r="N2303" s="1" t="s">
        <v>4959</v>
      </c>
    </row>
    <row r="2304" spans="1:14" x14ac:dyDescent="0.35">
      <c r="A2304">
        <v>9227011</v>
      </c>
      <c r="B2304" s="1" t="s">
        <v>4919</v>
      </c>
      <c r="C2304">
        <v>1086.5</v>
      </c>
      <c r="D2304">
        <v>13</v>
      </c>
      <c r="E2304" s="1" t="s">
        <v>4960</v>
      </c>
      <c r="F2304" s="1" t="s">
        <v>15</v>
      </c>
      <c r="G2304" s="1" t="s">
        <v>22</v>
      </c>
      <c r="H2304">
        <v>46</v>
      </c>
      <c r="I2304">
        <v>24</v>
      </c>
      <c r="J2304">
        <v>136</v>
      </c>
      <c r="K2304" s="1" t="s">
        <v>17</v>
      </c>
      <c r="L2304" s="1" t="s">
        <v>24</v>
      </c>
      <c r="M2304" s="1" t="s">
        <v>4961</v>
      </c>
      <c r="N2304" s="1" t="s">
        <v>4962</v>
      </c>
    </row>
    <row r="2305" spans="1:14" x14ac:dyDescent="0.35">
      <c r="A2305">
        <v>9226002</v>
      </c>
      <c r="B2305" s="1" t="s">
        <v>4919</v>
      </c>
      <c r="C2305">
        <v>1086.5</v>
      </c>
      <c r="D2305">
        <v>13</v>
      </c>
      <c r="E2305" s="1" t="s">
        <v>4963</v>
      </c>
      <c r="F2305" s="1" t="s">
        <v>15</v>
      </c>
      <c r="G2305" s="1" t="s">
        <v>52</v>
      </c>
      <c r="H2305">
        <v>14</v>
      </c>
      <c r="I2305">
        <v>6</v>
      </c>
      <c r="K2305" s="1" t="s">
        <v>17</v>
      </c>
      <c r="L2305" s="1" t="s">
        <v>24</v>
      </c>
      <c r="M2305" s="1" t="s">
        <v>4964</v>
      </c>
      <c r="N2305" s="1" t="s">
        <v>4965</v>
      </c>
    </row>
    <row r="2306" spans="1:14" x14ac:dyDescent="0.35">
      <c r="A2306">
        <v>9101010</v>
      </c>
      <c r="B2306" s="1" t="s">
        <v>4966</v>
      </c>
      <c r="C2306">
        <v>596.5</v>
      </c>
      <c r="D2306">
        <v>10</v>
      </c>
      <c r="E2306" s="1" t="s">
        <v>4967</v>
      </c>
      <c r="F2306" s="1" t="s">
        <v>15</v>
      </c>
      <c r="G2306" s="1" t="s">
        <v>32</v>
      </c>
      <c r="H2306">
        <v>132</v>
      </c>
      <c r="I2306">
        <v>25</v>
      </c>
      <c r="J2306">
        <v>284</v>
      </c>
      <c r="K2306" s="1" t="s">
        <v>17</v>
      </c>
      <c r="L2306" s="1" t="s">
        <v>24</v>
      </c>
      <c r="M2306" s="1" t="s">
        <v>4968</v>
      </c>
      <c r="N2306" s="1" t="s">
        <v>4969</v>
      </c>
    </row>
    <row r="2307" spans="1:14" x14ac:dyDescent="0.35">
      <c r="A2307">
        <v>9102034</v>
      </c>
      <c r="B2307" s="1" t="s">
        <v>4966</v>
      </c>
      <c r="C2307">
        <v>596.5</v>
      </c>
      <c r="D2307">
        <v>10</v>
      </c>
      <c r="E2307" s="1" t="s">
        <v>4970</v>
      </c>
      <c r="F2307" s="1" t="s">
        <v>15</v>
      </c>
      <c r="G2307" s="1" t="s">
        <v>32</v>
      </c>
      <c r="H2307">
        <v>100</v>
      </c>
      <c r="I2307">
        <v>32</v>
      </c>
      <c r="J2307">
        <v>270</v>
      </c>
      <c r="K2307" s="1" t="s">
        <v>17</v>
      </c>
      <c r="L2307" s="1" t="s">
        <v>24</v>
      </c>
      <c r="M2307" s="1" t="s">
        <v>4971</v>
      </c>
      <c r="N2307" s="1" t="s">
        <v>4972</v>
      </c>
    </row>
    <row r="2308" spans="1:14" x14ac:dyDescent="0.35">
      <c r="A2308">
        <v>9105006</v>
      </c>
      <c r="B2308" s="1" t="s">
        <v>4966</v>
      </c>
      <c r="C2308">
        <v>596.5</v>
      </c>
      <c r="D2308">
        <v>10</v>
      </c>
      <c r="E2308" s="1" t="s">
        <v>4973</v>
      </c>
      <c r="F2308" s="1" t="s">
        <v>15</v>
      </c>
      <c r="G2308" s="1" t="s">
        <v>32</v>
      </c>
      <c r="H2308">
        <v>192</v>
      </c>
      <c r="I2308">
        <v>33</v>
      </c>
      <c r="J2308">
        <v>313</v>
      </c>
      <c r="K2308" s="1" t="s">
        <v>124</v>
      </c>
      <c r="L2308" s="1" t="s">
        <v>18</v>
      </c>
      <c r="M2308" s="1" t="s">
        <v>4974</v>
      </c>
      <c r="N2308" s="1" t="s">
        <v>4975</v>
      </c>
    </row>
    <row r="2309" spans="1:14" x14ac:dyDescent="0.35">
      <c r="A2309">
        <v>9102011</v>
      </c>
      <c r="B2309" s="1" t="s">
        <v>4966</v>
      </c>
      <c r="C2309">
        <v>596.5</v>
      </c>
      <c r="D2309">
        <v>10</v>
      </c>
      <c r="E2309" s="1" t="s">
        <v>4976</v>
      </c>
      <c r="F2309" s="1" t="s">
        <v>15</v>
      </c>
      <c r="G2309" s="1" t="s">
        <v>32</v>
      </c>
      <c r="H2309">
        <v>160</v>
      </c>
      <c r="I2309">
        <v>26</v>
      </c>
      <c r="J2309">
        <v>442</v>
      </c>
      <c r="K2309" s="1" t="s">
        <v>17</v>
      </c>
      <c r="L2309" s="1" t="s">
        <v>18</v>
      </c>
      <c r="M2309" s="1" t="s">
        <v>4974</v>
      </c>
      <c r="N2309" s="1" t="s">
        <v>4977</v>
      </c>
    </row>
    <row r="2310" spans="1:14" x14ac:dyDescent="0.35">
      <c r="A2310">
        <v>9105005</v>
      </c>
      <c r="B2310" s="1" t="s">
        <v>4966</v>
      </c>
      <c r="C2310">
        <v>596.5</v>
      </c>
      <c r="D2310">
        <v>10</v>
      </c>
      <c r="E2310" s="1" t="s">
        <v>4978</v>
      </c>
      <c r="F2310" s="1" t="s">
        <v>15</v>
      </c>
      <c r="G2310" s="1" t="s">
        <v>22</v>
      </c>
      <c r="H2310">
        <v>53</v>
      </c>
      <c r="I2310">
        <v>15</v>
      </c>
      <c r="J2310">
        <v>60</v>
      </c>
      <c r="K2310" s="1" t="s">
        <v>146</v>
      </c>
      <c r="L2310" s="1" t="s">
        <v>24</v>
      </c>
      <c r="M2310" s="1" t="s">
        <v>4974</v>
      </c>
      <c r="N2310" s="1" t="s">
        <v>4979</v>
      </c>
    </row>
    <row r="2311" spans="1:14" x14ac:dyDescent="0.35">
      <c r="A2311">
        <v>9102033</v>
      </c>
      <c r="B2311" s="1" t="s">
        <v>4966</v>
      </c>
      <c r="C2311">
        <v>596.5</v>
      </c>
      <c r="D2311">
        <v>10</v>
      </c>
      <c r="E2311" s="1" t="s">
        <v>4980</v>
      </c>
      <c r="F2311" s="1" t="s">
        <v>15</v>
      </c>
      <c r="G2311" s="1" t="s">
        <v>22</v>
      </c>
      <c r="H2311">
        <v>118</v>
      </c>
      <c r="I2311">
        <v>23</v>
      </c>
      <c r="J2311">
        <v>170</v>
      </c>
      <c r="K2311" s="1" t="s">
        <v>191</v>
      </c>
      <c r="L2311" s="1" t="s">
        <v>24</v>
      </c>
      <c r="M2311" s="1" t="s">
        <v>4974</v>
      </c>
      <c r="N2311" s="1" t="s">
        <v>4981</v>
      </c>
    </row>
    <row r="2312" spans="1:14" x14ac:dyDescent="0.35">
      <c r="A2312">
        <v>9105004</v>
      </c>
      <c r="B2312" s="1" t="s">
        <v>4966</v>
      </c>
      <c r="C2312">
        <v>596.5</v>
      </c>
      <c r="D2312">
        <v>10</v>
      </c>
      <c r="E2312" s="1" t="s">
        <v>4982</v>
      </c>
      <c r="F2312" s="1" t="s">
        <v>15</v>
      </c>
      <c r="G2312" s="1" t="s">
        <v>22</v>
      </c>
      <c r="H2312">
        <v>50</v>
      </c>
      <c r="I2312">
        <v>23</v>
      </c>
      <c r="J2312">
        <v>78</v>
      </c>
      <c r="K2312" s="1" t="s">
        <v>17</v>
      </c>
      <c r="L2312" s="1" t="s">
        <v>24</v>
      </c>
      <c r="M2312" s="1" t="s">
        <v>4974</v>
      </c>
      <c r="N2312" s="1" t="s">
        <v>4983</v>
      </c>
    </row>
    <row r="2313" spans="1:14" x14ac:dyDescent="0.35">
      <c r="A2313">
        <v>9105017</v>
      </c>
      <c r="B2313" s="1" t="s">
        <v>4966</v>
      </c>
      <c r="C2313">
        <v>596.5</v>
      </c>
      <c r="D2313">
        <v>10</v>
      </c>
      <c r="E2313" s="1" t="s">
        <v>4984</v>
      </c>
      <c r="F2313" s="1" t="s">
        <v>15</v>
      </c>
      <c r="G2313" s="1" t="s">
        <v>22</v>
      </c>
      <c r="H2313">
        <v>55</v>
      </c>
      <c r="I2313">
        <v>17</v>
      </c>
      <c r="K2313" s="1" t="s">
        <v>23</v>
      </c>
      <c r="L2313" s="1" t="s">
        <v>24</v>
      </c>
      <c r="M2313" s="1" t="s">
        <v>4974</v>
      </c>
      <c r="N2313" s="1" t="s">
        <v>4985</v>
      </c>
    </row>
    <row r="2314" spans="1:14" x14ac:dyDescent="0.35">
      <c r="A2314">
        <v>9102022</v>
      </c>
      <c r="B2314" s="1" t="s">
        <v>4966</v>
      </c>
      <c r="C2314">
        <v>596.5</v>
      </c>
      <c r="D2314">
        <v>10</v>
      </c>
      <c r="E2314" s="1" t="s">
        <v>4986</v>
      </c>
      <c r="F2314" s="1" t="s">
        <v>15</v>
      </c>
      <c r="G2314" s="1" t="s">
        <v>22</v>
      </c>
      <c r="H2314">
        <v>60</v>
      </c>
      <c r="I2314">
        <v>27</v>
      </c>
      <c r="J2314">
        <v>4</v>
      </c>
      <c r="K2314" s="1" t="s">
        <v>27</v>
      </c>
      <c r="L2314" s="1" t="s">
        <v>24</v>
      </c>
      <c r="M2314" s="1" t="s">
        <v>4974</v>
      </c>
      <c r="N2314" s="1" t="s">
        <v>4987</v>
      </c>
    </row>
    <row r="2315" spans="1:14" x14ac:dyDescent="0.35">
      <c r="A2315">
        <v>9111001</v>
      </c>
      <c r="B2315" s="1" t="s">
        <v>4966</v>
      </c>
      <c r="C2315">
        <v>596.5</v>
      </c>
      <c r="D2315">
        <v>10</v>
      </c>
      <c r="E2315" s="1" t="s">
        <v>4988</v>
      </c>
      <c r="F2315" s="1" t="s">
        <v>15</v>
      </c>
      <c r="G2315" s="1" t="s">
        <v>32</v>
      </c>
      <c r="H2315">
        <v>62</v>
      </c>
      <c r="I2315">
        <v>20</v>
      </c>
      <c r="K2315" s="1" t="s">
        <v>17</v>
      </c>
      <c r="L2315" s="1" t="s">
        <v>24</v>
      </c>
      <c r="M2315" s="1" t="s">
        <v>4989</v>
      </c>
      <c r="N2315" s="1" t="s">
        <v>4990</v>
      </c>
    </row>
    <row r="2316" spans="1:14" x14ac:dyDescent="0.35">
      <c r="A2316">
        <v>9104002</v>
      </c>
      <c r="B2316" s="1" t="s">
        <v>4966</v>
      </c>
      <c r="C2316">
        <v>596.5</v>
      </c>
      <c r="D2316">
        <v>10</v>
      </c>
      <c r="E2316" s="1" t="s">
        <v>4991</v>
      </c>
      <c r="F2316" s="1" t="s">
        <v>15</v>
      </c>
      <c r="G2316" s="1" t="s">
        <v>32</v>
      </c>
      <c r="H2316">
        <v>97</v>
      </c>
      <c r="I2316">
        <v>32</v>
      </c>
      <c r="J2316">
        <v>233</v>
      </c>
      <c r="K2316" s="1" t="s">
        <v>17</v>
      </c>
      <c r="L2316" s="1" t="s">
        <v>18</v>
      </c>
      <c r="M2316" s="1" t="s">
        <v>4992</v>
      </c>
      <c r="N2316" s="1" t="s">
        <v>4993</v>
      </c>
    </row>
    <row r="2317" spans="1:14" x14ac:dyDescent="0.35">
      <c r="A2317">
        <v>9103035</v>
      </c>
      <c r="B2317" s="1" t="s">
        <v>4966</v>
      </c>
      <c r="C2317">
        <v>596.5</v>
      </c>
      <c r="D2317">
        <v>10</v>
      </c>
      <c r="E2317" s="1" t="s">
        <v>4994</v>
      </c>
      <c r="F2317" s="1" t="s">
        <v>15</v>
      </c>
      <c r="G2317" s="1" t="s">
        <v>32</v>
      </c>
      <c r="H2317">
        <v>103</v>
      </c>
      <c r="I2317">
        <v>22</v>
      </c>
      <c r="J2317">
        <v>218</v>
      </c>
      <c r="K2317" s="1" t="s">
        <v>17</v>
      </c>
      <c r="L2317" s="1" t="s">
        <v>18</v>
      </c>
      <c r="M2317" s="1" t="s">
        <v>4995</v>
      </c>
      <c r="N2317" s="1" t="s">
        <v>4996</v>
      </c>
    </row>
    <row r="2318" spans="1:14" x14ac:dyDescent="0.35">
      <c r="A2318">
        <v>9171032</v>
      </c>
      <c r="B2318" s="1" t="s">
        <v>4997</v>
      </c>
      <c r="C2318">
        <v>645.5</v>
      </c>
      <c r="D2318">
        <v>17</v>
      </c>
      <c r="E2318" s="1" t="s">
        <v>4998</v>
      </c>
      <c r="F2318" s="1" t="s">
        <v>15</v>
      </c>
      <c r="G2318" s="1" t="s">
        <v>32</v>
      </c>
      <c r="H2318">
        <v>149</v>
      </c>
      <c r="I2318">
        <v>30</v>
      </c>
      <c r="J2318">
        <v>380</v>
      </c>
      <c r="K2318" s="1" t="s">
        <v>137</v>
      </c>
      <c r="L2318" s="1" t="s">
        <v>18</v>
      </c>
      <c r="M2318" s="1" t="s">
        <v>4999</v>
      </c>
      <c r="N2318" s="1" t="s">
        <v>5000</v>
      </c>
    </row>
    <row r="2319" spans="1:14" x14ac:dyDescent="0.35">
      <c r="A2319">
        <v>9171046</v>
      </c>
      <c r="B2319" s="1" t="s">
        <v>4997</v>
      </c>
      <c r="C2319">
        <v>645.5</v>
      </c>
      <c r="D2319">
        <v>17</v>
      </c>
      <c r="E2319" s="1" t="s">
        <v>5001</v>
      </c>
      <c r="F2319" s="1" t="s">
        <v>15</v>
      </c>
      <c r="G2319" s="1" t="s">
        <v>22</v>
      </c>
      <c r="H2319">
        <v>55</v>
      </c>
      <c r="I2319">
        <v>18</v>
      </c>
      <c r="J2319">
        <v>67</v>
      </c>
      <c r="K2319" s="1" t="s">
        <v>95</v>
      </c>
      <c r="L2319" s="1" t="s">
        <v>24</v>
      </c>
      <c r="M2319" s="1" t="s">
        <v>4999</v>
      </c>
      <c r="N2319" s="1" t="s">
        <v>5002</v>
      </c>
    </row>
    <row r="2320" spans="1:14" x14ac:dyDescent="0.35">
      <c r="A2320">
        <v>9107002</v>
      </c>
      <c r="B2320" s="1" t="s">
        <v>4997</v>
      </c>
      <c r="C2320">
        <v>645.5</v>
      </c>
      <c r="D2320">
        <v>17</v>
      </c>
      <c r="E2320" s="1" t="s">
        <v>5003</v>
      </c>
      <c r="F2320" s="1" t="s">
        <v>15</v>
      </c>
      <c r="G2320" s="1" t="s">
        <v>22</v>
      </c>
      <c r="H2320">
        <v>63</v>
      </c>
      <c r="I2320">
        <v>40</v>
      </c>
      <c r="J2320">
        <v>141</v>
      </c>
      <c r="K2320" s="1" t="s">
        <v>95</v>
      </c>
      <c r="L2320" s="1" t="s">
        <v>24</v>
      </c>
      <c r="M2320" s="1" t="s">
        <v>4999</v>
      </c>
      <c r="N2320" s="1" t="s">
        <v>5004</v>
      </c>
    </row>
    <row r="2321" spans="1:14" x14ac:dyDescent="0.35">
      <c r="A2321">
        <v>9171047</v>
      </c>
      <c r="B2321" s="1" t="s">
        <v>4997</v>
      </c>
      <c r="C2321">
        <v>645.5</v>
      </c>
      <c r="D2321">
        <v>17</v>
      </c>
      <c r="E2321" s="1" t="s">
        <v>5005</v>
      </c>
      <c r="F2321" s="1" t="s">
        <v>15</v>
      </c>
      <c r="G2321" s="1" t="s">
        <v>22</v>
      </c>
      <c r="H2321">
        <v>92</v>
      </c>
      <c r="I2321">
        <v>18</v>
      </c>
      <c r="J2321">
        <v>93</v>
      </c>
      <c r="K2321" s="1" t="s">
        <v>191</v>
      </c>
      <c r="L2321" s="1" t="s">
        <v>24</v>
      </c>
      <c r="M2321" s="1" t="s">
        <v>4999</v>
      </c>
      <c r="N2321" s="1" t="s">
        <v>5006</v>
      </c>
    </row>
    <row r="2322" spans="1:14" x14ac:dyDescent="0.35">
      <c r="A2322">
        <v>9171021</v>
      </c>
      <c r="B2322" s="1" t="s">
        <v>4997</v>
      </c>
      <c r="C2322">
        <v>645.5</v>
      </c>
      <c r="D2322">
        <v>17</v>
      </c>
      <c r="E2322" s="1" t="s">
        <v>5007</v>
      </c>
      <c r="F2322" s="1" t="s">
        <v>15</v>
      </c>
      <c r="G2322" s="1" t="s">
        <v>22</v>
      </c>
      <c r="H2322">
        <v>50</v>
      </c>
      <c r="I2322">
        <v>34</v>
      </c>
      <c r="J2322">
        <v>61</v>
      </c>
      <c r="K2322" s="1" t="s">
        <v>61</v>
      </c>
      <c r="L2322" s="1" t="s">
        <v>24</v>
      </c>
      <c r="M2322" s="1" t="s">
        <v>4999</v>
      </c>
      <c r="N2322" s="1" t="s">
        <v>5008</v>
      </c>
    </row>
    <row r="2323" spans="1:14" x14ac:dyDescent="0.35">
      <c r="A2323">
        <v>9271034</v>
      </c>
      <c r="B2323" s="1" t="s">
        <v>4997</v>
      </c>
      <c r="C2323">
        <v>645.5</v>
      </c>
      <c r="D2323">
        <v>17</v>
      </c>
      <c r="E2323" s="1" t="s">
        <v>5009</v>
      </c>
      <c r="F2323" s="1" t="s">
        <v>15</v>
      </c>
      <c r="G2323" s="1" t="s">
        <v>22</v>
      </c>
      <c r="H2323">
        <v>47</v>
      </c>
      <c r="I2323">
        <v>15</v>
      </c>
      <c r="J2323">
        <v>26</v>
      </c>
      <c r="K2323" s="1" t="s">
        <v>27</v>
      </c>
      <c r="L2323" s="1" t="s">
        <v>120</v>
      </c>
      <c r="M2323" s="1" t="s">
        <v>4999</v>
      </c>
      <c r="N2323" s="1" t="s">
        <v>5010</v>
      </c>
    </row>
    <row r="2324" spans="1:14" x14ac:dyDescent="0.35">
      <c r="A2324">
        <v>9110011</v>
      </c>
      <c r="B2324" s="1" t="s">
        <v>4997</v>
      </c>
      <c r="C2324">
        <v>645.5</v>
      </c>
      <c r="D2324">
        <v>17</v>
      </c>
      <c r="E2324" s="1" t="s">
        <v>5011</v>
      </c>
      <c r="F2324" s="1" t="s">
        <v>15</v>
      </c>
      <c r="G2324" s="1" t="s">
        <v>52</v>
      </c>
      <c r="H2324">
        <v>4</v>
      </c>
      <c r="I2324">
        <v>8</v>
      </c>
      <c r="K2324" s="1" t="s">
        <v>17</v>
      </c>
      <c r="L2324" s="1" t="s">
        <v>24</v>
      </c>
      <c r="M2324" s="1" t="s">
        <v>5012</v>
      </c>
      <c r="N2324" s="1" t="s">
        <v>5013</v>
      </c>
    </row>
    <row r="2325" spans="1:14" x14ac:dyDescent="0.35">
      <c r="A2325">
        <v>9108002</v>
      </c>
      <c r="B2325" s="1" t="s">
        <v>4997</v>
      </c>
      <c r="C2325">
        <v>645.5</v>
      </c>
      <c r="D2325">
        <v>17</v>
      </c>
      <c r="E2325" s="1" t="s">
        <v>5014</v>
      </c>
      <c r="F2325" s="1" t="s">
        <v>15</v>
      </c>
      <c r="G2325" s="1" t="s">
        <v>22</v>
      </c>
      <c r="H2325">
        <v>182</v>
      </c>
      <c r="I2325">
        <v>17</v>
      </c>
      <c r="J2325">
        <v>100</v>
      </c>
      <c r="K2325" s="1" t="s">
        <v>17</v>
      </c>
      <c r="L2325" s="1" t="s">
        <v>24</v>
      </c>
      <c r="M2325" s="1" t="s">
        <v>5015</v>
      </c>
      <c r="N2325" s="1" t="s">
        <v>5016</v>
      </c>
    </row>
    <row r="2326" spans="1:14" x14ac:dyDescent="0.35">
      <c r="A2326">
        <v>9171010</v>
      </c>
      <c r="B2326" s="1" t="s">
        <v>4997</v>
      </c>
      <c r="C2326">
        <v>645.5</v>
      </c>
      <c r="D2326">
        <v>17</v>
      </c>
      <c r="E2326" s="1" t="s">
        <v>5017</v>
      </c>
      <c r="F2326" s="1" t="s">
        <v>15</v>
      </c>
      <c r="G2326" s="1" t="s">
        <v>32</v>
      </c>
      <c r="H2326">
        <v>220</v>
      </c>
      <c r="I2326">
        <v>43</v>
      </c>
      <c r="J2326">
        <v>323</v>
      </c>
      <c r="K2326" s="1" t="s">
        <v>17</v>
      </c>
      <c r="L2326" s="1" t="s">
        <v>18</v>
      </c>
      <c r="M2326" s="1" t="s">
        <v>5018</v>
      </c>
      <c r="N2326" s="1" t="s">
        <v>5019</v>
      </c>
    </row>
    <row r="2327" spans="1:14" x14ac:dyDescent="0.35">
      <c r="A2327">
        <v>9106013</v>
      </c>
      <c r="B2327" s="1" t="s">
        <v>4997</v>
      </c>
      <c r="C2327">
        <v>645.5</v>
      </c>
      <c r="D2327">
        <v>17</v>
      </c>
      <c r="E2327" s="1" t="s">
        <v>5020</v>
      </c>
      <c r="F2327" s="1" t="s">
        <v>15</v>
      </c>
      <c r="G2327" s="1" t="s">
        <v>32</v>
      </c>
      <c r="H2327">
        <v>82</v>
      </c>
      <c r="I2327">
        <v>58</v>
      </c>
      <c r="J2327">
        <v>263</v>
      </c>
      <c r="K2327" s="1" t="s">
        <v>17</v>
      </c>
      <c r="L2327" s="1" t="s">
        <v>18</v>
      </c>
      <c r="M2327" s="1" t="s">
        <v>5021</v>
      </c>
      <c r="N2327" s="1" t="s">
        <v>5022</v>
      </c>
    </row>
    <row r="2328" spans="1:14" x14ac:dyDescent="0.35">
      <c r="A2328">
        <v>9109002</v>
      </c>
      <c r="B2328" s="1" t="s">
        <v>4997</v>
      </c>
      <c r="C2328">
        <v>645.5</v>
      </c>
      <c r="D2328">
        <v>17</v>
      </c>
      <c r="E2328" s="1" t="s">
        <v>5023</v>
      </c>
      <c r="F2328" s="1" t="s">
        <v>15</v>
      </c>
      <c r="G2328" s="1" t="s">
        <v>52</v>
      </c>
      <c r="H2328">
        <v>39</v>
      </c>
      <c r="I2328">
        <v>15</v>
      </c>
      <c r="K2328" s="1" t="s">
        <v>17</v>
      </c>
      <c r="L2328" s="1" t="s">
        <v>24</v>
      </c>
      <c r="M2328" s="1" t="s">
        <v>5024</v>
      </c>
      <c r="N2328" s="1" t="s">
        <v>5025</v>
      </c>
    </row>
    <row r="2329" spans="1:14" x14ac:dyDescent="0.35">
      <c r="A2329">
        <v>9230002</v>
      </c>
      <c r="B2329" s="1" t="s">
        <v>5026</v>
      </c>
      <c r="C2329">
        <v>1501.9</v>
      </c>
      <c r="D2329">
        <v>29</v>
      </c>
      <c r="E2329" s="1" t="s">
        <v>5027</v>
      </c>
      <c r="F2329" s="1" t="s">
        <v>15</v>
      </c>
      <c r="G2329" s="1" t="s">
        <v>22</v>
      </c>
      <c r="H2329">
        <v>85</v>
      </c>
      <c r="I2329">
        <v>27</v>
      </c>
      <c r="J2329">
        <v>13</v>
      </c>
      <c r="K2329" s="1" t="s">
        <v>17</v>
      </c>
      <c r="L2329" s="1" t="s">
        <v>24</v>
      </c>
      <c r="M2329" s="1" t="s">
        <v>5028</v>
      </c>
      <c r="N2329" s="1" t="s">
        <v>5029</v>
      </c>
    </row>
    <row r="2330" spans="1:14" x14ac:dyDescent="0.35">
      <c r="A2330">
        <v>9231002</v>
      </c>
      <c r="B2330" s="1" t="s">
        <v>5026</v>
      </c>
      <c r="C2330">
        <v>1501.9</v>
      </c>
      <c r="D2330">
        <v>29</v>
      </c>
      <c r="E2330" s="1" t="s">
        <v>5030</v>
      </c>
      <c r="F2330" s="1" t="s">
        <v>15</v>
      </c>
      <c r="G2330" s="1" t="s">
        <v>52</v>
      </c>
      <c r="H2330">
        <v>85</v>
      </c>
      <c r="I2330">
        <v>23</v>
      </c>
      <c r="J2330">
        <v>47</v>
      </c>
      <c r="K2330" s="1" t="s">
        <v>17</v>
      </c>
      <c r="L2330" s="1" t="s">
        <v>24</v>
      </c>
      <c r="M2330" s="1" t="s">
        <v>5031</v>
      </c>
      <c r="N2330" s="1" t="s">
        <v>5032</v>
      </c>
    </row>
    <row r="2331" spans="1:14" x14ac:dyDescent="0.35">
      <c r="A2331">
        <v>9229002</v>
      </c>
      <c r="B2331" s="1" t="s">
        <v>5026</v>
      </c>
      <c r="C2331">
        <v>1501.9</v>
      </c>
      <c r="D2331">
        <v>29</v>
      </c>
      <c r="E2331" s="1" t="s">
        <v>5033</v>
      </c>
      <c r="F2331" s="1" t="s">
        <v>15</v>
      </c>
      <c r="G2331" s="1" t="s">
        <v>22</v>
      </c>
      <c r="I2331">
        <v>29</v>
      </c>
      <c r="J2331">
        <v>9</v>
      </c>
      <c r="K2331" s="1" t="s">
        <v>17</v>
      </c>
      <c r="L2331" s="1" t="s">
        <v>24</v>
      </c>
      <c r="M2331" s="1" t="s">
        <v>5034</v>
      </c>
      <c r="N2331" s="1" t="s">
        <v>5035</v>
      </c>
    </row>
    <row r="2332" spans="1:14" x14ac:dyDescent="0.35">
      <c r="A2332">
        <v>9217013</v>
      </c>
      <c r="B2332" s="1" t="s">
        <v>5026</v>
      </c>
      <c r="C2332">
        <v>1501.9</v>
      </c>
      <c r="D2332">
        <v>29</v>
      </c>
      <c r="E2332" s="1" t="s">
        <v>5036</v>
      </c>
      <c r="F2332" s="1" t="s">
        <v>15</v>
      </c>
      <c r="G2332" s="1" t="s">
        <v>22</v>
      </c>
      <c r="H2332">
        <v>61</v>
      </c>
      <c r="I2332">
        <v>17</v>
      </c>
      <c r="J2332">
        <v>86</v>
      </c>
      <c r="K2332" s="1" t="s">
        <v>17</v>
      </c>
      <c r="L2332" s="1" t="s">
        <v>24</v>
      </c>
      <c r="M2332" s="1" t="s">
        <v>5037</v>
      </c>
      <c r="N2332" s="1" t="s">
        <v>5038</v>
      </c>
    </row>
    <row r="2333" spans="1:14" x14ac:dyDescent="0.35">
      <c r="A2333">
        <v>9218002</v>
      </c>
      <c r="B2333" s="1" t="s">
        <v>5026</v>
      </c>
      <c r="C2333">
        <v>1501.9</v>
      </c>
      <c r="D2333">
        <v>29</v>
      </c>
      <c r="E2333" s="1" t="s">
        <v>5039</v>
      </c>
      <c r="F2333" s="1" t="s">
        <v>15</v>
      </c>
      <c r="G2333" s="1" t="s">
        <v>52</v>
      </c>
      <c r="H2333">
        <v>37</v>
      </c>
      <c r="I2333">
        <v>29</v>
      </c>
      <c r="J2333">
        <v>147</v>
      </c>
      <c r="K2333" s="1" t="s">
        <v>17</v>
      </c>
      <c r="L2333" s="1" t="s">
        <v>24</v>
      </c>
      <c r="M2333" s="1" t="s">
        <v>5040</v>
      </c>
      <c r="N2333" s="1" t="s">
        <v>5041</v>
      </c>
    </row>
    <row r="2334" spans="1:14" x14ac:dyDescent="0.35">
      <c r="A2334">
        <v>9202014</v>
      </c>
      <c r="B2334" s="1" t="s">
        <v>5026</v>
      </c>
      <c r="C2334">
        <v>1501.9</v>
      </c>
      <c r="D2334">
        <v>29</v>
      </c>
      <c r="E2334" s="1" t="s">
        <v>5042</v>
      </c>
      <c r="F2334" s="1" t="s">
        <v>15</v>
      </c>
      <c r="G2334" s="1" t="s">
        <v>22</v>
      </c>
      <c r="H2334">
        <v>89</v>
      </c>
      <c r="I2334">
        <v>23</v>
      </c>
      <c r="J2334">
        <v>20</v>
      </c>
      <c r="K2334" s="1" t="s">
        <v>17</v>
      </c>
      <c r="L2334" s="1" t="s">
        <v>24</v>
      </c>
      <c r="M2334" s="1" t="s">
        <v>5043</v>
      </c>
      <c r="N2334" s="1" t="s">
        <v>5044</v>
      </c>
    </row>
    <row r="2335" spans="1:14" x14ac:dyDescent="0.35">
      <c r="A2335">
        <v>9232011</v>
      </c>
      <c r="B2335" s="1" t="s">
        <v>5026</v>
      </c>
      <c r="C2335">
        <v>1501.9</v>
      </c>
      <c r="D2335">
        <v>29</v>
      </c>
      <c r="E2335" s="1" t="s">
        <v>5045</v>
      </c>
      <c r="F2335" s="1" t="s">
        <v>15</v>
      </c>
      <c r="G2335" s="1" t="s">
        <v>22</v>
      </c>
      <c r="H2335">
        <v>35</v>
      </c>
      <c r="I2335">
        <v>18</v>
      </c>
      <c r="K2335" s="1" t="s">
        <v>17</v>
      </c>
      <c r="L2335" s="1" t="s">
        <v>24</v>
      </c>
      <c r="M2335" s="1" t="s">
        <v>5046</v>
      </c>
      <c r="N2335" s="1" t="s">
        <v>5047</v>
      </c>
    </row>
    <row r="2336" spans="1:14" x14ac:dyDescent="0.35">
      <c r="A2336">
        <v>9215011</v>
      </c>
      <c r="B2336" s="1" t="s">
        <v>5048</v>
      </c>
      <c r="C2336">
        <v>557.20000000000005</v>
      </c>
      <c r="D2336">
        <v>5</v>
      </c>
      <c r="E2336" s="1" t="s">
        <v>5049</v>
      </c>
      <c r="F2336" s="1" t="s">
        <v>15</v>
      </c>
      <c r="G2336" s="1" t="s">
        <v>22</v>
      </c>
      <c r="H2336">
        <v>104</v>
      </c>
      <c r="I2336">
        <v>24</v>
      </c>
      <c r="J2336">
        <v>261</v>
      </c>
      <c r="K2336" s="1" t="s">
        <v>17</v>
      </c>
      <c r="L2336" s="1" t="s">
        <v>24</v>
      </c>
      <c r="M2336" s="1" t="s">
        <v>5050</v>
      </c>
      <c r="N2336" s="1" t="s">
        <v>5051</v>
      </c>
    </row>
    <row r="2337" spans="1:14" x14ac:dyDescent="0.35">
      <c r="A2337">
        <v>9213039</v>
      </c>
      <c r="B2337" s="1" t="s">
        <v>5048</v>
      </c>
      <c r="C2337">
        <v>557.20000000000005</v>
      </c>
      <c r="D2337">
        <v>5</v>
      </c>
      <c r="E2337" s="1" t="s">
        <v>5052</v>
      </c>
      <c r="F2337" s="1" t="s">
        <v>15</v>
      </c>
      <c r="G2337" s="1" t="s">
        <v>22</v>
      </c>
      <c r="H2337">
        <v>102</v>
      </c>
      <c r="I2337">
        <v>23</v>
      </c>
      <c r="J2337">
        <v>112</v>
      </c>
      <c r="K2337" s="1" t="s">
        <v>17</v>
      </c>
      <c r="L2337" s="1" t="s">
        <v>24</v>
      </c>
      <c r="M2337" s="1" t="s">
        <v>5053</v>
      </c>
      <c r="N2337" s="1" t="s">
        <v>5054</v>
      </c>
    </row>
    <row r="2338" spans="1:14" x14ac:dyDescent="0.35">
      <c r="A2338">
        <v>9213038</v>
      </c>
      <c r="B2338" s="1" t="s">
        <v>5048</v>
      </c>
      <c r="C2338">
        <v>557.20000000000005</v>
      </c>
      <c r="D2338">
        <v>5</v>
      </c>
      <c r="E2338" s="1" t="s">
        <v>5055</v>
      </c>
      <c r="F2338" s="1" t="s">
        <v>15</v>
      </c>
      <c r="G2338" s="1" t="s">
        <v>52</v>
      </c>
      <c r="H2338">
        <v>32</v>
      </c>
      <c r="I2338">
        <v>6</v>
      </c>
      <c r="J2338">
        <v>29</v>
      </c>
      <c r="K2338" s="1" t="s">
        <v>17</v>
      </c>
      <c r="L2338" s="1" t="s">
        <v>24</v>
      </c>
      <c r="M2338" s="1" t="s">
        <v>5053</v>
      </c>
      <c r="N2338" s="1" t="s">
        <v>5056</v>
      </c>
    </row>
    <row r="2339" spans="1:14" x14ac:dyDescent="0.35">
      <c r="A2339">
        <v>9214012</v>
      </c>
      <c r="B2339" s="1" t="s">
        <v>5048</v>
      </c>
      <c r="C2339">
        <v>557.20000000000005</v>
      </c>
      <c r="D2339">
        <v>5</v>
      </c>
      <c r="E2339" s="1" t="s">
        <v>5057</v>
      </c>
      <c r="F2339" s="1" t="s">
        <v>15</v>
      </c>
      <c r="G2339" s="1" t="s">
        <v>22</v>
      </c>
      <c r="H2339">
        <v>142</v>
      </c>
      <c r="I2339">
        <v>27</v>
      </c>
      <c r="J2339">
        <v>142</v>
      </c>
      <c r="K2339" s="1" t="s">
        <v>17</v>
      </c>
      <c r="L2339" s="1" t="s">
        <v>24</v>
      </c>
      <c r="M2339" s="1" t="s">
        <v>5058</v>
      </c>
      <c r="N2339" s="1" t="s">
        <v>5059</v>
      </c>
    </row>
    <row r="2340" spans="1:14" x14ac:dyDescent="0.35">
      <c r="A2340">
        <v>9201012</v>
      </c>
      <c r="B2340" s="1" t="s">
        <v>5048</v>
      </c>
      <c r="C2340">
        <v>557.20000000000005</v>
      </c>
      <c r="D2340">
        <v>5</v>
      </c>
      <c r="E2340" s="1" t="s">
        <v>5060</v>
      </c>
      <c r="F2340" s="1" t="s">
        <v>15</v>
      </c>
      <c r="G2340" s="1" t="s">
        <v>16</v>
      </c>
      <c r="H2340">
        <v>222</v>
      </c>
      <c r="I2340">
        <v>37</v>
      </c>
      <c r="J2340">
        <v>466</v>
      </c>
      <c r="K2340" s="1" t="s">
        <v>17</v>
      </c>
      <c r="L2340" s="1" t="s">
        <v>18</v>
      </c>
      <c r="M2340" s="1" t="s">
        <v>5061</v>
      </c>
      <c r="N2340" s="1" t="s">
        <v>5062</v>
      </c>
    </row>
    <row r="2341" spans="1:14" x14ac:dyDescent="0.35">
      <c r="A2341">
        <v>9201034</v>
      </c>
      <c r="B2341" s="1" t="s">
        <v>5048</v>
      </c>
      <c r="C2341">
        <v>557.20000000000005</v>
      </c>
      <c r="D2341">
        <v>5</v>
      </c>
      <c r="E2341" s="1" t="s">
        <v>5063</v>
      </c>
      <c r="F2341" s="1" t="s">
        <v>15</v>
      </c>
      <c r="G2341" s="1" t="s">
        <v>32</v>
      </c>
      <c r="H2341">
        <v>101</v>
      </c>
      <c r="I2341">
        <v>32</v>
      </c>
      <c r="J2341">
        <v>117</v>
      </c>
      <c r="K2341" s="1" t="s">
        <v>84</v>
      </c>
      <c r="L2341" s="1" t="s">
        <v>24</v>
      </c>
      <c r="M2341" s="1" t="s">
        <v>5061</v>
      </c>
      <c r="N2341" s="1" t="s">
        <v>5064</v>
      </c>
    </row>
    <row r="2342" spans="1:14" x14ac:dyDescent="0.35">
      <c r="A2342">
        <v>9201046</v>
      </c>
      <c r="B2342" s="1" t="s">
        <v>5048</v>
      </c>
      <c r="C2342">
        <v>557.20000000000005</v>
      </c>
      <c r="D2342">
        <v>5</v>
      </c>
      <c r="E2342" s="1" t="s">
        <v>5065</v>
      </c>
      <c r="F2342" s="1" t="s">
        <v>15</v>
      </c>
      <c r="G2342" s="1" t="s">
        <v>22</v>
      </c>
      <c r="H2342">
        <v>81</v>
      </c>
      <c r="I2342">
        <v>24</v>
      </c>
      <c r="K2342" s="1" t="s">
        <v>27</v>
      </c>
      <c r="L2342" s="1" t="s">
        <v>24</v>
      </c>
      <c r="M2342" s="1" t="s">
        <v>5061</v>
      </c>
      <c r="N2342" s="1" t="s">
        <v>5066</v>
      </c>
    </row>
    <row r="2343" spans="1:14" x14ac:dyDescent="0.35">
      <c r="A2343">
        <v>9201035</v>
      </c>
      <c r="B2343" s="1" t="s">
        <v>5048</v>
      </c>
      <c r="C2343">
        <v>557.20000000000005</v>
      </c>
      <c r="D2343">
        <v>5</v>
      </c>
      <c r="E2343" s="1" t="s">
        <v>5067</v>
      </c>
      <c r="F2343" s="1" t="s">
        <v>15</v>
      </c>
      <c r="G2343" s="1" t="s">
        <v>22</v>
      </c>
      <c r="H2343">
        <v>92</v>
      </c>
      <c r="I2343">
        <v>36</v>
      </c>
      <c r="J2343">
        <v>38</v>
      </c>
      <c r="K2343" s="1" t="s">
        <v>191</v>
      </c>
      <c r="L2343" s="1" t="s">
        <v>24</v>
      </c>
      <c r="M2343" s="1" t="s">
        <v>5061</v>
      </c>
      <c r="N2343" s="1" t="s">
        <v>5068</v>
      </c>
    </row>
    <row r="2344" spans="1:14" x14ac:dyDescent="0.35">
      <c r="A2344">
        <v>9236003</v>
      </c>
      <c r="B2344" s="1" t="s">
        <v>5069</v>
      </c>
      <c r="C2344">
        <v>1510.8</v>
      </c>
      <c r="D2344">
        <v>25</v>
      </c>
      <c r="E2344" s="1" t="s">
        <v>5070</v>
      </c>
      <c r="F2344" s="1" t="s">
        <v>15</v>
      </c>
      <c r="G2344" s="1" t="s">
        <v>22</v>
      </c>
      <c r="H2344">
        <v>16</v>
      </c>
      <c r="I2344">
        <v>8</v>
      </c>
      <c r="K2344" s="1" t="s">
        <v>17</v>
      </c>
      <c r="L2344" s="1" t="s">
        <v>24</v>
      </c>
      <c r="M2344" s="1" t="s">
        <v>5071</v>
      </c>
      <c r="N2344" s="1" t="s">
        <v>5072</v>
      </c>
    </row>
    <row r="2345" spans="1:14" x14ac:dyDescent="0.35">
      <c r="A2345">
        <v>9234003</v>
      </c>
      <c r="B2345" s="1" t="s">
        <v>5069</v>
      </c>
      <c r="C2345">
        <v>1510.8</v>
      </c>
      <c r="D2345">
        <v>25</v>
      </c>
      <c r="E2345" s="1" t="s">
        <v>5073</v>
      </c>
      <c r="F2345" s="1" t="s">
        <v>15</v>
      </c>
      <c r="G2345" s="1" t="s">
        <v>52</v>
      </c>
      <c r="H2345">
        <v>25</v>
      </c>
      <c r="I2345">
        <v>11</v>
      </c>
      <c r="K2345" s="1" t="s">
        <v>17</v>
      </c>
      <c r="L2345" s="1" t="s">
        <v>24</v>
      </c>
      <c r="M2345" s="1" t="s">
        <v>5074</v>
      </c>
      <c r="N2345" s="1" t="s">
        <v>5075</v>
      </c>
    </row>
    <row r="2346" spans="1:14" x14ac:dyDescent="0.35">
      <c r="A2346">
        <v>9235002</v>
      </c>
      <c r="B2346" s="1" t="s">
        <v>5069</v>
      </c>
      <c r="C2346">
        <v>1510.8</v>
      </c>
      <c r="D2346">
        <v>25</v>
      </c>
      <c r="E2346" s="1" t="s">
        <v>5076</v>
      </c>
      <c r="F2346" s="1" t="s">
        <v>15</v>
      </c>
      <c r="G2346" s="1" t="s">
        <v>22</v>
      </c>
      <c r="H2346">
        <v>14</v>
      </c>
      <c r="I2346">
        <v>6</v>
      </c>
      <c r="J2346">
        <v>17</v>
      </c>
      <c r="K2346" s="1" t="s">
        <v>17</v>
      </c>
      <c r="L2346" s="1" t="s">
        <v>24</v>
      </c>
      <c r="M2346" s="1" t="s">
        <v>5077</v>
      </c>
      <c r="N2346" s="1" t="s">
        <v>5078</v>
      </c>
    </row>
    <row r="2347" spans="1:14" x14ac:dyDescent="0.35">
      <c r="A2347">
        <v>9212011</v>
      </c>
      <c r="B2347" s="1" t="s">
        <v>5069</v>
      </c>
      <c r="C2347">
        <v>1510.8</v>
      </c>
      <c r="D2347">
        <v>25</v>
      </c>
      <c r="E2347" s="1" t="s">
        <v>5079</v>
      </c>
      <c r="F2347" s="1" t="s">
        <v>15</v>
      </c>
      <c r="G2347" s="1" t="s">
        <v>32</v>
      </c>
      <c r="H2347">
        <v>186</v>
      </c>
      <c r="I2347">
        <v>32</v>
      </c>
      <c r="J2347">
        <v>241</v>
      </c>
      <c r="K2347" s="1" t="s">
        <v>17</v>
      </c>
      <c r="L2347" s="1" t="s">
        <v>18</v>
      </c>
      <c r="M2347" s="1" t="s">
        <v>5080</v>
      </c>
      <c r="N2347" s="1" t="s">
        <v>5081</v>
      </c>
    </row>
    <row r="2348" spans="1:14" x14ac:dyDescent="0.35">
      <c r="A2348">
        <v>9201011</v>
      </c>
      <c r="B2348" s="1" t="s">
        <v>5069</v>
      </c>
      <c r="C2348">
        <v>1510.8</v>
      </c>
      <c r="D2348">
        <v>25</v>
      </c>
      <c r="E2348" s="1" t="s">
        <v>5082</v>
      </c>
      <c r="F2348" s="1" t="s">
        <v>15</v>
      </c>
      <c r="G2348" s="1" t="s">
        <v>32</v>
      </c>
      <c r="H2348">
        <v>140</v>
      </c>
      <c r="I2348">
        <v>27</v>
      </c>
      <c r="J2348">
        <v>331</v>
      </c>
      <c r="K2348" s="1" t="s">
        <v>84</v>
      </c>
      <c r="L2348" s="1" t="s">
        <v>24</v>
      </c>
      <c r="M2348" s="1" t="s">
        <v>5080</v>
      </c>
      <c r="N2348" s="1" t="s">
        <v>5083</v>
      </c>
    </row>
    <row r="2349" spans="1:14" x14ac:dyDescent="0.35">
      <c r="A2349">
        <v>9212027</v>
      </c>
      <c r="B2349" s="1" t="s">
        <v>5069</v>
      </c>
      <c r="C2349">
        <v>1510.8</v>
      </c>
      <c r="D2349">
        <v>25</v>
      </c>
      <c r="E2349" s="1" t="s">
        <v>5084</v>
      </c>
      <c r="F2349" s="1" t="s">
        <v>15</v>
      </c>
      <c r="G2349" s="1" t="s">
        <v>22</v>
      </c>
      <c r="H2349">
        <v>60</v>
      </c>
      <c r="I2349">
        <v>43</v>
      </c>
      <c r="K2349" s="1" t="s">
        <v>27</v>
      </c>
      <c r="L2349" s="1" t="s">
        <v>24</v>
      </c>
      <c r="M2349" s="1" t="s">
        <v>5080</v>
      </c>
      <c r="N2349" s="1" t="s">
        <v>5085</v>
      </c>
    </row>
    <row r="2350" spans="1:14" x14ac:dyDescent="0.35">
      <c r="A2350">
        <v>9212013</v>
      </c>
      <c r="B2350" s="1" t="s">
        <v>5069</v>
      </c>
      <c r="C2350">
        <v>1510.8</v>
      </c>
      <c r="D2350">
        <v>25</v>
      </c>
      <c r="E2350" s="1" t="s">
        <v>5003</v>
      </c>
      <c r="F2350" s="1" t="s">
        <v>15</v>
      </c>
      <c r="G2350" s="1" t="s">
        <v>22</v>
      </c>
      <c r="H2350">
        <v>60</v>
      </c>
      <c r="I2350">
        <v>30</v>
      </c>
      <c r="J2350">
        <v>59</v>
      </c>
      <c r="K2350" s="1" t="s">
        <v>23</v>
      </c>
      <c r="L2350" s="1" t="s">
        <v>24</v>
      </c>
      <c r="M2350" s="1" t="s">
        <v>5080</v>
      </c>
      <c r="N2350" s="1" t="s">
        <v>5086</v>
      </c>
    </row>
    <row r="2351" spans="1:14" x14ac:dyDescent="0.35">
      <c r="A2351">
        <v>9212028</v>
      </c>
      <c r="B2351" s="1" t="s">
        <v>5069</v>
      </c>
      <c r="C2351">
        <v>1510.8</v>
      </c>
      <c r="D2351">
        <v>25</v>
      </c>
      <c r="E2351" s="1" t="s">
        <v>5087</v>
      </c>
      <c r="F2351" s="1" t="s">
        <v>15</v>
      </c>
      <c r="G2351" s="1" t="s">
        <v>22</v>
      </c>
      <c r="I2351">
        <v>1</v>
      </c>
      <c r="K2351" s="1" t="s">
        <v>146</v>
      </c>
      <c r="L2351" s="1" t="s">
        <v>24</v>
      </c>
      <c r="M2351" s="1" t="s">
        <v>5080</v>
      </c>
      <c r="N2351" s="1" t="s">
        <v>5088</v>
      </c>
    </row>
    <row r="2352" spans="1:14" x14ac:dyDescent="0.35">
      <c r="A2352">
        <v>9202012</v>
      </c>
      <c r="B2352" s="1" t="s">
        <v>5069</v>
      </c>
      <c r="C2352">
        <v>1510.8</v>
      </c>
      <c r="D2352">
        <v>25</v>
      </c>
      <c r="E2352" s="1" t="s">
        <v>5089</v>
      </c>
      <c r="F2352" s="1" t="s">
        <v>15</v>
      </c>
      <c r="G2352" s="1" t="s">
        <v>32</v>
      </c>
      <c r="H2352">
        <v>267</v>
      </c>
      <c r="I2352">
        <v>47</v>
      </c>
      <c r="J2352">
        <v>49</v>
      </c>
      <c r="K2352" s="1" t="s">
        <v>17</v>
      </c>
      <c r="L2352" s="1" t="s">
        <v>18</v>
      </c>
      <c r="M2352" s="1" t="s">
        <v>5090</v>
      </c>
      <c r="N2352" s="1" t="s">
        <v>5091</v>
      </c>
    </row>
    <row r="2353" spans="1:14" x14ac:dyDescent="0.35">
      <c r="A2353">
        <v>9202023</v>
      </c>
      <c r="B2353" s="1" t="s">
        <v>5069</v>
      </c>
      <c r="C2353">
        <v>1510.8</v>
      </c>
      <c r="D2353">
        <v>25</v>
      </c>
      <c r="E2353" s="1" t="s">
        <v>5092</v>
      </c>
      <c r="F2353" s="1" t="s">
        <v>15</v>
      </c>
      <c r="G2353" s="1" t="s">
        <v>32</v>
      </c>
      <c r="H2353">
        <v>135</v>
      </c>
      <c r="I2353">
        <v>26</v>
      </c>
      <c r="J2353">
        <v>309</v>
      </c>
      <c r="K2353" s="1" t="s">
        <v>17</v>
      </c>
      <c r="L2353" s="1" t="s">
        <v>18</v>
      </c>
      <c r="M2353" s="1" t="s">
        <v>5093</v>
      </c>
      <c r="N2353" s="1" t="s">
        <v>5094</v>
      </c>
    </row>
    <row r="2354" spans="1:14" x14ac:dyDescent="0.35">
      <c r="A2354">
        <v>9233011</v>
      </c>
      <c r="B2354" s="1" t="s">
        <v>5069</v>
      </c>
      <c r="C2354">
        <v>1510.8</v>
      </c>
      <c r="D2354">
        <v>25</v>
      </c>
      <c r="E2354" s="1" t="s">
        <v>5095</v>
      </c>
      <c r="F2354" s="1" t="s">
        <v>15</v>
      </c>
      <c r="G2354" s="1" t="s">
        <v>52</v>
      </c>
      <c r="H2354">
        <v>58</v>
      </c>
      <c r="I2354">
        <v>6</v>
      </c>
      <c r="K2354" s="1" t="s">
        <v>17</v>
      </c>
      <c r="L2354" s="1" t="s">
        <v>18</v>
      </c>
      <c r="M2354" s="1" t="s">
        <v>5096</v>
      </c>
      <c r="N2354" s="1" t="s">
        <v>5097</v>
      </c>
    </row>
    <row r="2355" spans="1:14" x14ac:dyDescent="0.35">
      <c r="A2355">
        <v>9211010</v>
      </c>
      <c r="B2355" s="1" t="s">
        <v>5069</v>
      </c>
      <c r="C2355">
        <v>1510.8</v>
      </c>
      <c r="D2355">
        <v>25</v>
      </c>
      <c r="E2355" s="1" t="s">
        <v>5098</v>
      </c>
      <c r="F2355" s="1" t="s">
        <v>15</v>
      </c>
      <c r="G2355" s="1" t="s">
        <v>22</v>
      </c>
      <c r="H2355">
        <v>81</v>
      </c>
      <c r="I2355">
        <v>26</v>
      </c>
      <c r="J2355">
        <v>148</v>
      </c>
      <c r="K2355" s="1" t="s">
        <v>17</v>
      </c>
      <c r="L2355" s="1" t="s">
        <v>18</v>
      </c>
      <c r="M2355" s="1" t="s">
        <v>5099</v>
      </c>
      <c r="N2355" s="1" t="s">
        <v>5100</v>
      </c>
    </row>
    <row r="2356" spans="1:14" x14ac:dyDescent="0.35">
      <c r="A2356">
        <v>1408011</v>
      </c>
      <c r="B2356" s="1" t="s">
        <v>5101</v>
      </c>
      <c r="C2356">
        <v>6892.4</v>
      </c>
      <c r="D2356">
        <v>77</v>
      </c>
      <c r="E2356" s="1" t="s">
        <v>5102</v>
      </c>
      <c r="F2356" s="1" t="s">
        <v>15</v>
      </c>
      <c r="G2356" s="1" t="s">
        <v>16</v>
      </c>
      <c r="H2356">
        <v>208</v>
      </c>
      <c r="I2356">
        <v>73</v>
      </c>
      <c r="J2356">
        <v>787</v>
      </c>
      <c r="K2356" s="1" t="s">
        <v>17</v>
      </c>
      <c r="L2356" s="1" t="s">
        <v>18</v>
      </c>
      <c r="M2356" s="1" t="s">
        <v>5103</v>
      </c>
      <c r="N2356" s="1" t="s">
        <v>5104</v>
      </c>
    </row>
    <row r="2357" spans="1:14" x14ac:dyDescent="0.35">
      <c r="A2357">
        <v>1408080</v>
      </c>
      <c r="B2357" s="1" t="s">
        <v>5101</v>
      </c>
      <c r="C2357">
        <v>6892.4</v>
      </c>
      <c r="D2357">
        <v>77</v>
      </c>
      <c r="E2357" s="1" t="s">
        <v>5105</v>
      </c>
      <c r="F2357" s="1" t="s">
        <v>15</v>
      </c>
      <c r="G2357" s="1" t="s">
        <v>32</v>
      </c>
      <c r="H2357">
        <v>127</v>
      </c>
      <c r="I2357">
        <v>17</v>
      </c>
      <c r="J2357">
        <v>146</v>
      </c>
      <c r="K2357" s="1" t="s">
        <v>90</v>
      </c>
      <c r="L2357" s="1" t="s">
        <v>24</v>
      </c>
      <c r="M2357" s="1" t="s">
        <v>5103</v>
      </c>
      <c r="N2357" s="1" t="s">
        <v>5106</v>
      </c>
    </row>
    <row r="2358" spans="1:14" x14ac:dyDescent="0.35">
      <c r="A2358">
        <v>1408032</v>
      </c>
      <c r="B2358" s="1" t="s">
        <v>5101</v>
      </c>
      <c r="C2358">
        <v>6892.4</v>
      </c>
      <c r="D2358">
        <v>77</v>
      </c>
      <c r="E2358" s="1" t="s">
        <v>5107</v>
      </c>
      <c r="F2358" s="1" t="s">
        <v>15</v>
      </c>
      <c r="G2358" s="1" t="s">
        <v>32</v>
      </c>
      <c r="H2358">
        <v>218</v>
      </c>
      <c r="I2358">
        <v>63</v>
      </c>
      <c r="J2358">
        <v>306</v>
      </c>
      <c r="K2358" s="1" t="s">
        <v>17</v>
      </c>
      <c r="L2358" s="1" t="s">
        <v>18</v>
      </c>
      <c r="M2358" s="1" t="s">
        <v>5103</v>
      </c>
      <c r="N2358" s="1" t="s">
        <v>5108</v>
      </c>
    </row>
    <row r="2359" spans="1:14" x14ac:dyDescent="0.35">
      <c r="A2359">
        <v>1408079</v>
      </c>
      <c r="B2359" s="1" t="s">
        <v>5101</v>
      </c>
      <c r="C2359">
        <v>6892.4</v>
      </c>
      <c r="D2359">
        <v>77</v>
      </c>
      <c r="E2359" s="1" t="s">
        <v>5109</v>
      </c>
      <c r="F2359" s="1" t="s">
        <v>15</v>
      </c>
      <c r="G2359" s="1" t="s">
        <v>22</v>
      </c>
      <c r="H2359">
        <v>54</v>
      </c>
      <c r="I2359">
        <v>25</v>
      </c>
      <c r="J2359">
        <v>35</v>
      </c>
      <c r="K2359" s="1" t="s">
        <v>23</v>
      </c>
      <c r="L2359" s="1" t="s">
        <v>24</v>
      </c>
      <c r="M2359" s="1" t="s">
        <v>5103</v>
      </c>
      <c r="N2359" s="1" t="s">
        <v>5110</v>
      </c>
    </row>
    <row r="2360" spans="1:14" x14ac:dyDescent="0.35">
      <c r="A2360">
        <v>1408055</v>
      </c>
      <c r="B2360" s="1" t="s">
        <v>5101</v>
      </c>
      <c r="C2360">
        <v>6892.4</v>
      </c>
      <c r="D2360">
        <v>77</v>
      </c>
      <c r="E2360" s="1" t="s">
        <v>5111</v>
      </c>
      <c r="F2360" s="1" t="s">
        <v>15</v>
      </c>
      <c r="G2360" s="1" t="s">
        <v>22</v>
      </c>
      <c r="H2360">
        <v>85</v>
      </c>
      <c r="I2360">
        <v>34</v>
      </c>
      <c r="J2360">
        <v>132</v>
      </c>
      <c r="K2360" s="1" t="s">
        <v>23</v>
      </c>
      <c r="L2360" s="1" t="s">
        <v>24</v>
      </c>
      <c r="M2360" s="1" t="s">
        <v>5103</v>
      </c>
      <c r="N2360" s="1" t="s">
        <v>5112</v>
      </c>
    </row>
    <row r="2361" spans="1:14" x14ac:dyDescent="0.35">
      <c r="A2361">
        <v>1408067</v>
      </c>
      <c r="B2361" s="1" t="s">
        <v>5101</v>
      </c>
      <c r="C2361">
        <v>6892.4</v>
      </c>
      <c r="D2361">
        <v>77</v>
      </c>
      <c r="E2361" s="1" t="s">
        <v>5113</v>
      </c>
      <c r="F2361" s="1" t="s">
        <v>15</v>
      </c>
      <c r="G2361" s="1" t="s">
        <v>22</v>
      </c>
      <c r="H2361">
        <v>79</v>
      </c>
      <c r="I2361">
        <v>21</v>
      </c>
      <c r="J2361">
        <v>95</v>
      </c>
      <c r="K2361" s="1" t="s">
        <v>90</v>
      </c>
      <c r="L2361" s="1" t="s">
        <v>24</v>
      </c>
      <c r="M2361" s="1" t="s">
        <v>5103</v>
      </c>
      <c r="N2361" s="1" t="s">
        <v>5114</v>
      </c>
    </row>
    <row r="2362" spans="1:14" x14ac:dyDescent="0.35">
      <c r="A2362">
        <v>1403048</v>
      </c>
      <c r="B2362" s="1" t="s">
        <v>5101</v>
      </c>
      <c r="C2362">
        <v>6892.4</v>
      </c>
      <c r="D2362">
        <v>77</v>
      </c>
      <c r="E2362" s="1" t="s">
        <v>5115</v>
      </c>
      <c r="F2362" s="1" t="s">
        <v>71</v>
      </c>
      <c r="G2362" s="1" t="s">
        <v>32</v>
      </c>
      <c r="H2362">
        <v>12</v>
      </c>
      <c r="I2362">
        <v>16</v>
      </c>
      <c r="K2362" s="1" t="s">
        <v>23</v>
      </c>
      <c r="L2362" s="1" t="s">
        <v>24</v>
      </c>
      <c r="M2362" s="1" t="s">
        <v>5116</v>
      </c>
      <c r="N2362" s="1" t="s">
        <v>5117</v>
      </c>
    </row>
    <row r="2363" spans="1:14" x14ac:dyDescent="0.35">
      <c r="A2363">
        <v>1403013</v>
      </c>
      <c r="B2363" s="1" t="s">
        <v>5101</v>
      </c>
      <c r="C2363">
        <v>6892.4</v>
      </c>
      <c r="D2363">
        <v>77</v>
      </c>
      <c r="E2363" s="1" t="s">
        <v>5118</v>
      </c>
      <c r="F2363" s="1" t="s">
        <v>15</v>
      </c>
      <c r="G2363" s="1" t="s">
        <v>32</v>
      </c>
      <c r="H2363">
        <v>265</v>
      </c>
      <c r="I2363">
        <v>37</v>
      </c>
      <c r="J2363">
        <v>210</v>
      </c>
      <c r="K2363" s="1" t="s">
        <v>17</v>
      </c>
      <c r="L2363" s="1" t="s">
        <v>18</v>
      </c>
      <c r="M2363" s="1" t="s">
        <v>5116</v>
      </c>
      <c r="N2363" s="1" t="s">
        <v>5119</v>
      </c>
    </row>
    <row r="2364" spans="1:14" x14ac:dyDescent="0.35">
      <c r="A2364">
        <v>1403035</v>
      </c>
      <c r="B2364" s="1" t="s">
        <v>5101</v>
      </c>
      <c r="C2364">
        <v>6892.4</v>
      </c>
      <c r="D2364">
        <v>77</v>
      </c>
      <c r="E2364" s="1" t="s">
        <v>5120</v>
      </c>
      <c r="F2364" s="1" t="s">
        <v>15</v>
      </c>
      <c r="G2364" s="1" t="s">
        <v>22</v>
      </c>
      <c r="H2364">
        <v>60</v>
      </c>
      <c r="I2364">
        <v>20</v>
      </c>
      <c r="J2364">
        <v>158</v>
      </c>
      <c r="K2364" s="1" t="s">
        <v>17</v>
      </c>
      <c r="L2364" s="1" t="s">
        <v>18</v>
      </c>
      <c r="M2364" s="1" t="s">
        <v>5116</v>
      </c>
      <c r="N2364" s="1" t="s">
        <v>5121</v>
      </c>
    </row>
    <row r="2365" spans="1:14" x14ac:dyDescent="0.35">
      <c r="A2365">
        <v>1403024</v>
      </c>
      <c r="B2365" s="1" t="s">
        <v>5101</v>
      </c>
      <c r="C2365">
        <v>6892.4</v>
      </c>
      <c r="D2365">
        <v>77</v>
      </c>
      <c r="E2365" s="1" t="s">
        <v>5122</v>
      </c>
      <c r="F2365" s="1" t="s">
        <v>15</v>
      </c>
      <c r="G2365" s="1" t="s">
        <v>22</v>
      </c>
      <c r="H2365">
        <v>50</v>
      </c>
      <c r="I2365">
        <v>22</v>
      </c>
      <c r="J2365">
        <v>176</v>
      </c>
      <c r="K2365" s="1" t="s">
        <v>17</v>
      </c>
      <c r="L2365" s="1" t="s">
        <v>18</v>
      </c>
      <c r="M2365" s="1" t="s">
        <v>5116</v>
      </c>
      <c r="N2365" s="1" t="s">
        <v>5123</v>
      </c>
    </row>
    <row r="2366" spans="1:14" x14ac:dyDescent="0.35">
      <c r="A2366">
        <v>1402014</v>
      </c>
      <c r="B2366" s="1" t="s">
        <v>5101</v>
      </c>
      <c r="C2366">
        <v>6892.4</v>
      </c>
      <c r="D2366">
        <v>77</v>
      </c>
      <c r="E2366" s="1" t="s">
        <v>5124</v>
      </c>
      <c r="F2366" s="1" t="s">
        <v>71</v>
      </c>
      <c r="G2366" s="1" t="s">
        <v>32</v>
      </c>
      <c r="H2366">
        <v>39</v>
      </c>
      <c r="I2366">
        <v>13</v>
      </c>
      <c r="J2366">
        <v>62</v>
      </c>
      <c r="K2366" s="1" t="s">
        <v>90</v>
      </c>
      <c r="L2366" s="1" t="s">
        <v>24</v>
      </c>
      <c r="M2366" s="1" t="s">
        <v>5125</v>
      </c>
      <c r="N2366" s="1" t="s">
        <v>5126</v>
      </c>
    </row>
    <row r="2367" spans="1:14" x14ac:dyDescent="0.35">
      <c r="A2367">
        <v>1402012</v>
      </c>
      <c r="B2367" s="1" t="s">
        <v>5101</v>
      </c>
      <c r="C2367">
        <v>6892.4</v>
      </c>
      <c r="D2367">
        <v>77</v>
      </c>
      <c r="E2367" s="1" t="s">
        <v>5127</v>
      </c>
      <c r="F2367" s="1" t="s">
        <v>15</v>
      </c>
      <c r="G2367" s="1" t="s">
        <v>32</v>
      </c>
      <c r="H2367">
        <v>144</v>
      </c>
      <c r="I2367">
        <v>52</v>
      </c>
      <c r="J2367">
        <v>458</v>
      </c>
      <c r="K2367" s="1" t="s">
        <v>17</v>
      </c>
      <c r="L2367" s="1" t="s">
        <v>18</v>
      </c>
      <c r="M2367" s="1" t="s">
        <v>5125</v>
      </c>
      <c r="N2367" s="1" t="s">
        <v>5128</v>
      </c>
    </row>
    <row r="2368" spans="1:14" x14ac:dyDescent="0.35">
      <c r="A2368">
        <v>1402015</v>
      </c>
      <c r="B2368" s="1" t="s">
        <v>5101</v>
      </c>
      <c r="C2368">
        <v>6892.4</v>
      </c>
      <c r="D2368">
        <v>77</v>
      </c>
      <c r="E2368" s="1" t="s">
        <v>5129</v>
      </c>
      <c r="F2368" s="1" t="s">
        <v>15</v>
      </c>
      <c r="G2368" s="1" t="s">
        <v>22</v>
      </c>
      <c r="H2368">
        <v>56</v>
      </c>
      <c r="I2368">
        <v>22</v>
      </c>
      <c r="J2368">
        <v>45</v>
      </c>
      <c r="K2368" s="1" t="s">
        <v>90</v>
      </c>
      <c r="L2368" s="1" t="s">
        <v>24</v>
      </c>
      <c r="M2368" s="1" t="s">
        <v>5125</v>
      </c>
      <c r="N2368" s="1" t="s">
        <v>5130</v>
      </c>
    </row>
    <row r="2369" spans="1:14" x14ac:dyDescent="0.35">
      <c r="A2369">
        <v>1402013</v>
      </c>
      <c r="B2369" s="1" t="s">
        <v>5101</v>
      </c>
      <c r="C2369">
        <v>6892.4</v>
      </c>
      <c r="D2369">
        <v>77</v>
      </c>
      <c r="E2369" s="1" t="s">
        <v>5131</v>
      </c>
      <c r="F2369" s="1" t="s">
        <v>15</v>
      </c>
      <c r="G2369" s="1" t="s">
        <v>22</v>
      </c>
      <c r="H2369">
        <v>64</v>
      </c>
      <c r="I2369">
        <v>23</v>
      </c>
      <c r="J2369">
        <v>85</v>
      </c>
      <c r="K2369" s="1" t="s">
        <v>90</v>
      </c>
      <c r="L2369" s="1" t="s">
        <v>24</v>
      </c>
      <c r="M2369" s="1" t="s">
        <v>5125</v>
      </c>
      <c r="N2369" s="1" t="s">
        <v>5132</v>
      </c>
    </row>
    <row r="2370" spans="1:14" x14ac:dyDescent="0.35">
      <c r="A2370">
        <v>1406045</v>
      </c>
      <c r="B2370" s="1" t="s">
        <v>5101</v>
      </c>
      <c r="C2370">
        <v>6892.4</v>
      </c>
      <c r="D2370">
        <v>77</v>
      </c>
      <c r="E2370" s="1" t="s">
        <v>5133</v>
      </c>
      <c r="F2370" s="1" t="s">
        <v>71</v>
      </c>
      <c r="G2370" s="1" t="s">
        <v>32</v>
      </c>
      <c r="H2370">
        <v>37</v>
      </c>
      <c r="I2370">
        <v>11</v>
      </c>
      <c r="J2370">
        <v>21</v>
      </c>
      <c r="K2370" s="1" t="s">
        <v>95</v>
      </c>
      <c r="L2370" s="1" t="s">
        <v>24</v>
      </c>
      <c r="M2370" s="1" t="s">
        <v>5134</v>
      </c>
      <c r="N2370" s="1" t="s">
        <v>5135</v>
      </c>
    </row>
    <row r="2371" spans="1:14" x14ac:dyDescent="0.35">
      <c r="A2371">
        <v>1406046</v>
      </c>
      <c r="B2371" s="1" t="s">
        <v>5101</v>
      </c>
      <c r="C2371">
        <v>6892.4</v>
      </c>
      <c r="D2371">
        <v>77</v>
      </c>
      <c r="E2371" s="1" t="s">
        <v>5136</v>
      </c>
      <c r="F2371" s="1" t="s">
        <v>71</v>
      </c>
      <c r="G2371" s="1" t="s">
        <v>32</v>
      </c>
      <c r="H2371">
        <v>42</v>
      </c>
      <c r="I2371">
        <v>16</v>
      </c>
      <c r="J2371">
        <v>93</v>
      </c>
      <c r="K2371" s="1" t="s">
        <v>23</v>
      </c>
      <c r="L2371" s="1" t="s">
        <v>24</v>
      </c>
      <c r="M2371" s="1" t="s">
        <v>5134</v>
      </c>
      <c r="N2371" s="1" t="s">
        <v>5137</v>
      </c>
    </row>
    <row r="2372" spans="1:14" x14ac:dyDescent="0.35">
      <c r="A2372">
        <v>1406044</v>
      </c>
      <c r="B2372" s="1" t="s">
        <v>5101</v>
      </c>
      <c r="C2372">
        <v>6892.4</v>
      </c>
      <c r="D2372">
        <v>77</v>
      </c>
      <c r="E2372" s="1" t="s">
        <v>5138</v>
      </c>
      <c r="F2372" s="1" t="s">
        <v>71</v>
      </c>
      <c r="G2372" s="1" t="s">
        <v>32</v>
      </c>
      <c r="H2372">
        <v>38</v>
      </c>
      <c r="I2372">
        <v>17</v>
      </c>
      <c r="J2372">
        <v>51</v>
      </c>
      <c r="K2372" s="1" t="s">
        <v>95</v>
      </c>
      <c r="L2372" s="1" t="s">
        <v>24</v>
      </c>
      <c r="M2372" s="1" t="s">
        <v>5134</v>
      </c>
      <c r="N2372" s="1" t="s">
        <v>5139</v>
      </c>
    </row>
    <row r="2373" spans="1:14" x14ac:dyDescent="0.35">
      <c r="A2373">
        <v>1406057</v>
      </c>
      <c r="B2373" s="1" t="s">
        <v>5101</v>
      </c>
      <c r="C2373">
        <v>6892.4</v>
      </c>
      <c r="D2373">
        <v>77</v>
      </c>
      <c r="E2373" s="1" t="s">
        <v>5140</v>
      </c>
      <c r="F2373" s="1" t="s">
        <v>15</v>
      </c>
      <c r="G2373" s="1" t="s">
        <v>32</v>
      </c>
      <c r="H2373">
        <v>100</v>
      </c>
      <c r="I2373">
        <v>24</v>
      </c>
      <c r="K2373" s="1" t="s">
        <v>23</v>
      </c>
      <c r="L2373" s="1" t="s">
        <v>24</v>
      </c>
      <c r="M2373" s="1" t="s">
        <v>5134</v>
      </c>
      <c r="N2373" s="1" t="s">
        <v>5141</v>
      </c>
    </row>
    <row r="2374" spans="1:14" x14ac:dyDescent="0.35">
      <c r="A2374">
        <v>1406016</v>
      </c>
      <c r="B2374" s="1" t="s">
        <v>5101</v>
      </c>
      <c r="C2374">
        <v>6892.4</v>
      </c>
      <c r="D2374">
        <v>77</v>
      </c>
      <c r="E2374" s="1" t="s">
        <v>5142</v>
      </c>
      <c r="F2374" s="1" t="s">
        <v>15</v>
      </c>
      <c r="G2374" s="1" t="s">
        <v>32</v>
      </c>
      <c r="H2374">
        <v>119</v>
      </c>
      <c r="I2374">
        <v>47</v>
      </c>
      <c r="J2374">
        <v>292</v>
      </c>
      <c r="K2374" s="1" t="s">
        <v>17</v>
      </c>
      <c r="L2374" s="1" t="s">
        <v>18</v>
      </c>
      <c r="M2374" s="1" t="s">
        <v>5134</v>
      </c>
      <c r="N2374" s="1" t="s">
        <v>5143</v>
      </c>
    </row>
    <row r="2375" spans="1:14" x14ac:dyDescent="0.35">
      <c r="A2375">
        <v>1406058</v>
      </c>
      <c r="B2375" s="1" t="s">
        <v>5101</v>
      </c>
      <c r="C2375">
        <v>6892.4</v>
      </c>
      <c r="D2375">
        <v>77</v>
      </c>
      <c r="E2375" s="1" t="s">
        <v>5144</v>
      </c>
      <c r="F2375" s="1" t="s">
        <v>15</v>
      </c>
      <c r="G2375" s="1" t="s">
        <v>22</v>
      </c>
      <c r="H2375">
        <v>50</v>
      </c>
      <c r="I2375">
        <v>14</v>
      </c>
      <c r="K2375" s="1" t="s">
        <v>23</v>
      </c>
      <c r="L2375" s="1" t="s">
        <v>24</v>
      </c>
      <c r="M2375" s="1" t="s">
        <v>5134</v>
      </c>
      <c r="N2375" s="1" t="s">
        <v>5145</v>
      </c>
    </row>
    <row r="2376" spans="1:14" x14ac:dyDescent="0.35">
      <c r="A2376">
        <v>1406031</v>
      </c>
      <c r="B2376" s="1" t="s">
        <v>5101</v>
      </c>
      <c r="C2376">
        <v>6892.4</v>
      </c>
      <c r="D2376">
        <v>77</v>
      </c>
      <c r="E2376" s="1" t="s">
        <v>5146</v>
      </c>
      <c r="F2376" s="1" t="s">
        <v>15</v>
      </c>
      <c r="G2376" s="1" t="s">
        <v>22</v>
      </c>
      <c r="H2376">
        <v>50</v>
      </c>
      <c r="I2376">
        <v>13</v>
      </c>
      <c r="J2376">
        <v>100</v>
      </c>
      <c r="K2376" s="1" t="s">
        <v>61</v>
      </c>
      <c r="L2376" s="1" t="s">
        <v>24</v>
      </c>
      <c r="M2376" s="1" t="s">
        <v>5134</v>
      </c>
      <c r="N2376" s="1" t="s">
        <v>5147</v>
      </c>
    </row>
    <row r="2377" spans="1:14" x14ac:dyDescent="0.35">
      <c r="A2377">
        <v>1406043</v>
      </c>
      <c r="B2377" s="1" t="s">
        <v>5101</v>
      </c>
      <c r="C2377">
        <v>6892.4</v>
      </c>
      <c r="D2377">
        <v>77</v>
      </c>
      <c r="E2377" s="1" t="s">
        <v>5148</v>
      </c>
      <c r="F2377" s="1" t="s">
        <v>15</v>
      </c>
      <c r="G2377" s="1" t="s">
        <v>22</v>
      </c>
      <c r="H2377">
        <v>79</v>
      </c>
      <c r="I2377">
        <v>21</v>
      </c>
      <c r="J2377">
        <v>78</v>
      </c>
      <c r="K2377" s="1" t="s">
        <v>90</v>
      </c>
      <c r="L2377" s="1" t="s">
        <v>24</v>
      </c>
      <c r="M2377" s="1" t="s">
        <v>5134</v>
      </c>
      <c r="N2377" s="1" t="s">
        <v>5149</v>
      </c>
    </row>
    <row r="2378" spans="1:14" x14ac:dyDescent="0.35">
      <c r="A2378">
        <v>1410043</v>
      </c>
      <c r="B2378" s="1" t="s">
        <v>5101</v>
      </c>
      <c r="C2378">
        <v>6892.4</v>
      </c>
      <c r="D2378">
        <v>77</v>
      </c>
      <c r="E2378" s="1" t="s">
        <v>5150</v>
      </c>
      <c r="F2378" s="1" t="s">
        <v>15</v>
      </c>
      <c r="G2378" s="1" t="s">
        <v>32</v>
      </c>
      <c r="H2378">
        <v>187</v>
      </c>
      <c r="I2378">
        <v>28</v>
      </c>
      <c r="J2378">
        <v>257</v>
      </c>
      <c r="K2378" s="1" t="s">
        <v>17</v>
      </c>
      <c r="L2378" s="1" t="s">
        <v>18</v>
      </c>
      <c r="M2378" s="1" t="s">
        <v>5151</v>
      </c>
      <c r="N2378" s="1" t="s">
        <v>5152</v>
      </c>
    </row>
    <row r="2379" spans="1:14" x14ac:dyDescent="0.35">
      <c r="A2379">
        <v>1473013</v>
      </c>
      <c r="B2379" s="1" t="s">
        <v>5101</v>
      </c>
      <c r="C2379">
        <v>6892.4</v>
      </c>
      <c r="D2379">
        <v>77</v>
      </c>
      <c r="E2379" s="1" t="s">
        <v>5153</v>
      </c>
      <c r="F2379" s="1" t="s">
        <v>15</v>
      </c>
      <c r="G2379" s="1" t="s">
        <v>16</v>
      </c>
      <c r="H2379">
        <v>301</v>
      </c>
      <c r="I2379">
        <v>61</v>
      </c>
      <c r="J2379">
        <v>1154</v>
      </c>
      <c r="K2379" s="1" t="s">
        <v>137</v>
      </c>
      <c r="L2379" s="1" t="s">
        <v>18</v>
      </c>
      <c r="M2379" s="1" t="s">
        <v>5154</v>
      </c>
      <c r="N2379" s="1" t="s">
        <v>5155</v>
      </c>
    </row>
    <row r="2380" spans="1:14" x14ac:dyDescent="0.35">
      <c r="A2380">
        <v>1473081</v>
      </c>
      <c r="B2380" s="1" t="s">
        <v>5101</v>
      </c>
      <c r="C2380">
        <v>6892.4</v>
      </c>
      <c r="D2380">
        <v>77</v>
      </c>
      <c r="E2380" s="1" t="s">
        <v>5156</v>
      </c>
      <c r="F2380" s="1" t="s">
        <v>15</v>
      </c>
      <c r="G2380" s="1" t="s">
        <v>32</v>
      </c>
      <c r="H2380">
        <v>108</v>
      </c>
      <c r="I2380">
        <v>22</v>
      </c>
      <c r="K2380" s="1" t="s">
        <v>90</v>
      </c>
      <c r="L2380" s="1" t="s">
        <v>24</v>
      </c>
      <c r="M2380" s="1" t="s">
        <v>5154</v>
      </c>
      <c r="N2380" s="1" t="s">
        <v>5157</v>
      </c>
    </row>
    <row r="2381" spans="1:14" x14ac:dyDescent="0.35">
      <c r="A2381">
        <v>1472080</v>
      </c>
      <c r="B2381" s="1" t="s">
        <v>5101</v>
      </c>
      <c r="C2381">
        <v>6892.4</v>
      </c>
      <c r="D2381">
        <v>77</v>
      </c>
      <c r="E2381" s="1" t="s">
        <v>5158</v>
      </c>
      <c r="F2381" s="1" t="s">
        <v>15</v>
      </c>
      <c r="G2381" s="1" t="s">
        <v>32</v>
      </c>
      <c r="H2381">
        <v>145</v>
      </c>
      <c r="I2381">
        <v>41</v>
      </c>
      <c r="K2381" s="1" t="s">
        <v>90</v>
      </c>
      <c r="L2381" s="1" t="s">
        <v>24</v>
      </c>
      <c r="M2381" s="1" t="s">
        <v>5154</v>
      </c>
      <c r="N2381" s="1" t="s">
        <v>5159</v>
      </c>
    </row>
    <row r="2382" spans="1:14" x14ac:dyDescent="0.35">
      <c r="A2382">
        <v>1473078</v>
      </c>
      <c r="B2382" s="1" t="s">
        <v>5101</v>
      </c>
      <c r="C2382">
        <v>6892.4</v>
      </c>
      <c r="D2382">
        <v>77</v>
      </c>
      <c r="E2382" s="1" t="s">
        <v>5160</v>
      </c>
      <c r="F2382" s="1" t="s">
        <v>15</v>
      </c>
      <c r="G2382" s="1" t="s">
        <v>22</v>
      </c>
      <c r="H2382">
        <v>53</v>
      </c>
      <c r="I2382">
        <v>7</v>
      </c>
      <c r="J2382">
        <v>20</v>
      </c>
      <c r="K2382" s="1" t="s">
        <v>146</v>
      </c>
      <c r="L2382" s="1" t="s">
        <v>24</v>
      </c>
      <c r="M2382" s="1" t="s">
        <v>5154</v>
      </c>
      <c r="N2382" s="1" t="s">
        <v>5161</v>
      </c>
    </row>
    <row r="2383" spans="1:14" x14ac:dyDescent="0.35">
      <c r="A2383">
        <v>1473079</v>
      </c>
      <c r="B2383" s="1" t="s">
        <v>5101</v>
      </c>
      <c r="C2383">
        <v>6892.4</v>
      </c>
      <c r="D2383">
        <v>77</v>
      </c>
      <c r="E2383" s="1" t="s">
        <v>5162</v>
      </c>
      <c r="F2383" s="1" t="s">
        <v>15</v>
      </c>
      <c r="G2383" s="1" t="s">
        <v>22</v>
      </c>
      <c r="H2383">
        <v>52</v>
      </c>
      <c r="I2383">
        <v>24</v>
      </c>
      <c r="K2383" s="1" t="s">
        <v>23</v>
      </c>
      <c r="L2383" s="1" t="s">
        <v>24</v>
      </c>
      <c r="M2383" s="1" t="s">
        <v>5154</v>
      </c>
      <c r="N2383" s="1" t="s">
        <v>5163</v>
      </c>
    </row>
    <row r="2384" spans="1:14" x14ac:dyDescent="0.35">
      <c r="A2384">
        <v>1473024</v>
      </c>
      <c r="B2384" s="1" t="s">
        <v>5101</v>
      </c>
      <c r="C2384">
        <v>6892.4</v>
      </c>
      <c r="D2384">
        <v>77</v>
      </c>
      <c r="E2384" s="1" t="s">
        <v>5164</v>
      </c>
      <c r="F2384" s="1" t="s">
        <v>15</v>
      </c>
      <c r="G2384" s="1" t="s">
        <v>22</v>
      </c>
      <c r="H2384">
        <v>77</v>
      </c>
      <c r="I2384">
        <v>15</v>
      </c>
      <c r="J2384">
        <v>79</v>
      </c>
      <c r="K2384" s="1" t="s">
        <v>61</v>
      </c>
      <c r="L2384" s="1" t="s">
        <v>24</v>
      </c>
      <c r="M2384" s="1" t="s">
        <v>5154</v>
      </c>
      <c r="N2384" s="1" t="s">
        <v>5165</v>
      </c>
    </row>
    <row r="2385" spans="1:14" x14ac:dyDescent="0.35">
      <c r="A2385">
        <v>1471395</v>
      </c>
      <c r="B2385" s="1" t="s">
        <v>5101</v>
      </c>
      <c r="C2385">
        <v>6892.4</v>
      </c>
      <c r="D2385">
        <v>77</v>
      </c>
      <c r="E2385" s="1" t="s">
        <v>5166</v>
      </c>
      <c r="F2385" s="1" t="s">
        <v>71</v>
      </c>
      <c r="G2385" s="1" t="s">
        <v>32</v>
      </c>
      <c r="H2385">
        <v>50</v>
      </c>
      <c r="I2385">
        <v>23</v>
      </c>
      <c r="J2385">
        <v>130</v>
      </c>
      <c r="K2385" s="1" t="s">
        <v>90</v>
      </c>
      <c r="L2385" s="1" t="s">
        <v>24</v>
      </c>
      <c r="M2385" s="1" t="s">
        <v>5167</v>
      </c>
      <c r="N2385" s="1" t="s">
        <v>5168</v>
      </c>
    </row>
    <row r="2386" spans="1:14" x14ac:dyDescent="0.35">
      <c r="A2386">
        <v>1471387</v>
      </c>
      <c r="B2386" s="1" t="s">
        <v>5101</v>
      </c>
      <c r="C2386">
        <v>6892.4</v>
      </c>
      <c r="D2386">
        <v>77</v>
      </c>
      <c r="E2386" s="1" t="s">
        <v>5169</v>
      </c>
      <c r="F2386" s="1" t="s">
        <v>71</v>
      </c>
      <c r="G2386" s="1" t="s">
        <v>32</v>
      </c>
      <c r="H2386">
        <v>74</v>
      </c>
      <c r="I2386">
        <v>23</v>
      </c>
      <c r="J2386">
        <v>205</v>
      </c>
      <c r="K2386" s="1" t="s">
        <v>90</v>
      </c>
      <c r="L2386" s="1" t="s">
        <v>24</v>
      </c>
      <c r="M2386" s="1" t="s">
        <v>5167</v>
      </c>
      <c r="N2386" s="1" t="s">
        <v>5170</v>
      </c>
    </row>
    <row r="2387" spans="1:14" x14ac:dyDescent="0.35">
      <c r="A2387">
        <v>1471386</v>
      </c>
      <c r="B2387" s="1" t="s">
        <v>5101</v>
      </c>
      <c r="C2387">
        <v>6892.4</v>
      </c>
      <c r="D2387">
        <v>77</v>
      </c>
      <c r="E2387" s="1" t="s">
        <v>1179</v>
      </c>
      <c r="F2387" s="1" t="s">
        <v>71</v>
      </c>
      <c r="G2387" s="1" t="s">
        <v>32</v>
      </c>
      <c r="H2387">
        <v>27</v>
      </c>
      <c r="I2387">
        <v>14</v>
      </c>
      <c r="J2387">
        <v>43</v>
      </c>
      <c r="K2387" s="1" t="s">
        <v>90</v>
      </c>
      <c r="L2387" s="1" t="s">
        <v>24</v>
      </c>
      <c r="M2387" s="1" t="s">
        <v>5167</v>
      </c>
      <c r="N2387" s="1" t="s">
        <v>5171</v>
      </c>
    </row>
    <row r="2388" spans="1:14" x14ac:dyDescent="0.35">
      <c r="A2388">
        <v>1471389</v>
      </c>
      <c r="B2388" s="1" t="s">
        <v>5101</v>
      </c>
      <c r="C2388">
        <v>6892.4</v>
      </c>
      <c r="D2388">
        <v>77</v>
      </c>
      <c r="E2388" s="1" t="s">
        <v>5172</v>
      </c>
      <c r="F2388" s="1" t="s">
        <v>71</v>
      </c>
      <c r="G2388" s="1" t="s">
        <v>32</v>
      </c>
      <c r="H2388">
        <v>25</v>
      </c>
      <c r="I2388">
        <v>14</v>
      </c>
      <c r="J2388">
        <v>19</v>
      </c>
      <c r="K2388" s="1" t="s">
        <v>90</v>
      </c>
      <c r="L2388" s="1" t="s">
        <v>24</v>
      </c>
      <c r="M2388" s="1" t="s">
        <v>5167</v>
      </c>
      <c r="N2388" s="1" t="s">
        <v>5173</v>
      </c>
    </row>
    <row r="2389" spans="1:14" x14ac:dyDescent="0.35">
      <c r="A2389">
        <v>1471259</v>
      </c>
      <c r="B2389" s="1" t="s">
        <v>5101</v>
      </c>
      <c r="C2389">
        <v>6892.4</v>
      </c>
      <c r="D2389">
        <v>77</v>
      </c>
      <c r="E2389" s="1" t="s">
        <v>5174</v>
      </c>
      <c r="F2389" s="1" t="s">
        <v>71</v>
      </c>
      <c r="G2389" s="1" t="s">
        <v>32</v>
      </c>
      <c r="H2389">
        <v>28</v>
      </c>
      <c r="I2389">
        <v>21</v>
      </c>
      <c r="J2389">
        <v>89</v>
      </c>
      <c r="K2389" s="1" t="s">
        <v>23</v>
      </c>
      <c r="L2389" s="1" t="s">
        <v>24</v>
      </c>
      <c r="M2389" s="1" t="s">
        <v>5167</v>
      </c>
      <c r="N2389" s="1" t="s">
        <v>5175</v>
      </c>
    </row>
    <row r="2390" spans="1:14" x14ac:dyDescent="0.35">
      <c r="A2390">
        <v>1471146</v>
      </c>
      <c r="B2390" s="1" t="s">
        <v>5101</v>
      </c>
      <c r="C2390">
        <v>6892.4</v>
      </c>
      <c r="D2390">
        <v>77</v>
      </c>
      <c r="E2390" s="1" t="s">
        <v>5176</v>
      </c>
      <c r="F2390" s="1" t="s">
        <v>129</v>
      </c>
      <c r="G2390" s="1" t="s">
        <v>130</v>
      </c>
      <c r="H2390">
        <v>284</v>
      </c>
      <c r="I2390">
        <v>29</v>
      </c>
      <c r="J2390">
        <v>441</v>
      </c>
      <c r="K2390" s="1" t="s">
        <v>124</v>
      </c>
      <c r="L2390" s="1" t="s">
        <v>18</v>
      </c>
      <c r="M2390" s="1" t="s">
        <v>5167</v>
      </c>
      <c r="N2390" s="1" t="s">
        <v>5177</v>
      </c>
    </row>
    <row r="2391" spans="1:14" x14ac:dyDescent="0.35">
      <c r="A2391">
        <v>1471394</v>
      </c>
      <c r="B2391" s="1" t="s">
        <v>5101</v>
      </c>
      <c r="C2391">
        <v>6892.4</v>
      </c>
      <c r="D2391">
        <v>77</v>
      </c>
      <c r="E2391" s="1" t="s">
        <v>5178</v>
      </c>
      <c r="F2391" s="1" t="s">
        <v>334</v>
      </c>
      <c r="G2391" s="1" t="s">
        <v>32</v>
      </c>
      <c r="H2391">
        <v>16</v>
      </c>
      <c r="I2391">
        <v>24</v>
      </c>
      <c r="J2391">
        <v>70</v>
      </c>
      <c r="K2391" s="1" t="s">
        <v>90</v>
      </c>
      <c r="L2391" s="1" t="s">
        <v>24</v>
      </c>
      <c r="M2391" s="1" t="s">
        <v>5167</v>
      </c>
      <c r="N2391" s="1" t="s">
        <v>5179</v>
      </c>
    </row>
    <row r="2392" spans="1:14" x14ac:dyDescent="0.35">
      <c r="A2392">
        <v>1471391</v>
      </c>
      <c r="B2392" s="1" t="s">
        <v>5101</v>
      </c>
      <c r="C2392">
        <v>6892.4</v>
      </c>
      <c r="D2392">
        <v>77</v>
      </c>
      <c r="E2392" s="1" t="s">
        <v>5180</v>
      </c>
      <c r="F2392" s="1" t="s">
        <v>334</v>
      </c>
      <c r="G2392" s="1" t="s">
        <v>32</v>
      </c>
      <c r="H2392">
        <v>16</v>
      </c>
      <c r="I2392">
        <v>17</v>
      </c>
      <c r="J2392">
        <v>63</v>
      </c>
      <c r="K2392" s="1" t="s">
        <v>90</v>
      </c>
      <c r="L2392" s="1" t="s">
        <v>24</v>
      </c>
      <c r="M2392" s="1" t="s">
        <v>5167</v>
      </c>
      <c r="N2392" s="1" t="s">
        <v>5181</v>
      </c>
    </row>
    <row r="2393" spans="1:14" x14ac:dyDescent="0.35">
      <c r="A2393">
        <v>1471226</v>
      </c>
      <c r="B2393" s="1" t="s">
        <v>5101</v>
      </c>
      <c r="C2393">
        <v>6892.4</v>
      </c>
      <c r="D2393">
        <v>77</v>
      </c>
      <c r="E2393" s="1" t="s">
        <v>5182</v>
      </c>
      <c r="F2393" s="1" t="s">
        <v>15</v>
      </c>
      <c r="G2393" s="1" t="s">
        <v>130</v>
      </c>
      <c r="H2393">
        <v>371</v>
      </c>
      <c r="I2393">
        <v>134</v>
      </c>
      <c r="J2393">
        <v>1255</v>
      </c>
      <c r="K2393" s="1" t="s">
        <v>23</v>
      </c>
      <c r="L2393" s="1" t="s">
        <v>24</v>
      </c>
      <c r="M2393" s="1" t="s">
        <v>5167</v>
      </c>
      <c r="N2393" s="1" t="s">
        <v>5183</v>
      </c>
    </row>
    <row r="2394" spans="1:14" x14ac:dyDescent="0.35">
      <c r="A2394">
        <v>1471055</v>
      </c>
      <c r="B2394" s="1" t="s">
        <v>5101</v>
      </c>
      <c r="C2394">
        <v>6892.4</v>
      </c>
      <c r="D2394">
        <v>77</v>
      </c>
      <c r="E2394" s="1" t="s">
        <v>5184</v>
      </c>
      <c r="F2394" s="1" t="s">
        <v>15</v>
      </c>
      <c r="G2394" s="1" t="s">
        <v>16</v>
      </c>
      <c r="H2394">
        <v>200</v>
      </c>
      <c r="I2394">
        <v>108</v>
      </c>
      <c r="J2394">
        <v>546</v>
      </c>
      <c r="K2394" s="1" t="s">
        <v>84</v>
      </c>
      <c r="L2394" s="1" t="s">
        <v>24</v>
      </c>
      <c r="M2394" s="1" t="s">
        <v>5167</v>
      </c>
      <c r="N2394" s="1" t="s">
        <v>5185</v>
      </c>
    </row>
    <row r="2395" spans="1:14" x14ac:dyDescent="0.35">
      <c r="A2395">
        <v>1471390</v>
      </c>
      <c r="B2395" s="1" t="s">
        <v>5101</v>
      </c>
      <c r="C2395">
        <v>6892.4</v>
      </c>
      <c r="D2395">
        <v>77</v>
      </c>
      <c r="E2395" s="1" t="s">
        <v>5186</v>
      </c>
      <c r="F2395" s="1" t="s">
        <v>15</v>
      </c>
      <c r="G2395" s="1" t="s">
        <v>16</v>
      </c>
      <c r="H2395">
        <v>261</v>
      </c>
      <c r="I2395">
        <v>96</v>
      </c>
      <c r="J2395">
        <v>474</v>
      </c>
      <c r="K2395" s="1" t="s">
        <v>90</v>
      </c>
      <c r="L2395" s="1" t="s">
        <v>24</v>
      </c>
      <c r="M2395" s="1" t="s">
        <v>5167</v>
      </c>
      <c r="N2395" s="1" t="s">
        <v>5187</v>
      </c>
    </row>
    <row r="2396" spans="1:14" x14ac:dyDescent="0.35">
      <c r="A2396">
        <v>1471067</v>
      </c>
      <c r="B2396" s="1" t="s">
        <v>5101</v>
      </c>
      <c r="C2396">
        <v>6892.4</v>
      </c>
      <c r="D2396">
        <v>77</v>
      </c>
      <c r="E2396" s="1" t="s">
        <v>5188</v>
      </c>
      <c r="F2396" s="1" t="s">
        <v>15</v>
      </c>
      <c r="G2396" s="1" t="s">
        <v>16</v>
      </c>
      <c r="H2396">
        <v>200</v>
      </c>
      <c r="I2396">
        <v>111</v>
      </c>
      <c r="J2396">
        <v>585</v>
      </c>
      <c r="K2396" s="1" t="s">
        <v>23</v>
      </c>
      <c r="L2396" s="1" t="s">
        <v>24</v>
      </c>
      <c r="M2396" s="1" t="s">
        <v>5167</v>
      </c>
      <c r="N2396" s="1" t="s">
        <v>5189</v>
      </c>
    </row>
    <row r="2397" spans="1:14" x14ac:dyDescent="0.35">
      <c r="A2397">
        <v>1471011</v>
      </c>
      <c r="B2397" s="1" t="s">
        <v>5101</v>
      </c>
      <c r="C2397">
        <v>6892.4</v>
      </c>
      <c r="D2397">
        <v>77</v>
      </c>
      <c r="E2397" s="1" t="s">
        <v>5190</v>
      </c>
      <c r="F2397" s="1" t="s">
        <v>15</v>
      </c>
      <c r="G2397" s="1" t="s">
        <v>16</v>
      </c>
      <c r="H2397">
        <v>539</v>
      </c>
      <c r="I2397">
        <v>146</v>
      </c>
      <c r="J2397">
        <v>1487</v>
      </c>
      <c r="K2397" s="1" t="s">
        <v>124</v>
      </c>
      <c r="L2397" s="1" t="s">
        <v>18</v>
      </c>
      <c r="M2397" s="1" t="s">
        <v>5167</v>
      </c>
      <c r="N2397" s="1" t="s">
        <v>5191</v>
      </c>
    </row>
    <row r="2398" spans="1:14" x14ac:dyDescent="0.35">
      <c r="A2398">
        <v>1471033</v>
      </c>
      <c r="B2398" s="1" t="s">
        <v>5101</v>
      </c>
      <c r="C2398">
        <v>6892.4</v>
      </c>
      <c r="D2398">
        <v>77</v>
      </c>
      <c r="E2398" s="1" t="s">
        <v>5192</v>
      </c>
      <c r="F2398" s="1" t="s">
        <v>15</v>
      </c>
      <c r="G2398" s="1" t="s">
        <v>32</v>
      </c>
      <c r="H2398">
        <v>100</v>
      </c>
      <c r="I2398">
        <v>28</v>
      </c>
      <c r="J2398">
        <v>163</v>
      </c>
      <c r="K2398" s="1" t="s">
        <v>146</v>
      </c>
      <c r="L2398" s="1" t="s">
        <v>120</v>
      </c>
      <c r="M2398" s="1" t="s">
        <v>5167</v>
      </c>
      <c r="N2398" s="1" t="s">
        <v>5193</v>
      </c>
    </row>
    <row r="2399" spans="1:14" x14ac:dyDescent="0.35">
      <c r="A2399">
        <v>1471371</v>
      </c>
      <c r="B2399" s="1" t="s">
        <v>5101</v>
      </c>
      <c r="C2399">
        <v>6892.4</v>
      </c>
      <c r="D2399">
        <v>77</v>
      </c>
      <c r="E2399" s="1" t="s">
        <v>5194</v>
      </c>
      <c r="F2399" s="1" t="s">
        <v>15</v>
      </c>
      <c r="G2399" s="1" t="s">
        <v>32</v>
      </c>
      <c r="H2399">
        <v>102</v>
      </c>
      <c r="I2399">
        <v>23</v>
      </c>
      <c r="J2399">
        <v>69</v>
      </c>
      <c r="K2399" s="1" t="s">
        <v>23</v>
      </c>
      <c r="L2399" s="1" t="s">
        <v>24</v>
      </c>
      <c r="M2399" s="1" t="s">
        <v>5167</v>
      </c>
      <c r="N2399" s="1" t="s">
        <v>5195</v>
      </c>
    </row>
    <row r="2400" spans="1:14" x14ac:dyDescent="0.35">
      <c r="A2400">
        <v>1471398</v>
      </c>
      <c r="B2400" s="1" t="s">
        <v>5101</v>
      </c>
      <c r="C2400">
        <v>6892.4</v>
      </c>
      <c r="D2400">
        <v>77</v>
      </c>
      <c r="E2400" s="1" t="s">
        <v>5196</v>
      </c>
      <c r="F2400" s="1" t="s">
        <v>15</v>
      </c>
      <c r="G2400" s="1" t="s">
        <v>32</v>
      </c>
      <c r="H2400">
        <v>102</v>
      </c>
      <c r="I2400">
        <v>37</v>
      </c>
      <c r="J2400">
        <v>416</v>
      </c>
      <c r="K2400" s="1" t="s">
        <v>137</v>
      </c>
      <c r="L2400" s="1" t="s">
        <v>18</v>
      </c>
      <c r="M2400" s="1" t="s">
        <v>5167</v>
      </c>
      <c r="N2400" s="1" t="s">
        <v>5197</v>
      </c>
    </row>
    <row r="2401" spans="1:14" x14ac:dyDescent="0.35">
      <c r="A2401">
        <v>1471150</v>
      </c>
      <c r="B2401" s="1" t="s">
        <v>5101</v>
      </c>
      <c r="C2401">
        <v>6892.4</v>
      </c>
      <c r="D2401">
        <v>77</v>
      </c>
      <c r="E2401" s="1" t="s">
        <v>5198</v>
      </c>
      <c r="F2401" s="1" t="s">
        <v>15</v>
      </c>
      <c r="G2401" s="1" t="s">
        <v>32</v>
      </c>
      <c r="H2401">
        <v>123</v>
      </c>
      <c r="I2401">
        <v>54</v>
      </c>
      <c r="J2401">
        <v>197</v>
      </c>
      <c r="K2401" s="1" t="s">
        <v>84</v>
      </c>
      <c r="L2401" s="1" t="s">
        <v>24</v>
      </c>
      <c r="M2401" s="1" t="s">
        <v>5167</v>
      </c>
      <c r="N2401" s="1" t="s">
        <v>5199</v>
      </c>
    </row>
    <row r="2402" spans="1:14" x14ac:dyDescent="0.35">
      <c r="A2402">
        <v>1471383</v>
      </c>
      <c r="B2402" s="1" t="s">
        <v>5101</v>
      </c>
      <c r="C2402">
        <v>6892.4</v>
      </c>
      <c r="D2402">
        <v>77</v>
      </c>
      <c r="E2402" s="1" t="s">
        <v>5200</v>
      </c>
      <c r="F2402" s="1" t="s">
        <v>15</v>
      </c>
      <c r="G2402" s="1" t="s">
        <v>32</v>
      </c>
      <c r="H2402">
        <v>152</v>
      </c>
      <c r="I2402">
        <v>40</v>
      </c>
      <c r="J2402">
        <v>77</v>
      </c>
      <c r="K2402" s="1" t="s">
        <v>23</v>
      </c>
      <c r="L2402" s="1" t="s">
        <v>24</v>
      </c>
      <c r="M2402" s="1" t="s">
        <v>5167</v>
      </c>
      <c r="N2402" s="1" t="s">
        <v>5201</v>
      </c>
    </row>
    <row r="2403" spans="1:14" x14ac:dyDescent="0.35">
      <c r="A2403">
        <v>1471091</v>
      </c>
      <c r="B2403" s="1" t="s">
        <v>5101</v>
      </c>
      <c r="C2403">
        <v>6892.4</v>
      </c>
      <c r="D2403">
        <v>77</v>
      </c>
      <c r="E2403" s="1" t="s">
        <v>5202</v>
      </c>
      <c r="F2403" s="1" t="s">
        <v>15</v>
      </c>
      <c r="G2403" s="1" t="s">
        <v>32</v>
      </c>
      <c r="H2403">
        <v>100</v>
      </c>
      <c r="I2403">
        <v>33</v>
      </c>
      <c r="J2403">
        <v>378</v>
      </c>
      <c r="K2403" s="1" t="s">
        <v>124</v>
      </c>
      <c r="L2403" s="1" t="s">
        <v>18</v>
      </c>
      <c r="M2403" s="1" t="s">
        <v>5167</v>
      </c>
      <c r="N2403" s="1" t="s">
        <v>5203</v>
      </c>
    </row>
    <row r="2404" spans="1:14" x14ac:dyDescent="0.35">
      <c r="A2404">
        <v>1471215</v>
      </c>
      <c r="B2404" s="1" t="s">
        <v>5101</v>
      </c>
      <c r="C2404">
        <v>6892.4</v>
      </c>
      <c r="D2404">
        <v>77</v>
      </c>
      <c r="E2404" s="1" t="s">
        <v>5204</v>
      </c>
      <c r="F2404" s="1" t="s">
        <v>15</v>
      </c>
      <c r="G2404" s="1" t="s">
        <v>32</v>
      </c>
      <c r="H2404">
        <v>50</v>
      </c>
      <c r="I2404">
        <v>21</v>
      </c>
      <c r="J2404">
        <v>76</v>
      </c>
      <c r="K2404" s="1" t="s">
        <v>974</v>
      </c>
      <c r="L2404" s="1" t="s">
        <v>24</v>
      </c>
      <c r="M2404" s="1" t="s">
        <v>5167</v>
      </c>
      <c r="N2404" s="1" t="s">
        <v>5205</v>
      </c>
    </row>
    <row r="2405" spans="1:14" x14ac:dyDescent="0.35">
      <c r="A2405">
        <v>1471382</v>
      </c>
      <c r="B2405" s="1" t="s">
        <v>5101</v>
      </c>
      <c r="C2405">
        <v>6892.4</v>
      </c>
      <c r="D2405">
        <v>77</v>
      </c>
      <c r="E2405" s="1" t="s">
        <v>5206</v>
      </c>
      <c r="F2405" s="1" t="s">
        <v>15</v>
      </c>
      <c r="G2405" s="1" t="s">
        <v>32</v>
      </c>
      <c r="H2405">
        <v>100</v>
      </c>
      <c r="I2405">
        <v>87</v>
      </c>
      <c r="J2405">
        <v>260</v>
      </c>
      <c r="K2405" s="1" t="s">
        <v>23</v>
      </c>
      <c r="L2405" s="1" t="s">
        <v>24</v>
      </c>
      <c r="M2405" s="1" t="s">
        <v>5167</v>
      </c>
      <c r="N2405" s="1" t="s">
        <v>5207</v>
      </c>
    </row>
    <row r="2406" spans="1:14" x14ac:dyDescent="0.35">
      <c r="A2406">
        <v>1471384</v>
      </c>
      <c r="B2406" s="1" t="s">
        <v>5101</v>
      </c>
      <c r="C2406">
        <v>6892.4</v>
      </c>
      <c r="D2406">
        <v>77</v>
      </c>
      <c r="E2406" s="1" t="s">
        <v>5208</v>
      </c>
      <c r="F2406" s="1" t="s">
        <v>15</v>
      </c>
      <c r="G2406" s="1" t="s">
        <v>32</v>
      </c>
      <c r="H2406">
        <v>201</v>
      </c>
      <c r="I2406">
        <v>100</v>
      </c>
      <c r="J2406">
        <v>417</v>
      </c>
      <c r="K2406" s="1" t="s">
        <v>90</v>
      </c>
      <c r="L2406" s="1" t="s">
        <v>24</v>
      </c>
      <c r="M2406" s="1" t="s">
        <v>5167</v>
      </c>
      <c r="N2406" s="1" t="s">
        <v>5209</v>
      </c>
    </row>
    <row r="2407" spans="1:14" x14ac:dyDescent="0.35">
      <c r="A2407">
        <v>1471399</v>
      </c>
      <c r="B2407" s="1" t="s">
        <v>5101</v>
      </c>
      <c r="C2407">
        <v>6892.4</v>
      </c>
      <c r="D2407">
        <v>77</v>
      </c>
      <c r="E2407" s="1" t="s">
        <v>5210</v>
      </c>
      <c r="F2407" s="1" t="s">
        <v>15</v>
      </c>
      <c r="G2407" s="1" t="s">
        <v>32</v>
      </c>
      <c r="H2407">
        <v>100</v>
      </c>
      <c r="I2407">
        <v>28</v>
      </c>
      <c r="J2407">
        <v>75</v>
      </c>
      <c r="K2407" s="1" t="s">
        <v>23</v>
      </c>
      <c r="L2407" s="1" t="s">
        <v>24</v>
      </c>
      <c r="M2407" s="1" t="s">
        <v>5167</v>
      </c>
      <c r="N2407" s="1" t="s">
        <v>5211</v>
      </c>
    </row>
    <row r="2408" spans="1:14" x14ac:dyDescent="0.35">
      <c r="A2408">
        <v>1471397</v>
      </c>
      <c r="B2408" s="1" t="s">
        <v>5101</v>
      </c>
      <c r="C2408">
        <v>6892.4</v>
      </c>
      <c r="D2408">
        <v>77</v>
      </c>
      <c r="E2408" s="1" t="s">
        <v>5212</v>
      </c>
      <c r="F2408" s="1" t="s">
        <v>15</v>
      </c>
      <c r="G2408" s="1" t="s">
        <v>32</v>
      </c>
      <c r="H2408">
        <v>189</v>
      </c>
      <c r="I2408">
        <v>110</v>
      </c>
      <c r="J2408">
        <v>432</v>
      </c>
      <c r="K2408" s="1" t="s">
        <v>90</v>
      </c>
      <c r="L2408" s="1" t="s">
        <v>24</v>
      </c>
      <c r="M2408" s="1" t="s">
        <v>5167</v>
      </c>
      <c r="N2408" s="1" t="s">
        <v>5213</v>
      </c>
    </row>
    <row r="2409" spans="1:14" x14ac:dyDescent="0.35">
      <c r="A2409">
        <v>1471237</v>
      </c>
      <c r="B2409" s="1" t="s">
        <v>5101</v>
      </c>
      <c r="C2409">
        <v>6892.4</v>
      </c>
      <c r="D2409">
        <v>77</v>
      </c>
      <c r="E2409" s="1" t="s">
        <v>5214</v>
      </c>
      <c r="F2409" s="1" t="s">
        <v>15</v>
      </c>
      <c r="G2409" s="1" t="s">
        <v>32</v>
      </c>
      <c r="H2409">
        <v>100</v>
      </c>
      <c r="I2409">
        <v>24</v>
      </c>
      <c r="J2409">
        <v>100</v>
      </c>
      <c r="K2409" s="1" t="s">
        <v>23</v>
      </c>
      <c r="L2409" s="1" t="s">
        <v>24</v>
      </c>
      <c r="M2409" s="1" t="s">
        <v>5167</v>
      </c>
      <c r="N2409" s="1" t="s">
        <v>5215</v>
      </c>
    </row>
    <row r="2410" spans="1:14" x14ac:dyDescent="0.35">
      <c r="A2410">
        <v>1471135</v>
      </c>
      <c r="B2410" s="1" t="s">
        <v>5101</v>
      </c>
      <c r="C2410">
        <v>6892.4</v>
      </c>
      <c r="D2410">
        <v>77</v>
      </c>
      <c r="E2410" s="1" t="s">
        <v>5216</v>
      </c>
      <c r="F2410" s="1" t="s">
        <v>15</v>
      </c>
      <c r="G2410" s="1" t="s">
        <v>32</v>
      </c>
      <c r="H2410">
        <v>124</v>
      </c>
      <c r="I2410">
        <v>92</v>
      </c>
      <c r="J2410">
        <v>575</v>
      </c>
      <c r="K2410" s="1" t="s">
        <v>444</v>
      </c>
      <c r="L2410" s="1" t="s">
        <v>24</v>
      </c>
      <c r="M2410" s="1" t="s">
        <v>5167</v>
      </c>
      <c r="N2410" s="1" t="s">
        <v>5217</v>
      </c>
    </row>
    <row r="2411" spans="1:14" x14ac:dyDescent="0.35">
      <c r="A2411">
        <v>1471396</v>
      </c>
      <c r="B2411" s="1" t="s">
        <v>5101</v>
      </c>
      <c r="C2411">
        <v>6892.4</v>
      </c>
      <c r="D2411">
        <v>77</v>
      </c>
      <c r="E2411" s="1" t="s">
        <v>5218</v>
      </c>
      <c r="F2411" s="1" t="s">
        <v>15</v>
      </c>
      <c r="G2411" s="1" t="s">
        <v>32</v>
      </c>
      <c r="H2411">
        <v>123</v>
      </c>
      <c r="I2411">
        <v>57</v>
      </c>
      <c r="J2411">
        <v>387</v>
      </c>
      <c r="K2411" s="1" t="s">
        <v>90</v>
      </c>
      <c r="L2411" s="1" t="s">
        <v>24</v>
      </c>
      <c r="M2411" s="1" t="s">
        <v>5167</v>
      </c>
      <c r="N2411" s="1" t="s">
        <v>5219</v>
      </c>
    </row>
    <row r="2412" spans="1:14" x14ac:dyDescent="0.35">
      <c r="A2412">
        <v>1471079</v>
      </c>
      <c r="B2412" s="1" t="s">
        <v>5101</v>
      </c>
      <c r="C2412">
        <v>6892.4</v>
      </c>
      <c r="D2412">
        <v>77</v>
      </c>
      <c r="E2412" s="1" t="s">
        <v>5220</v>
      </c>
      <c r="F2412" s="1" t="s">
        <v>15</v>
      </c>
      <c r="G2412" s="1" t="s">
        <v>32</v>
      </c>
      <c r="H2412">
        <v>180</v>
      </c>
      <c r="I2412">
        <v>95</v>
      </c>
      <c r="J2412">
        <v>483</v>
      </c>
      <c r="K2412" s="1" t="s">
        <v>23</v>
      </c>
      <c r="L2412" s="1" t="s">
        <v>24</v>
      </c>
      <c r="M2412" s="1" t="s">
        <v>5167</v>
      </c>
      <c r="N2412" s="1" t="s">
        <v>5221</v>
      </c>
    </row>
    <row r="2413" spans="1:14" x14ac:dyDescent="0.35">
      <c r="A2413">
        <v>1471161</v>
      </c>
      <c r="B2413" s="1" t="s">
        <v>5101</v>
      </c>
      <c r="C2413">
        <v>6892.4</v>
      </c>
      <c r="D2413">
        <v>77</v>
      </c>
      <c r="E2413" s="1" t="s">
        <v>5222</v>
      </c>
      <c r="F2413" s="1" t="s">
        <v>15</v>
      </c>
      <c r="G2413" s="1" t="s">
        <v>22</v>
      </c>
      <c r="H2413">
        <v>56</v>
      </c>
      <c r="I2413">
        <v>20</v>
      </c>
      <c r="J2413">
        <v>99</v>
      </c>
      <c r="K2413" s="1" t="s">
        <v>90</v>
      </c>
      <c r="L2413" s="1" t="s">
        <v>24</v>
      </c>
      <c r="M2413" s="1" t="s">
        <v>5167</v>
      </c>
      <c r="N2413" s="1" t="s">
        <v>5223</v>
      </c>
    </row>
    <row r="2414" spans="1:14" x14ac:dyDescent="0.35">
      <c r="A2414">
        <v>1471022</v>
      </c>
      <c r="B2414" s="1" t="s">
        <v>5101</v>
      </c>
      <c r="C2414">
        <v>6892.4</v>
      </c>
      <c r="D2414">
        <v>77</v>
      </c>
      <c r="E2414" s="1" t="s">
        <v>5224</v>
      </c>
      <c r="F2414" s="1" t="s">
        <v>15</v>
      </c>
      <c r="G2414" s="1" t="s">
        <v>22</v>
      </c>
      <c r="H2414">
        <v>57</v>
      </c>
      <c r="I2414">
        <v>30</v>
      </c>
      <c r="J2414">
        <v>54</v>
      </c>
      <c r="K2414" s="1" t="s">
        <v>27</v>
      </c>
      <c r="L2414" s="1" t="s">
        <v>24</v>
      </c>
      <c r="M2414" s="1" t="s">
        <v>5167</v>
      </c>
      <c r="N2414" s="1" t="s">
        <v>5225</v>
      </c>
    </row>
    <row r="2415" spans="1:14" x14ac:dyDescent="0.35">
      <c r="A2415">
        <v>1471392</v>
      </c>
      <c r="B2415" s="1" t="s">
        <v>5101</v>
      </c>
      <c r="C2415">
        <v>6892.4</v>
      </c>
      <c r="D2415">
        <v>77</v>
      </c>
      <c r="E2415" s="1" t="s">
        <v>5226</v>
      </c>
      <c r="F2415" s="1" t="s">
        <v>15</v>
      </c>
      <c r="G2415" s="1" t="s">
        <v>22</v>
      </c>
      <c r="H2415">
        <v>54</v>
      </c>
      <c r="I2415">
        <v>23</v>
      </c>
      <c r="J2415">
        <v>110</v>
      </c>
      <c r="K2415" s="1" t="s">
        <v>49</v>
      </c>
      <c r="L2415" s="1" t="s">
        <v>24</v>
      </c>
      <c r="M2415" s="1" t="s">
        <v>5167</v>
      </c>
      <c r="N2415" s="1" t="s">
        <v>5227</v>
      </c>
    </row>
    <row r="2416" spans="1:14" x14ac:dyDescent="0.35">
      <c r="A2416">
        <v>1401012</v>
      </c>
      <c r="B2416" s="1" t="s">
        <v>5101</v>
      </c>
      <c r="C2416">
        <v>6892.4</v>
      </c>
      <c r="D2416">
        <v>77</v>
      </c>
      <c r="E2416" s="1" t="s">
        <v>5228</v>
      </c>
      <c r="F2416" s="1" t="s">
        <v>71</v>
      </c>
      <c r="G2416" s="1" t="s">
        <v>32</v>
      </c>
      <c r="H2416">
        <v>64</v>
      </c>
      <c r="I2416">
        <v>26</v>
      </c>
      <c r="J2416">
        <v>55</v>
      </c>
      <c r="K2416" s="1" t="s">
        <v>23</v>
      </c>
      <c r="L2416" s="1" t="s">
        <v>24</v>
      </c>
      <c r="M2416" s="1" t="s">
        <v>5229</v>
      </c>
      <c r="N2416" s="1" t="s">
        <v>5230</v>
      </c>
    </row>
    <row r="2417" spans="1:14" x14ac:dyDescent="0.35">
      <c r="A2417">
        <v>1401011</v>
      </c>
      <c r="B2417" s="1" t="s">
        <v>5101</v>
      </c>
      <c r="C2417">
        <v>6892.4</v>
      </c>
      <c r="D2417">
        <v>77</v>
      </c>
      <c r="E2417" s="1" t="s">
        <v>5231</v>
      </c>
      <c r="F2417" s="1" t="s">
        <v>15</v>
      </c>
      <c r="G2417" s="1" t="s">
        <v>32</v>
      </c>
      <c r="H2417">
        <v>113</v>
      </c>
      <c r="I2417">
        <v>63</v>
      </c>
      <c r="J2417">
        <v>199</v>
      </c>
      <c r="K2417" s="1" t="s">
        <v>17</v>
      </c>
      <c r="L2417" s="1" t="s">
        <v>18</v>
      </c>
      <c r="M2417" s="1" t="s">
        <v>5229</v>
      </c>
      <c r="N2417" s="1" t="s">
        <v>5232</v>
      </c>
    </row>
    <row r="2418" spans="1:14" x14ac:dyDescent="0.35">
      <c r="A2418">
        <v>1404025</v>
      </c>
      <c r="B2418" s="1" t="s">
        <v>5101</v>
      </c>
      <c r="C2418">
        <v>6892.4</v>
      </c>
      <c r="D2418">
        <v>77</v>
      </c>
      <c r="E2418" s="1" t="s">
        <v>5233</v>
      </c>
      <c r="F2418" s="1" t="s">
        <v>15</v>
      </c>
      <c r="G2418" s="1" t="s">
        <v>32</v>
      </c>
      <c r="H2418">
        <v>201</v>
      </c>
      <c r="I2418">
        <v>35</v>
      </c>
      <c r="J2418">
        <v>196</v>
      </c>
      <c r="K2418" s="1" t="s">
        <v>23</v>
      </c>
      <c r="L2418" s="1" t="s">
        <v>24</v>
      </c>
      <c r="M2418" s="1" t="s">
        <v>5234</v>
      </c>
      <c r="N2418" s="1" t="s">
        <v>5235</v>
      </c>
    </row>
    <row r="2419" spans="1:14" x14ac:dyDescent="0.35">
      <c r="A2419">
        <v>1404014</v>
      </c>
      <c r="B2419" s="1" t="s">
        <v>5101</v>
      </c>
      <c r="C2419">
        <v>6892.4</v>
      </c>
      <c r="D2419">
        <v>77</v>
      </c>
      <c r="E2419" s="1" t="s">
        <v>5236</v>
      </c>
      <c r="F2419" s="1" t="s">
        <v>15</v>
      </c>
      <c r="G2419" s="1" t="s">
        <v>32</v>
      </c>
      <c r="H2419">
        <v>130</v>
      </c>
      <c r="I2419">
        <v>33</v>
      </c>
      <c r="J2419">
        <v>436</v>
      </c>
      <c r="K2419" s="1" t="s">
        <v>17</v>
      </c>
      <c r="L2419" s="1" t="s">
        <v>18</v>
      </c>
      <c r="M2419" s="1" t="s">
        <v>5234</v>
      </c>
      <c r="N2419" s="1" t="s">
        <v>5237</v>
      </c>
    </row>
    <row r="2420" spans="1:14" x14ac:dyDescent="0.35">
      <c r="A2420">
        <v>1404027</v>
      </c>
      <c r="B2420" s="1" t="s">
        <v>5101</v>
      </c>
      <c r="C2420">
        <v>6892.4</v>
      </c>
      <c r="D2420">
        <v>77</v>
      </c>
      <c r="E2420" s="1" t="s">
        <v>5238</v>
      </c>
      <c r="F2420" s="1" t="s">
        <v>15</v>
      </c>
      <c r="G2420" s="1" t="s">
        <v>22</v>
      </c>
      <c r="H2420">
        <v>70</v>
      </c>
      <c r="I2420">
        <v>21</v>
      </c>
      <c r="J2420">
        <v>85</v>
      </c>
      <c r="K2420" s="1" t="s">
        <v>90</v>
      </c>
      <c r="L2420" s="1" t="s">
        <v>24</v>
      </c>
      <c r="M2420" s="1" t="s">
        <v>5234</v>
      </c>
      <c r="N2420" s="1" t="s">
        <v>5239</v>
      </c>
    </row>
    <row r="2421" spans="1:14" x14ac:dyDescent="0.35">
      <c r="A2421">
        <v>1404026</v>
      </c>
      <c r="B2421" s="1" t="s">
        <v>5101</v>
      </c>
      <c r="C2421">
        <v>6892.4</v>
      </c>
      <c r="D2421">
        <v>77</v>
      </c>
      <c r="E2421" s="1" t="s">
        <v>5240</v>
      </c>
      <c r="F2421" s="1" t="s">
        <v>15</v>
      </c>
      <c r="G2421" s="1" t="s">
        <v>22</v>
      </c>
      <c r="H2421">
        <v>65</v>
      </c>
      <c r="I2421">
        <v>20</v>
      </c>
      <c r="J2421">
        <v>100</v>
      </c>
      <c r="K2421" s="1" t="s">
        <v>23</v>
      </c>
      <c r="L2421" s="1" t="s">
        <v>24</v>
      </c>
      <c r="M2421" s="1" t="s">
        <v>5234</v>
      </c>
      <c r="N2421" s="1" t="s">
        <v>5241</v>
      </c>
    </row>
    <row r="2422" spans="1:14" x14ac:dyDescent="0.35">
      <c r="A2422">
        <v>1409019</v>
      </c>
      <c r="B2422" s="1" t="s">
        <v>5101</v>
      </c>
      <c r="C2422">
        <v>6892.4</v>
      </c>
      <c r="D2422">
        <v>77</v>
      </c>
      <c r="E2422" s="1" t="s">
        <v>5242</v>
      </c>
      <c r="F2422" s="1" t="s">
        <v>71</v>
      </c>
      <c r="G2422" s="1" t="s">
        <v>32</v>
      </c>
      <c r="H2422">
        <v>54</v>
      </c>
      <c r="I2422">
        <v>17</v>
      </c>
      <c r="J2422">
        <v>37</v>
      </c>
      <c r="K2422" s="1" t="s">
        <v>90</v>
      </c>
      <c r="L2422" s="1" t="s">
        <v>24</v>
      </c>
      <c r="M2422" s="1" t="s">
        <v>5243</v>
      </c>
      <c r="N2422" s="1" t="s">
        <v>5244</v>
      </c>
    </row>
    <row r="2423" spans="1:14" x14ac:dyDescent="0.35">
      <c r="A2423">
        <v>1409022</v>
      </c>
      <c r="B2423" s="1" t="s">
        <v>5101</v>
      </c>
      <c r="C2423">
        <v>6892.4</v>
      </c>
      <c r="D2423">
        <v>77</v>
      </c>
      <c r="E2423" s="1" t="s">
        <v>5245</v>
      </c>
      <c r="F2423" s="1" t="s">
        <v>15</v>
      </c>
      <c r="G2423" s="1" t="s">
        <v>32</v>
      </c>
      <c r="H2423">
        <v>121</v>
      </c>
      <c r="I2423">
        <v>24</v>
      </c>
      <c r="J2423">
        <v>236</v>
      </c>
      <c r="K2423" s="1" t="s">
        <v>17</v>
      </c>
      <c r="L2423" s="1" t="s">
        <v>18</v>
      </c>
      <c r="M2423" s="1" t="s">
        <v>5243</v>
      </c>
      <c r="N2423" s="1" t="s">
        <v>5246</v>
      </c>
    </row>
    <row r="2424" spans="1:14" x14ac:dyDescent="0.35">
      <c r="A2424">
        <v>1409033</v>
      </c>
      <c r="B2424" s="1" t="s">
        <v>5101</v>
      </c>
      <c r="C2424">
        <v>6892.4</v>
      </c>
      <c r="D2424">
        <v>77</v>
      </c>
      <c r="E2424" s="1" t="s">
        <v>5247</v>
      </c>
      <c r="F2424" s="1" t="s">
        <v>15</v>
      </c>
      <c r="G2424" s="1" t="s">
        <v>32</v>
      </c>
      <c r="H2424">
        <v>119</v>
      </c>
      <c r="I2424">
        <v>27</v>
      </c>
      <c r="K2424" s="1" t="s">
        <v>23</v>
      </c>
      <c r="L2424" s="1" t="s">
        <v>24</v>
      </c>
      <c r="M2424" s="1" t="s">
        <v>5243</v>
      </c>
      <c r="N2424" s="1" t="s">
        <v>5248</v>
      </c>
    </row>
    <row r="2425" spans="1:14" x14ac:dyDescent="0.35">
      <c r="A2425">
        <v>1409018</v>
      </c>
      <c r="B2425" s="1" t="s">
        <v>5101</v>
      </c>
      <c r="C2425">
        <v>6892.4</v>
      </c>
      <c r="D2425">
        <v>77</v>
      </c>
      <c r="E2425" s="1" t="s">
        <v>5249</v>
      </c>
      <c r="F2425" s="1" t="s">
        <v>15</v>
      </c>
      <c r="G2425" s="1" t="s">
        <v>22</v>
      </c>
      <c r="H2425">
        <v>62</v>
      </c>
      <c r="I2425">
        <v>15</v>
      </c>
      <c r="J2425">
        <v>27</v>
      </c>
      <c r="K2425" s="1" t="s">
        <v>23</v>
      </c>
      <c r="L2425" s="1" t="s">
        <v>24</v>
      </c>
      <c r="M2425" s="1" t="s">
        <v>5243</v>
      </c>
      <c r="N2425" s="1" t="s">
        <v>5250</v>
      </c>
    </row>
    <row r="2426" spans="1:14" x14ac:dyDescent="0.35">
      <c r="A2426">
        <v>1409013</v>
      </c>
      <c r="B2426" s="1" t="s">
        <v>5101</v>
      </c>
      <c r="C2426">
        <v>6892.4</v>
      </c>
      <c r="D2426">
        <v>77</v>
      </c>
      <c r="E2426" s="1" t="s">
        <v>5251</v>
      </c>
      <c r="F2426" s="1" t="s">
        <v>15</v>
      </c>
      <c r="G2426" s="1" t="s">
        <v>22</v>
      </c>
      <c r="H2426">
        <v>60</v>
      </c>
      <c r="I2426">
        <v>29</v>
      </c>
      <c r="J2426">
        <v>105</v>
      </c>
      <c r="K2426" s="1" t="s">
        <v>90</v>
      </c>
      <c r="L2426" s="1" t="s">
        <v>120</v>
      </c>
      <c r="M2426" s="1" t="s">
        <v>5243</v>
      </c>
      <c r="N2426" s="1" t="s">
        <v>5252</v>
      </c>
    </row>
    <row r="2427" spans="1:14" x14ac:dyDescent="0.35">
      <c r="A2427">
        <v>1409014</v>
      </c>
      <c r="B2427" s="1" t="s">
        <v>5101</v>
      </c>
      <c r="C2427">
        <v>6892.4</v>
      </c>
      <c r="D2427">
        <v>77</v>
      </c>
      <c r="E2427" s="1" t="s">
        <v>5253</v>
      </c>
      <c r="F2427" s="1" t="s">
        <v>15</v>
      </c>
      <c r="G2427" s="1" t="s">
        <v>22</v>
      </c>
      <c r="H2427">
        <v>58</v>
      </c>
      <c r="I2427">
        <v>30</v>
      </c>
      <c r="J2427">
        <v>82</v>
      </c>
      <c r="K2427" s="1" t="s">
        <v>23</v>
      </c>
      <c r="L2427" s="1" t="s">
        <v>24</v>
      </c>
      <c r="M2427" s="1" t="s">
        <v>5243</v>
      </c>
      <c r="N2427" s="1" t="s">
        <v>5254</v>
      </c>
    </row>
    <row r="2428" spans="1:14" x14ac:dyDescent="0.35">
      <c r="A2428">
        <v>1407016</v>
      </c>
      <c r="B2428" s="1" t="s">
        <v>5101</v>
      </c>
      <c r="C2428">
        <v>6892.4</v>
      </c>
      <c r="D2428">
        <v>77</v>
      </c>
      <c r="E2428" s="1" t="s">
        <v>5255</v>
      </c>
      <c r="F2428" s="1" t="s">
        <v>71</v>
      </c>
      <c r="G2428" s="1" t="s">
        <v>32</v>
      </c>
      <c r="H2428">
        <v>24</v>
      </c>
      <c r="I2428">
        <v>20</v>
      </c>
      <c r="J2428">
        <v>103</v>
      </c>
      <c r="K2428" s="1" t="s">
        <v>95</v>
      </c>
      <c r="L2428" s="1" t="s">
        <v>24</v>
      </c>
      <c r="M2428" s="1" t="s">
        <v>5256</v>
      </c>
      <c r="N2428" s="1" t="s">
        <v>5257</v>
      </c>
    </row>
    <row r="2429" spans="1:14" x14ac:dyDescent="0.35">
      <c r="A2429">
        <v>1407011</v>
      </c>
      <c r="B2429" s="1" t="s">
        <v>5101</v>
      </c>
      <c r="C2429">
        <v>6892.4</v>
      </c>
      <c r="D2429">
        <v>77</v>
      </c>
      <c r="E2429" s="1" t="s">
        <v>5258</v>
      </c>
      <c r="F2429" s="1" t="s">
        <v>15</v>
      </c>
      <c r="G2429" s="1" t="s">
        <v>32</v>
      </c>
      <c r="H2429">
        <v>96</v>
      </c>
      <c r="I2429">
        <v>60</v>
      </c>
      <c r="J2429">
        <v>544</v>
      </c>
      <c r="K2429" s="1" t="s">
        <v>17</v>
      </c>
      <c r="L2429" s="1" t="s">
        <v>18</v>
      </c>
      <c r="M2429" s="1" t="s">
        <v>5256</v>
      </c>
      <c r="N2429" s="1" t="s">
        <v>5259</v>
      </c>
    </row>
    <row r="2430" spans="1:14" x14ac:dyDescent="0.35">
      <c r="A2430">
        <v>1407014</v>
      </c>
      <c r="B2430" s="1" t="s">
        <v>5101</v>
      </c>
      <c r="C2430">
        <v>6892.4</v>
      </c>
      <c r="D2430">
        <v>77</v>
      </c>
      <c r="E2430" s="1" t="s">
        <v>5260</v>
      </c>
      <c r="F2430" s="1" t="s">
        <v>15</v>
      </c>
      <c r="G2430" s="1" t="s">
        <v>32</v>
      </c>
      <c r="H2430">
        <v>102</v>
      </c>
      <c r="I2430">
        <v>38</v>
      </c>
      <c r="J2430">
        <v>164</v>
      </c>
      <c r="K2430" s="1" t="s">
        <v>90</v>
      </c>
      <c r="L2430" s="1" t="s">
        <v>24</v>
      </c>
      <c r="M2430" s="1" t="s">
        <v>5256</v>
      </c>
      <c r="N2430" s="1" t="s">
        <v>5261</v>
      </c>
    </row>
    <row r="2431" spans="1:14" x14ac:dyDescent="0.35">
      <c r="A2431">
        <v>1407012</v>
      </c>
      <c r="B2431" s="1" t="s">
        <v>5101</v>
      </c>
      <c r="C2431">
        <v>6892.4</v>
      </c>
      <c r="D2431">
        <v>77</v>
      </c>
      <c r="E2431" s="1" t="s">
        <v>5262</v>
      </c>
      <c r="F2431" s="1" t="s">
        <v>15</v>
      </c>
      <c r="G2431" s="1" t="s">
        <v>32</v>
      </c>
      <c r="H2431">
        <v>145</v>
      </c>
      <c r="I2431">
        <v>84</v>
      </c>
      <c r="J2431">
        <v>169</v>
      </c>
      <c r="K2431" s="1" t="s">
        <v>90</v>
      </c>
      <c r="L2431" s="1" t="s">
        <v>24</v>
      </c>
      <c r="M2431" s="1" t="s">
        <v>5256</v>
      </c>
      <c r="N2431" s="1" t="s">
        <v>5263</v>
      </c>
    </row>
    <row r="2432" spans="1:14" x14ac:dyDescent="0.35">
      <c r="A2432">
        <v>1407017</v>
      </c>
      <c r="B2432" s="1" t="s">
        <v>5101</v>
      </c>
      <c r="C2432">
        <v>6892.4</v>
      </c>
      <c r="D2432">
        <v>77</v>
      </c>
      <c r="E2432" s="1" t="s">
        <v>5264</v>
      </c>
      <c r="F2432" s="1" t="s">
        <v>15</v>
      </c>
      <c r="G2432" s="1" t="s">
        <v>22</v>
      </c>
      <c r="H2432">
        <v>32</v>
      </c>
      <c r="I2432">
        <v>9</v>
      </c>
      <c r="J2432">
        <v>18</v>
      </c>
      <c r="K2432" s="1" t="s">
        <v>23</v>
      </c>
      <c r="L2432" s="1" t="s">
        <v>120</v>
      </c>
      <c r="M2432" s="1" t="s">
        <v>5256</v>
      </c>
      <c r="N2432" s="1" t="s">
        <v>5265</v>
      </c>
    </row>
    <row r="2433" spans="1:14" x14ac:dyDescent="0.35">
      <c r="A2433">
        <v>1407013</v>
      </c>
      <c r="B2433" s="1" t="s">
        <v>5101</v>
      </c>
      <c r="C2433">
        <v>6892.4</v>
      </c>
      <c r="D2433">
        <v>77</v>
      </c>
      <c r="E2433" s="1" t="s">
        <v>5266</v>
      </c>
      <c r="F2433" s="1" t="s">
        <v>15</v>
      </c>
      <c r="G2433" s="1" t="s">
        <v>22</v>
      </c>
      <c r="H2433">
        <v>53</v>
      </c>
      <c r="I2433">
        <v>24</v>
      </c>
      <c r="J2433">
        <v>75</v>
      </c>
      <c r="K2433" s="1" t="s">
        <v>23</v>
      </c>
      <c r="L2433" s="1" t="s">
        <v>24</v>
      </c>
      <c r="M2433" s="1" t="s">
        <v>5256</v>
      </c>
      <c r="N2433" s="1" t="s">
        <v>5267</v>
      </c>
    </row>
    <row r="2434" spans="1:14" x14ac:dyDescent="0.35">
      <c r="A2434">
        <v>1405015</v>
      </c>
      <c r="B2434" s="1" t="s">
        <v>5101</v>
      </c>
      <c r="C2434">
        <v>6892.4</v>
      </c>
      <c r="D2434">
        <v>77</v>
      </c>
      <c r="E2434" s="1" t="s">
        <v>5268</v>
      </c>
      <c r="F2434" s="1" t="s">
        <v>15</v>
      </c>
      <c r="G2434" s="1" t="s">
        <v>32</v>
      </c>
      <c r="H2434">
        <v>170</v>
      </c>
      <c r="I2434">
        <v>41</v>
      </c>
      <c r="J2434">
        <v>864</v>
      </c>
      <c r="K2434" s="1" t="s">
        <v>17</v>
      </c>
      <c r="L2434" s="1" t="s">
        <v>18</v>
      </c>
      <c r="M2434" s="1" t="s">
        <v>5269</v>
      </c>
      <c r="N2434" s="1" t="s">
        <v>5270</v>
      </c>
    </row>
    <row r="2435" spans="1:14" x14ac:dyDescent="0.35">
      <c r="A2435">
        <v>1405032</v>
      </c>
      <c r="B2435" s="1" t="s">
        <v>5101</v>
      </c>
      <c r="C2435">
        <v>6892.4</v>
      </c>
      <c r="D2435">
        <v>77</v>
      </c>
      <c r="E2435" s="1" t="s">
        <v>5271</v>
      </c>
      <c r="F2435" s="1" t="s">
        <v>15</v>
      </c>
      <c r="G2435" s="1" t="s">
        <v>22</v>
      </c>
      <c r="H2435">
        <v>50</v>
      </c>
      <c r="I2435">
        <v>11</v>
      </c>
      <c r="K2435" s="1" t="s">
        <v>17</v>
      </c>
      <c r="L2435" s="1" t="s">
        <v>24</v>
      </c>
      <c r="M2435" s="1" t="s">
        <v>5269</v>
      </c>
      <c r="N2435" s="1" t="s">
        <v>5272</v>
      </c>
    </row>
    <row r="2436" spans="1:14" x14ac:dyDescent="0.35">
      <c r="A2436">
        <v>1405017</v>
      </c>
      <c r="B2436" s="1" t="s">
        <v>5101</v>
      </c>
      <c r="C2436">
        <v>6892.4</v>
      </c>
      <c r="D2436">
        <v>77</v>
      </c>
      <c r="E2436" s="1" t="s">
        <v>5273</v>
      </c>
      <c r="F2436" s="1" t="s">
        <v>15</v>
      </c>
      <c r="G2436" s="1" t="s">
        <v>22</v>
      </c>
      <c r="H2436">
        <v>60</v>
      </c>
      <c r="I2436">
        <v>36</v>
      </c>
      <c r="J2436">
        <v>125</v>
      </c>
      <c r="K2436" s="1" t="s">
        <v>17</v>
      </c>
      <c r="L2436" s="1" t="s">
        <v>18</v>
      </c>
      <c r="M2436" s="1" t="s">
        <v>5269</v>
      </c>
      <c r="N2436" s="1" t="s">
        <v>5274</v>
      </c>
    </row>
    <row r="2437" spans="1:14" x14ac:dyDescent="0.35">
      <c r="A2437">
        <v>7601011</v>
      </c>
      <c r="B2437" s="1" t="s">
        <v>5275</v>
      </c>
      <c r="C2437">
        <v>1547.4</v>
      </c>
      <c r="D2437">
        <v>93</v>
      </c>
      <c r="E2437" s="1" t="s">
        <v>5276</v>
      </c>
      <c r="F2437" s="1" t="s">
        <v>15</v>
      </c>
      <c r="G2437" s="1" t="s">
        <v>32</v>
      </c>
      <c r="H2437">
        <v>180</v>
      </c>
      <c r="I2437">
        <v>38</v>
      </c>
      <c r="J2437">
        <v>610</v>
      </c>
      <c r="K2437" s="1" t="s">
        <v>17</v>
      </c>
      <c r="L2437" s="1" t="s">
        <v>18</v>
      </c>
      <c r="M2437" s="1" t="s">
        <v>5277</v>
      </c>
      <c r="N2437" s="1" t="s">
        <v>5278</v>
      </c>
    </row>
    <row r="2438" spans="1:14" x14ac:dyDescent="0.35">
      <c r="A2438">
        <v>7601022</v>
      </c>
      <c r="B2438" s="1" t="s">
        <v>5275</v>
      </c>
      <c r="C2438">
        <v>1547.4</v>
      </c>
      <c r="D2438">
        <v>93</v>
      </c>
      <c r="E2438" s="1" t="s">
        <v>5279</v>
      </c>
      <c r="F2438" s="1" t="s">
        <v>15</v>
      </c>
      <c r="G2438" s="1" t="s">
        <v>52</v>
      </c>
      <c r="I2438">
        <v>4</v>
      </c>
      <c r="K2438" s="1" t="s">
        <v>17</v>
      </c>
      <c r="L2438" s="1" t="s">
        <v>24</v>
      </c>
      <c r="M2438" s="1" t="s">
        <v>5277</v>
      </c>
      <c r="N2438" s="1" t="s">
        <v>5280</v>
      </c>
    </row>
    <row r="2439" spans="1:14" x14ac:dyDescent="0.35">
      <c r="A2439">
        <v>7603024</v>
      </c>
      <c r="B2439" s="1" t="s">
        <v>5275</v>
      </c>
      <c r="C2439">
        <v>1547.4</v>
      </c>
      <c r="D2439">
        <v>93</v>
      </c>
      <c r="E2439" s="1" t="s">
        <v>5281</v>
      </c>
      <c r="F2439" s="1" t="s">
        <v>15</v>
      </c>
      <c r="G2439" s="1" t="s">
        <v>22</v>
      </c>
      <c r="H2439">
        <v>82</v>
      </c>
      <c r="I2439">
        <v>18</v>
      </c>
      <c r="J2439">
        <v>180</v>
      </c>
      <c r="K2439" s="1" t="s">
        <v>17</v>
      </c>
      <c r="L2439" s="1" t="s">
        <v>24</v>
      </c>
      <c r="M2439" s="1" t="s">
        <v>5282</v>
      </c>
      <c r="N2439" s="1" t="s">
        <v>5283</v>
      </c>
    </row>
    <row r="2440" spans="1:14" x14ac:dyDescent="0.35">
      <c r="A2440">
        <v>7603022</v>
      </c>
      <c r="B2440" s="1" t="s">
        <v>5275</v>
      </c>
      <c r="C2440">
        <v>1547.4</v>
      </c>
      <c r="D2440">
        <v>93</v>
      </c>
      <c r="E2440" s="1" t="s">
        <v>5284</v>
      </c>
      <c r="F2440" s="1" t="s">
        <v>15</v>
      </c>
      <c r="G2440" s="1" t="s">
        <v>52</v>
      </c>
      <c r="H2440">
        <v>55</v>
      </c>
      <c r="I2440">
        <v>14</v>
      </c>
      <c r="K2440" s="1" t="s">
        <v>84</v>
      </c>
      <c r="L2440" s="1" t="s">
        <v>24</v>
      </c>
      <c r="M2440" s="1" t="s">
        <v>5282</v>
      </c>
      <c r="N2440" s="1" t="s">
        <v>5285</v>
      </c>
    </row>
    <row r="2441" spans="1:14" x14ac:dyDescent="0.35">
      <c r="A2441">
        <v>7604028</v>
      </c>
      <c r="B2441" s="1" t="s">
        <v>5275</v>
      </c>
      <c r="C2441">
        <v>1547.4</v>
      </c>
      <c r="D2441">
        <v>93</v>
      </c>
      <c r="E2441" s="1" t="s">
        <v>5286</v>
      </c>
      <c r="F2441" s="1" t="s">
        <v>71</v>
      </c>
      <c r="G2441" s="1" t="s">
        <v>32</v>
      </c>
      <c r="H2441">
        <v>30</v>
      </c>
      <c r="I2441">
        <v>11</v>
      </c>
      <c r="K2441" s="1" t="s">
        <v>23</v>
      </c>
      <c r="L2441" s="1" t="s">
        <v>24</v>
      </c>
      <c r="M2441" s="1" t="s">
        <v>5287</v>
      </c>
      <c r="N2441" s="1" t="s">
        <v>5288</v>
      </c>
    </row>
    <row r="2442" spans="1:14" x14ac:dyDescent="0.35">
      <c r="A2442">
        <v>7604023</v>
      </c>
      <c r="B2442" s="1" t="s">
        <v>5275</v>
      </c>
      <c r="C2442">
        <v>1547.4</v>
      </c>
      <c r="D2442">
        <v>93</v>
      </c>
      <c r="E2442" s="1" t="s">
        <v>5289</v>
      </c>
      <c r="F2442" s="1" t="s">
        <v>15</v>
      </c>
      <c r="G2442" s="1" t="s">
        <v>32</v>
      </c>
      <c r="H2442">
        <v>222</v>
      </c>
      <c r="I2442">
        <v>63</v>
      </c>
      <c r="J2442">
        <v>309</v>
      </c>
      <c r="K2442" s="1" t="s">
        <v>124</v>
      </c>
      <c r="L2442" s="1" t="s">
        <v>18</v>
      </c>
      <c r="M2442" s="1" t="s">
        <v>5287</v>
      </c>
      <c r="N2442" s="1" t="s">
        <v>5290</v>
      </c>
    </row>
    <row r="2443" spans="1:14" x14ac:dyDescent="0.35">
      <c r="A2443">
        <v>7604027</v>
      </c>
      <c r="B2443" s="1" t="s">
        <v>5275</v>
      </c>
      <c r="C2443">
        <v>1547.4</v>
      </c>
      <c r="D2443">
        <v>93</v>
      </c>
      <c r="E2443" s="1" t="s">
        <v>5291</v>
      </c>
      <c r="F2443" s="1" t="s">
        <v>15</v>
      </c>
      <c r="G2443" s="1" t="s">
        <v>32</v>
      </c>
      <c r="H2443">
        <v>109</v>
      </c>
      <c r="I2443">
        <v>18</v>
      </c>
      <c r="J2443">
        <v>143</v>
      </c>
      <c r="K2443" s="1" t="s">
        <v>146</v>
      </c>
      <c r="L2443" s="1" t="s">
        <v>120</v>
      </c>
      <c r="M2443" s="1" t="s">
        <v>5287</v>
      </c>
      <c r="N2443" s="1" t="s">
        <v>5292</v>
      </c>
    </row>
    <row r="2444" spans="1:14" x14ac:dyDescent="0.35">
      <c r="A2444">
        <v>7604024</v>
      </c>
      <c r="B2444" s="1" t="s">
        <v>5275</v>
      </c>
      <c r="C2444">
        <v>1547.4</v>
      </c>
      <c r="D2444">
        <v>93</v>
      </c>
      <c r="E2444" s="1" t="s">
        <v>5293</v>
      </c>
      <c r="F2444" s="1" t="s">
        <v>15</v>
      </c>
      <c r="G2444" s="1" t="s">
        <v>32</v>
      </c>
      <c r="H2444">
        <v>109</v>
      </c>
      <c r="I2444">
        <v>37</v>
      </c>
      <c r="J2444">
        <v>186</v>
      </c>
      <c r="K2444" s="1" t="s">
        <v>23</v>
      </c>
      <c r="L2444" s="1" t="s">
        <v>24</v>
      </c>
      <c r="M2444" s="1" t="s">
        <v>5287</v>
      </c>
      <c r="N2444" s="1" t="s">
        <v>5294</v>
      </c>
    </row>
    <row r="2445" spans="1:14" x14ac:dyDescent="0.35">
      <c r="A2445">
        <v>7604012</v>
      </c>
      <c r="B2445" s="1" t="s">
        <v>5275</v>
      </c>
      <c r="C2445">
        <v>1547.4</v>
      </c>
      <c r="D2445">
        <v>93</v>
      </c>
      <c r="E2445" s="1" t="s">
        <v>5295</v>
      </c>
      <c r="F2445" s="1" t="s">
        <v>15</v>
      </c>
      <c r="G2445" s="1" t="s">
        <v>32</v>
      </c>
      <c r="H2445">
        <v>135</v>
      </c>
      <c r="I2445">
        <v>36</v>
      </c>
      <c r="J2445">
        <v>418</v>
      </c>
      <c r="K2445" s="1" t="s">
        <v>17</v>
      </c>
      <c r="L2445" s="1" t="s">
        <v>18</v>
      </c>
      <c r="M2445" s="1" t="s">
        <v>5287</v>
      </c>
      <c r="N2445" s="1" t="s">
        <v>5296</v>
      </c>
    </row>
    <row r="2446" spans="1:14" x14ac:dyDescent="0.35">
      <c r="A2446">
        <v>7604039</v>
      </c>
      <c r="B2446" s="1" t="s">
        <v>5275</v>
      </c>
      <c r="C2446">
        <v>1547.4</v>
      </c>
      <c r="D2446">
        <v>93</v>
      </c>
      <c r="E2446" s="1" t="s">
        <v>5297</v>
      </c>
      <c r="F2446" s="1" t="s">
        <v>15</v>
      </c>
      <c r="G2446" s="1" t="s">
        <v>22</v>
      </c>
      <c r="H2446">
        <v>58</v>
      </c>
      <c r="I2446">
        <v>10</v>
      </c>
      <c r="K2446" s="1" t="s">
        <v>49</v>
      </c>
      <c r="L2446" s="1" t="s">
        <v>24</v>
      </c>
      <c r="M2446" s="1" t="s">
        <v>5287</v>
      </c>
      <c r="N2446" s="1" t="s">
        <v>5298</v>
      </c>
    </row>
    <row r="2447" spans="1:14" x14ac:dyDescent="0.35">
      <c r="A2447">
        <v>7604026</v>
      </c>
      <c r="B2447" s="1" t="s">
        <v>5275</v>
      </c>
      <c r="C2447">
        <v>1547.4</v>
      </c>
      <c r="D2447">
        <v>93</v>
      </c>
      <c r="E2447" s="1" t="s">
        <v>5299</v>
      </c>
      <c r="F2447" s="1" t="s">
        <v>15</v>
      </c>
      <c r="G2447" s="1" t="s">
        <v>22</v>
      </c>
      <c r="H2447">
        <v>118</v>
      </c>
      <c r="I2447">
        <v>30</v>
      </c>
      <c r="J2447">
        <v>70</v>
      </c>
      <c r="K2447" s="1" t="s">
        <v>17</v>
      </c>
      <c r="L2447" s="1" t="s">
        <v>18</v>
      </c>
      <c r="M2447" s="1" t="s">
        <v>5300</v>
      </c>
      <c r="N2447" s="1" t="s">
        <v>5301</v>
      </c>
    </row>
    <row r="2448" spans="1:14" x14ac:dyDescent="0.35">
      <c r="A2448">
        <v>7605013</v>
      </c>
      <c r="B2448" s="1" t="s">
        <v>5275</v>
      </c>
      <c r="C2448">
        <v>1547.4</v>
      </c>
      <c r="D2448">
        <v>93</v>
      </c>
      <c r="E2448" s="1" t="s">
        <v>5302</v>
      </c>
      <c r="F2448" s="1" t="s">
        <v>15</v>
      </c>
      <c r="G2448" s="1" t="s">
        <v>32</v>
      </c>
      <c r="H2448">
        <v>137</v>
      </c>
      <c r="I2448">
        <v>14</v>
      </c>
      <c r="J2448">
        <v>117</v>
      </c>
      <c r="K2448" s="1" t="s">
        <v>17</v>
      </c>
      <c r="L2448" s="1" t="s">
        <v>18</v>
      </c>
      <c r="M2448" s="1" t="s">
        <v>5303</v>
      </c>
      <c r="N2448" s="1" t="s">
        <v>5304</v>
      </c>
    </row>
    <row r="2449" spans="1:14" x14ac:dyDescent="0.35">
      <c r="A2449">
        <v>7602045</v>
      </c>
      <c r="B2449" s="1" t="s">
        <v>5275</v>
      </c>
      <c r="C2449">
        <v>1547.4</v>
      </c>
      <c r="D2449">
        <v>93</v>
      </c>
      <c r="E2449" s="1" t="s">
        <v>5305</v>
      </c>
      <c r="F2449" s="1" t="s">
        <v>71</v>
      </c>
      <c r="G2449" s="1" t="s">
        <v>32</v>
      </c>
      <c r="H2449">
        <v>40</v>
      </c>
      <c r="I2449">
        <v>38</v>
      </c>
      <c r="K2449" s="1" t="s">
        <v>95</v>
      </c>
      <c r="L2449" s="1" t="s">
        <v>24</v>
      </c>
      <c r="M2449" s="1" t="s">
        <v>5306</v>
      </c>
      <c r="N2449" s="1" t="s">
        <v>5307</v>
      </c>
    </row>
    <row r="2450" spans="1:14" x14ac:dyDescent="0.35">
      <c r="A2450">
        <v>7602044</v>
      </c>
      <c r="B2450" s="1" t="s">
        <v>5275</v>
      </c>
      <c r="C2450">
        <v>1547.4</v>
      </c>
      <c r="D2450">
        <v>93</v>
      </c>
      <c r="E2450" s="1" t="s">
        <v>5308</v>
      </c>
      <c r="F2450" s="1" t="s">
        <v>15</v>
      </c>
      <c r="G2450" s="1" t="s">
        <v>16</v>
      </c>
      <c r="H2450">
        <v>576</v>
      </c>
      <c r="I2450">
        <v>35</v>
      </c>
      <c r="J2450">
        <v>733</v>
      </c>
      <c r="K2450" s="1" t="s">
        <v>17</v>
      </c>
      <c r="L2450" s="1" t="s">
        <v>18</v>
      </c>
      <c r="M2450" s="1" t="s">
        <v>5306</v>
      </c>
      <c r="N2450" s="1" t="s">
        <v>5309</v>
      </c>
    </row>
    <row r="2451" spans="1:14" x14ac:dyDescent="0.35">
      <c r="A2451">
        <v>7602048</v>
      </c>
      <c r="B2451" s="1" t="s">
        <v>5275</v>
      </c>
      <c r="C2451">
        <v>1547.4</v>
      </c>
      <c r="D2451">
        <v>93</v>
      </c>
      <c r="E2451" s="1" t="s">
        <v>5310</v>
      </c>
      <c r="F2451" s="1" t="s">
        <v>15</v>
      </c>
      <c r="G2451" s="1" t="s">
        <v>22</v>
      </c>
      <c r="H2451">
        <v>66</v>
      </c>
      <c r="I2451">
        <v>35</v>
      </c>
      <c r="J2451">
        <v>59</v>
      </c>
      <c r="K2451" s="1" t="s">
        <v>17</v>
      </c>
      <c r="L2451" s="1" t="s">
        <v>18</v>
      </c>
      <c r="M2451" s="1" t="s">
        <v>5306</v>
      </c>
      <c r="N2451" s="1" t="s">
        <v>5311</v>
      </c>
    </row>
    <row r="2452" spans="1:14" x14ac:dyDescent="0.35">
      <c r="A2452">
        <v>7303013</v>
      </c>
      <c r="B2452" s="1" t="s">
        <v>5312</v>
      </c>
      <c r="C2452">
        <v>9661.2999999999993</v>
      </c>
      <c r="D2452">
        <v>213</v>
      </c>
      <c r="E2452" s="1" t="s">
        <v>5313</v>
      </c>
      <c r="F2452" s="1" t="s">
        <v>71</v>
      </c>
      <c r="G2452" s="1" t="s">
        <v>32</v>
      </c>
      <c r="H2452">
        <v>11</v>
      </c>
      <c r="I2452">
        <v>5</v>
      </c>
      <c r="K2452" s="1" t="s">
        <v>23</v>
      </c>
      <c r="L2452" s="1" t="s">
        <v>24</v>
      </c>
      <c r="M2452" s="1" t="s">
        <v>5314</v>
      </c>
      <c r="N2452" s="1" t="s">
        <v>5315</v>
      </c>
    </row>
    <row r="2453" spans="1:14" x14ac:dyDescent="0.35">
      <c r="A2453">
        <v>7303010</v>
      </c>
      <c r="B2453" s="1" t="s">
        <v>5312</v>
      </c>
      <c r="C2453">
        <v>9661.2999999999993</v>
      </c>
      <c r="D2453">
        <v>213</v>
      </c>
      <c r="E2453" s="1" t="s">
        <v>5316</v>
      </c>
      <c r="F2453" s="1" t="s">
        <v>15</v>
      </c>
      <c r="G2453" s="1" t="s">
        <v>16</v>
      </c>
      <c r="H2453">
        <v>271</v>
      </c>
      <c r="I2453">
        <v>37</v>
      </c>
      <c r="J2453">
        <v>394</v>
      </c>
      <c r="K2453" s="1" t="s">
        <v>17</v>
      </c>
      <c r="L2453" s="1" t="s">
        <v>18</v>
      </c>
      <c r="M2453" s="1" t="s">
        <v>5314</v>
      </c>
      <c r="N2453" s="1" t="s">
        <v>5317</v>
      </c>
    </row>
    <row r="2454" spans="1:14" x14ac:dyDescent="0.35">
      <c r="A2454">
        <v>7303012</v>
      </c>
      <c r="B2454" s="1" t="s">
        <v>5312</v>
      </c>
      <c r="C2454">
        <v>9661.2999999999993</v>
      </c>
      <c r="D2454">
        <v>213</v>
      </c>
      <c r="E2454" s="1" t="s">
        <v>5318</v>
      </c>
      <c r="F2454" s="1" t="s">
        <v>15</v>
      </c>
      <c r="G2454" s="1" t="s">
        <v>22</v>
      </c>
      <c r="H2454">
        <v>46</v>
      </c>
      <c r="I2454">
        <v>22</v>
      </c>
      <c r="J2454">
        <v>53</v>
      </c>
      <c r="K2454" s="1" t="s">
        <v>17</v>
      </c>
      <c r="L2454" s="1" t="s">
        <v>18</v>
      </c>
      <c r="M2454" s="1" t="s">
        <v>5314</v>
      </c>
      <c r="N2454" s="1" t="s">
        <v>5319</v>
      </c>
    </row>
    <row r="2455" spans="1:14" x14ac:dyDescent="0.35">
      <c r="A2455">
        <v>7311010</v>
      </c>
      <c r="B2455" s="1" t="s">
        <v>5312</v>
      </c>
      <c r="C2455">
        <v>9661.2999999999993</v>
      </c>
      <c r="D2455">
        <v>213</v>
      </c>
      <c r="E2455" s="1" t="s">
        <v>5320</v>
      </c>
      <c r="F2455" s="1" t="s">
        <v>15</v>
      </c>
      <c r="G2455" s="1" t="s">
        <v>32</v>
      </c>
      <c r="H2455">
        <v>189</v>
      </c>
      <c r="I2455">
        <v>66</v>
      </c>
      <c r="J2455">
        <v>142</v>
      </c>
      <c r="K2455" s="1" t="s">
        <v>17</v>
      </c>
      <c r="L2455" s="1" t="s">
        <v>18</v>
      </c>
      <c r="M2455" s="1" t="s">
        <v>5321</v>
      </c>
      <c r="N2455" s="1" t="s">
        <v>5322</v>
      </c>
    </row>
    <row r="2456" spans="1:14" x14ac:dyDescent="0.35">
      <c r="A2456">
        <v>7308041</v>
      </c>
      <c r="B2456" s="1" t="s">
        <v>5312</v>
      </c>
      <c r="C2456">
        <v>9661.2999999999993</v>
      </c>
      <c r="D2456">
        <v>213</v>
      </c>
      <c r="E2456" s="1" t="s">
        <v>5323</v>
      </c>
      <c r="F2456" s="1" t="s">
        <v>15</v>
      </c>
      <c r="G2456" s="1" t="s">
        <v>16</v>
      </c>
      <c r="H2456">
        <v>404</v>
      </c>
      <c r="I2456">
        <v>33</v>
      </c>
      <c r="J2456">
        <v>840</v>
      </c>
      <c r="K2456" s="1" t="s">
        <v>17</v>
      </c>
      <c r="L2456" s="1" t="s">
        <v>18</v>
      </c>
      <c r="M2456" s="1" t="s">
        <v>5324</v>
      </c>
      <c r="N2456" s="1" t="s">
        <v>5325</v>
      </c>
    </row>
    <row r="2457" spans="1:14" x14ac:dyDescent="0.35">
      <c r="A2457">
        <v>7308071</v>
      </c>
      <c r="B2457" s="1" t="s">
        <v>5312</v>
      </c>
      <c r="C2457">
        <v>9661.2999999999993</v>
      </c>
      <c r="D2457">
        <v>213</v>
      </c>
      <c r="E2457" s="1" t="s">
        <v>5326</v>
      </c>
      <c r="F2457" s="1" t="s">
        <v>15</v>
      </c>
      <c r="G2457" s="1" t="s">
        <v>32</v>
      </c>
      <c r="H2457">
        <v>105</v>
      </c>
      <c r="I2457">
        <v>31</v>
      </c>
      <c r="K2457" s="1" t="s">
        <v>124</v>
      </c>
      <c r="L2457" s="1" t="s">
        <v>18</v>
      </c>
      <c r="M2457" s="1" t="s">
        <v>5324</v>
      </c>
      <c r="N2457" s="1" t="s">
        <v>5327</v>
      </c>
    </row>
    <row r="2458" spans="1:14" x14ac:dyDescent="0.35">
      <c r="A2458">
        <v>7308058</v>
      </c>
      <c r="B2458" s="1" t="s">
        <v>5312</v>
      </c>
      <c r="C2458">
        <v>9661.2999999999993</v>
      </c>
      <c r="D2458">
        <v>213</v>
      </c>
      <c r="E2458" s="1" t="s">
        <v>5328</v>
      </c>
      <c r="F2458" s="1" t="s">
        <v>15</v>
      </c>
      <c r="G2458" s="1" t="s">
        <v>32</v>
      </c>
      <c r="H2458">
        <v>120</v>
      </c>
      <c r="I2458">
        <v>25</v>
      </c>
      <c r="J2458">
        <v>239</v>
      </c>
      <c r="K2458" s="1" t="s">
        <v>23</v>
      </c>
      <c r="L2458" s="1" t="s">
        <v>24</v>
      </c>
      <c r="M2458" s="1" t="s">
        <v>5324</v>
      </c>
      <c r="N2458" s="1" t="s">
        <v>5329</v>
      </c>
    </row>
    <row r="2459" spans="1:14" x14ac:dyDescent="0.35">
      <c r="A2459">
        <v>7308026</v>
      </c>
      <c r="B2459" s="1" t="s">
        <v>5312</v>
      </c>
      <c r="C2459">
        <v>9661.2999999999993</v>
      </c>
      <c r="D2459">
        <v>213</v>
      </c>
      <c r="E2459" s="1" t="s">
        <v>5330</v>
      </c>
      <c r="F2459" s="1" t="s">
        <v>15</v>
      </c>
      <c r="G2459" s="1" t="s">
        <v>32</v>
      </c>
      <c r="H2459">
        <v>154</v>
      </c>
      <c r="I2459">
        <v>20</v>
      </c>
      <c r="J2459">
        <v>280</v>
      </c>
      <c r="K2459" s="1" t="s">
        <v>27</v>
      </c>
      <c r="L2459" s="1" t="s">
        <v>24</v>
      </c>
      <c r="M2459" s="1" t="s">
        <v>5324</v>
      </c>
      <c r="N2459" s="1" t="s">
        <v>5331</v>
      </c>
    </row>
    <row r="2460" spans="1:14" x14ac:dyDescent="0.35">
      <c r="A2460">
        <v>7308059</v>
      </c>
      <c r="B2460" s="1" t="s">
        <v>5312</v>
      </c>
      <c r="C2460">
        <v>9661.2999999999993</v>
      </c>
      <c r="D2460">
        <v>213</v>
      </c>
      <c r="E2460" s="1" t="s">
        <v>5332</v>
      </c>
      <c r="F2460" s="1" t="s">
        <v>15</v>
      </c>
      <c r="G2460" s="1" t="s">
        <v>32</v>
      </c>
      <c r="H2460">
        <v>107</v>
      </c>
      <c r="I2460">
        <v>25</v>
      </c>
      <c r="J2460">
        <v>349</v>
      </c>
      <c r="K2460" s="1" t="s">
        <v>17</v>
      </c>
      <c r="L2460" s="1" t="s">
        <v>24</v>
      </c>
      <c r="M2460" s="1" t="s">
        <v>5324</v>
      </c>
      <c r="N2460" s="1" t="s">
        <v>5333</v>
      </c>
    </row>
    <row r="2461" spans="1:14" x14ac:dyDescent="0.35">
      <c r="A2461">
        <v>7308070</v>
      </c>
      <c r="B2461" s="1" t="s">
        <v>5312</v>
      </c>
      <c r="C2461">
        <v>9661.2999999999993</v>
      </c>
      <c r="D2461">
        <v>213</v>
      </c>
      <c r="E2461" s="1" t="s">
        <v>5334</v>
      </c>
      <c r="F2461" s="1" t="s">
        <v>15</v>
      </c>
      <c r="G2461" s="1" t="s">
        <v>32</v>
      </c>
      <c r="H2461">
        <v>103</v>
      </c>
      <c r="I2461">
        <v>25</v>
      </c>
      <c r="K2461" s="1" t="s">
        <v>90</v>
      </c>
      <c r="L2461" s="1" t="s">
        <v>24</v>
      </c>
      <c r="M2461" s="1" t="s">
        <v>5324</v>
      </c>
      <c r="N2461" s="1" t="s">
        <v>5335</v>
      </c>
    </row>
    <row r="2462" spans="1:14" x14ac:dyDescent="0.35">
      <c r="A2462">
        <v>7302017</v>
      </c>
      <c r="B2462" s="1" t="s">
        <v>5312</v>
      </c>
      <c r="C2462">
        <v>9661.2999999999993</v>
      </c>
      <c r="D2462">
        <v>213</v>
      </c>
      <c r="E2462" s="1" t="s">
        <v>5336</v>
      </c>
      <c r="F2462" s="1" t="s">
        <v>71</v>
      </c>
      <c r="G2462" s="1" t="s">
        <v>32</v>
      </c>
      <c r="H2462">
        <v>37</v>
      </c>
      <c r="I2462">
        <v>16</v>
      </c>
      <c r="J2462">
        <v>16</v>
      </c>
      <c r="K2462" s="1" t="s">
        <v>23</v>
      </c>
      <c r="L2462" s="1" t="s">
        <v>24</v>
      </c>
      <c r="M2462" s="1" t="s">
        <v>5337</v>
      </c>
      <c r="N2462" s="1" t="s">
        <v>5338</v>
      </c>
    </row>
    <row r="2463" spans="1:14" x14ac:dyDescent="0.35">
      <c r="A2463">
        <v>7302016</v>
      </c>
      <c r="B2463" s="1" t="s">
        <v>5312</v>
      </c>
      <c r="C2463">
        <v>9661.2999999999993</v>
      </c>
      <c r="D2463">
        <v>213</v>
      </c>
      <c r="E2463" s="1" t="s">
        <v>5339</v>
      </c>
      <c r="F2463" s="1" t="s">
        <v>15</v>
      </c>
      <c r="G2463" s="1" t="s">
        <v>16</v>
      </c>
      <c r="H2463">
        <v>255</v>
      </c>
      <c r="I2463">
        <v>33</v>
      </c>
      <c r="J2463">
        <v>827</v>
      </c>
      <c r="K2463" s="1" t="s">
        <v>17</v>
      </c>
      <c r="L2463" s="1" t="s">
        <v>18</v>
      </c>
      <c r="M2463" s="1" t="s">
        <v>5337</v>
      </c>
      <c r="N2463" s="1" t="s">
        <v>5340</v>
      </c>
    </row>
    <row r="2464" spans="1:14" x14ac:dyDescent="0.35">
      <c r="A2464">
        <v>7302028</v>
      </c>
      <c r="B2464" s="1" t="s">
        <v>5312</v>
      </c>
      <c r="C2464">
        <v>9661.2999999999993</v>
      </c>
      <c r="D2464">
        <v>213</v>
      </c>
      <c r="E2464" s="1" t="s">
        <v>5341</v>
      </c>
      <c r="F2464" s="1" t="s">
        <v>15</v>
      </c>
      <c r="G2464" s="1" t="s">
        <v>52</v>
      </c>
      <c r="H2464">
        <v>55</v>
      </c>
      <c r="I2464">
        <v>25</v>
      </c>
      <c r="K2464" s="1" t="s">
        <v>17</v>
      </c>
      <c r="L2464" s="1" t="s">
        <v>24</v>
      </c>
      <c r="M2464" s="1" t="s">
        <v>5337</v>
      </c>
      <c r="N2464" s="1" t="s">
        <v>5342</v>
      </c>
    </row>
    <row r="2465" spans="1:14" x14ac:dyDescent="0.35">
      <c r="A2465">
        <v>7316015</v>
      </c>
      <c r="B2465" s="1" t="s">
        <v>5312</v>
      </c>
      <c r="C2465">
        <v>9661.2999999999993</v>
      </c>
      <c r="D2465">
        <v>213</v>
      </c>
      <c r="E2465" s="1" t="s">
        <v>5343</v>
      </c>
      <c r="F2465" s="1" t="s">
        <v>15</v>
      </c>
      <c r="G2465" s="1" t="s">
        <v>32</v>
      </c>
      <c r="H2465">
        <v>119</v>
      </c>
      <c r="I2465">
        <v>31</v>
      </c>
      <c r="J2465">
        <v>567</v>
      </c>
      <c r="K2465" s="1" t="s">
        <v>17</v>
      </c>
      <c r="L2465" s="1" t="s">
        <v>18</v>
      </c>
      <c r="M2465" s="1" t="s">
        <v>5344</v>
      </c>
      <c r="N2465" s="1" t="s">
        <v>5345</v>
      </c>
    </row>
    <row r="2466" spans="1:14" x14ac:dyDescent="0.35">
      <c r="A2466">
        <v>7316026</v>
      </c>
      <c r="B2466" s="1" t="s">
        <v>5312</v>
      </c>
      <c r="C2466">
        <v>9661.2999999999993</v>
      </c>
      <c r="D2466">
        <v>213</v>
      </c>
      <c r="E2466" s="1" t="s">
        <v>5346</v>
      </c>
      <c r="F2466" s="1" t="s">
        <v>15</v>
      </c>
      <c r="G2466" s="1" t="s">
        <v>52</v>
      </c>
      <c r="H2466">
        <v>32</v>
      </c>
      <c r="I2466">
        <v>10</v>
      </c>
      <c r="J2466">
        <v>55</v>
      </c>
      <c r="K2466" s="1" t="s">
        <v>17</v>
      </c>
      <c r="L2466" s="1" t="s">
        <v>24</v>
      </c>
      <c r="M2466" s="1" t="s">
        <v>5344</v>
      </c>
      <c r="N2466" s="1" t="s">
        <v>5347</v>
      </c>
    </row>
    <row r="2467" spans="1:14" x14ac:dyDescent="0.35">
      <c r="A2467">
        <v>7306046</v>
      </c>
      <c r="B2467" s="1" t="s">
        <v>5312</v>
      </c>
      <c r="C2467">
        <v>9661.2999999999993</v>
      </c>
      <c r="D2467">
        <v>213</v>
      </c>
      <c r="E2467" s="1" t="s">
        <v>5348</v>
      </c>
      <c r="F2467" s="1" t="s">
        <v>15</v>
      </c>
      <c r="G2467" s="1" t="s">
        <v>16</v>
      </c>
      <c r="H2467">
        <v>235</v>
      </c>
      <c r="I2467">
        <v>42</v>
      </c>
      <c r="J2467">
        <v>489</v>
      </c>
      <c r="K2467" s="1" t="s">
        <v>17</v>
      </c>
      <c r="L2467" s="1" t="s">
        <v>24</v>
      </c>
      <c r="M2467" s="1" t="s">
        <v>5349</v>
      </c>
      <c r="N2467" s="1" t="s">
        <v>5350</v>
      </c>
    </row>
    <row r="2468" spans="1:14" x14ac:dyDescent="0.35">
      <c r="A2468">
        <v>7306059</v>
      </c>
      <c r="B2468" s="1" t="s">
        <v>5312</v>
      </c>
      <c r="C2468">
        <v>9661.2999999999993</v>
      </c>
      <c r="D2468">
        <v>213</v>
      </c>
      <c r="E2468" s="1" t="s">
        <v>5351</v>
      </c>
      <c r="F2468" s="1" t="s">
        <v>15</v>
      </c>
      <c r="G2468" s="1" t="s">
        <v>32</v>
      </c>
      <c r="H2468">
        <v>100</v>
      </c>
      <c r="I2468">
        <v>25</v>
      </c>
      <c r="J2468">
        <v>51</v>
      </c>
      <c r="K2468" s="1" t="s">
        <v>95</v>
      </c>
      <c r="L2468" s="1" t="s">
        <v>24</v>
      </c>
      <c r="M2468" s="1" t="s">
        <v>5349</v>
      </c>
      <c r="N2468" s="1" t="s">
        <v>5352</v>
      </c>
    </row>
    <row r="2469" spans="1:14" x14ac:dyDescent="0.35">
      <c r="A2469">
        <v>7306070</v>
      </c>
      <c r="B2469" s="1" t="s">
        <v>5312</v>
      </c>
      <c r="C2469">
        <v>9661.2999999999993</v>
      </c>
      <c r="D2469">
        <v>213</v>
      </c>
      <c r="E2469" s="1" t="s">
        <v>5353</v>
      </c>
      <c r="F2469" s="1" t="s">
        <v>15</v>
      </c>
      <c r="G2469" s="1" t="s">
        <v>32</v>
      </c>
      <c r="H2469">
        <v>116</v>
      </c>
      <c r="I2469">
        <v>58</v>
      </c>
      <c r="K2469" s="1" t="s">
        <v>23</v>
      </c>
      <c r="L2469" s="1" t="s">
        <v>24</v>
      </c>
      <c r="M2469" s="1" t="s">
        <v>5349</v>
      </c>
      <c r="N2469" s="1" t="s">
        <v>5354</v>
      </c>
    </row>
    <row r="2470" spans="1:14" x14ac:dyDescent="0.35">
      <c r="A2470">
        <v>7306057</v>
      </c>
      <c r="B2470" s="1" t="s">
        <v>5312</v>
      </c>
      <c r="C2470">
        <v>9661.2999999999993</v>
      </c>
      <c r="D2470">
        <v>213</v>
      </c>
      <c r="E2470" s="1" t="s">
        <v>5355</v>
      </c>
      <c r="F2470" s="1" t="s">
        <v>15</v>
      </c>
      <c r="G2470" s="1" t="s">
        <v>22</v>
      </c>
      <c r="H2470">
        <v>79</v>
      </c>
      <c r="I2470">
        <v>22</v>
      </c>
      <c r="J2470">
        <v>154</v>
      </c>
      <c r="K2470" s="1" t="s">
        <v>95</v>
      </c>
      <c r="L2470" s="1" t="s">
        <v>24</v>
      </c>
      <c r="M2470" s="1" t="s">
        <v>5349</v>
      </c>
      <c r="N2470" s="1" t="s">
        <v>5356</v>
      </c>
    </row>
    <row r="2471" spans="1:14" x14ac:dyDescent="0.35">
      <c r="A2471">
        <v>7304011</v>
      </c>
      <c r="B2471" s="1" t="s">
        <v>5312</v>
      </c>
      <c r="C2471">
        <v>9661.2999999999993</v>
      </c>
      <c r="D2471">
        <v>213</v>
      </c>
      <c r="E2471" s="1" t="s">
        <v>5357</v>
      </c>
      <c r="F2471" s="1" t="s">
        <v>15</v>
      </c>
      <c r="G2471" s="1" t="s">
        <v>16</v>
      </c>
      <c r="H2471">
        <v>229</v>
      </c>
      <c r="I2471">
        <v>50</v>
      </c>
      <c r="J2471">
        <v>1036</v>
      </c>
      <c r="K2471" s="1" t="s">
        <v>17</v>
      </c>
      <c r="L2471" s="1" t="s">
        <v>24</v>
      </c>
      <c r="M2471" s="1" t="s">
        <v>5358</v>
      </c>
      <c r="N2471" s="1" t="s">
        <v>5359</v>
      </c>
    </row>
    <row r="2472" spans="1:14" x14ac:dyDescent="0.35">
      <c r="A2472">
        <v>7304012</v>
      </c>
      <c r="B2472" s="1" t="s">
        <v>5312</v>
      </c>
      <c r="C2472">
        <v>9661.2999999999993</v>
      </c>
      <c r="D2472">
        <v>213</v>
      </c>
      <c r="E2472" s="1" t="s">
        <v>5360</v>
      </c>
      <c r="F2472" s="1" t="s">
        <v>15</v>
      </c>
      <c r="G2472" s="1" t="s">
        <v>52</v>
      </c>
      <c r="H2472">
        <v>32</v>
      </c>
      <c r="I2472">
        <v>13</v>
      </c>
      <c r="J2472">
        <v>11</v>
      </c>
      <c r="K2472" s="1" t="s">
        <v>17</v>
      </c>
      <c r="L2472" s="1" t="s">
        <v>24</v>
      </c>
      <c r="M2472" s="1" t="s">
        <v>5358</v>
      </c>
      <c r="N2472" s="1" t="s">
        <v>5361</v>
      </c>
    </row>
    <row r="2473" spans="1:14" x14ac:dyDescent="0.35">
      <c r="A2473">
        <v>7301015</v>
      </c>
      <c r="B2473" s="1" t="s">
        <v>5312</v>
      </c>
      <c r="C2473">
        <v>9661.2999999999993</v>
      </c>
      <c r="D2473">
        <v>213</v>
      </c>
      <c r="E2473" s="1" t="s">
        <v>5362</v>
      </c>
      <c r="F2473" s="1" t="s">
        <v>15</v>
      </c>
      <c r="G2473" s="1" t="s">
        <v>32</v>
      </c>
      <c r="H2473">
        <v>135</v>
      </c>
      <c r="I2473">
        <v>36</v>
      </c>
      <c r="J2473">
        <v>380</v>
      </c>
      <c r="K2473" s="1" t="s">
        <v>17</v>
      </c>
      <c r="L2473" s="1" t="s">
        <v>18</v>
      </c>
      <c r="M2473" s="1" t="s">
        <v>5363</v>
      </c>
      <c r="N2473" s="1" t="s">
        <v>5364</v>
      </c>
    </row>
    <row r="2474" spans="1:14" x14ac:dyDescent="0.35">
      <c r="A2474">
        <v>7301017</v>
      </c>
      <c r="B2474" s="1" t="s">
        <v>5312</v>
      </c>
      <c r="C2474">
        <v>9661.2999999999993</v>
      </c>
      <c r="D2474">
        <v>213</v>
      </c>
      <c r="E2474" s="1" t="s">
        <v>5365</v>
      </c>
      <c r="F2474" s="1" t="s">
        <v>15</v>
      </c>
      <c r="G2474" s="1" t="s">
        <v>52</v>
      </c>
      <c r="H2474">
        <v>45</v>
      </c>
      <c r="I2474">
        <v>7</v>
      </c>
      <c r="J2474">
        <v>13</v>
      </c>
      <c r="K2474" s="1" t="s">
        <v>17</v>
      </c>
      <c r="L2474" s="1" t="s">
        <v>24</v>
      </c>
      <c r="M2474" s="1" t="s">
        <v>5363</v>
      </c>
      <c r="N2474" s="1" t="s">
        <v>5366</v>
      </c>
    </row>
    <row r="2475" spans="1:14" x14ac:dyDescent="0.35">
      <c r="A2475">
        <v>7371450</v>
      </c>
      <c r="B2475" s="1" t="s">
        <v>5312</v>
      </c>
      <c r="C2475">
        <v>9661.2999999999993</v>
      </c>
      <c r="D2475">
        <v>213</v>
      </c>
      <c r="E2475" s="1" t="s">
        <v>5367</v>
      </c>
      <c r="F2475" s="1" t="s">
        <v>119</v>
      </c>
      <c r="G2475" s="1" t="s">
        <v>16</v>
      </c>
      <c r="I2475">
        <v>18</v>
      </c>
      <c r="K2475" s="1" t="s">
        <v>23</v>
      </c>
      <c r="L2475" s="1" t="s">
        <v>24</v>
      </c>
      <c r="M2475" s="1" t="s">
        <v>5368</v>
      </c>
      <c r="N2475" s="1" t="s">
        <v>5369</v>
      </c>
    </row>
    <row r="2476" spans="1:14" x14ac:dyDescent="0.35">
      <c r="A2476">
        <v>7371422</v>
      </c>
      <c r="B2476" s="1" t="s">
        <v>5312</v>
      </c>
      <c r="C2476">
        <v>9661.2999999999993</v>
      </c>
      <c r="D2476">
        <v>213</v>
      </c>
      <c r="E2476" s="1" t="s">
        <v>5370</v>
      </c>
      <c r="F2476" s="1" t="s">
        <v>119</v>
      </c>
      <c r="G2476" s="1" t="s">
        <v>16</v>
      </c>
      <c r="H2476">
        <v>13</v>
      </c>
      <c r="I2476">
        <v>19</v>
      </c>
      <c r="J2476">
        <v>122</v>
      </c>
      <c r="K2476" s="1" t="s">
        <v>49</v>
      </c>
      <c r="L2476" s="1" t="s">
        <v>24</v>
      </c>
      <c r="M2476" s="1" t="s">
        <v>5368</v>
      </c>
      <c r="N2476" s="1" t="s">
        <v>5371</v>
      </c>
    </row>
    <row r="2477" spans="1:14" x14ac:dyDescent="0.35">
      <c r="A2477">
        <v>7371427</v>
      </c>
      <c r="B2477" s="1" t="s">
        <v>5312</v>
      </c>
      <c r="C2477">
        <v>9661.2999999999993</v>
      </c>
      <c r="D2477">
        <v>213</v>
      </c>
      <c r="E2477" s="1" t="s">
        <v>5372</v>
      </c>
      <c r="F2477" s="1" t="s">
        <v>119</v>
      </c>
      <c r="G2477" s="1" t="s">
        <v>32</v>
      </c>
      <c r="H2477">
        <v>10</v>
      </c>
      <c r="I2477">
        <v>18</v>
      </c>
      <c r="J2477">
        <v>87</v>
      </c>
      <c r="K2477" s="1" t="s">
        <v>191</v>
      </c>
      <c r="L2477" s="1" t="s">
        <v>120</v>
      </c>
      <c r="M2477" s="1" t="s">
        <v>5368</v>
      </c>
      <c r="N2477" s="1" t="s">
        <v>5373</v>
      </c>
    </row>
    <row r="2478" spans="1:14" x14ac:dyDescent="0.35">
      <c r="A2478">
        <v>7371433</v>
      </c>
      <c r="B2478" s="1" t="s">
        <v>5312</v>
      </c>
      <c r="C2478">
        <v>9661.2999999999993</v>
      </c>
      <c r="D2478">
        <v>213</v>
      </c>
      <c r="E2478" s="1" t="s">
        <v>5374</v>
      </c>
      <c r="F2478" s="1" t="s">
        <v>119</v>
      </c>
      <c r="G2478" s="1" t="s">
        <v>32</v>
      </c>
      <c r="H2478">
        <v>10</v>
      </c>
      <c r="I2478">
        <v>21</v>
      </c>
      <c r="J2478">
        <v>97</v>
      </c>
      <c r="K2478" s="1" t="s">
        <v>124</v>
      </c>
      <c r="L2478" s="1" t="s">
        <v>18</v>
      </c>
      <c r="M2478" s="1" t="s">
        <v>5368</v>
      </c>
      <c r="N2478" s="1" t="s">
        <v>5375</v>
      </c>
    </row>
    <row r="2479" spans="1:14" x14ac:dyDescent="0.35">
      <c r="A2479">
        <v>7371428</v>
      </c>
      <c r="B2479" s="1" t="s">
        <v>5312</v>
      </c>
      <c r="C2479">
        <v>9661.2999999999993</v>
      </c>
      <c r="D2479">
        <v>213</v>
      </c>
      <c r="E2479" s="1" t="s">
        <v>5376</v>
      </c>
      <c r="F2479" s="1" t="s">
        <v>71</v>
      </c>
      <c r="G2479" s="1" t="s">
        <v>16</v>
      </c>
      <c r="H2479">
        <v>107</v>
      </c>
      <c r="I2479">
        <v>28</v>
      </c>
      <c r="J2479">
        <v>216</v>
      </c>
      <c r="K2479" s="1" t="s">
        <v>90</v>
      </c>
      <c r="L2479" s="1" t="s">
        <v>24</v>
      </c>
      <c r="M2479" s="1" t="s">
        <v>5368</v>
      </c>
      <c r="N2479" s="1" t="s">
        <v>5377</v>
      </c>
    </row>
    <row r="2480" spans="1:14" x14ac:dyDescent="0.35">
      <c r="A2480">
        <v>7371256</v>
      </c>
      <c r="B2480" s="1" t="s">
        <v>5312</v>
      </c>
      <c r="C2480">
        <v>9661.2999999999993</v>
      </c>
      <c r="D2480">
        <v>213</v>
      </c>
      <c r="E2480" s="1" t="s">
        <v>5378</v>
      </c>
      <c r="F2480" s="1" t="s">
        <v>71</v>
      </c>
      <c r="G2480" s="1" t="s">
        <v>16</v>
      </c>
      <c r="H2480">
        <v>80</v>
      </c>
      <c r="I2480">
        <v>21</v>
      </c>
      <c r="J2480">
        <v>234</v>
      </c>
      <c r="K2480" s="1" t="s">
        <v>124</v>
      </c>
      <c r="L2480" s="1" t="s">
        <v>18</v>
      </c>
      <c r="M2480" s="1" t="s">
        <v>5368</v>
      </c>
      <c r="N2480" s="1" t="s">
        <v>5379</v>
      </c>
    </row>
    <row r="2481" spans="1:14" x14ac:dyDescent="0.35">
      <c r="A2481">
        <v>7371414</v>
      </c>
      <c r="B2481" s="1" t="s">
        <v>5312</v>
      </c>
      <c r="C2481">
        <v>9661.2999999999993</v>
      </c>
      <c r="D2481">
        <v>213</v>
      </c>
      <c r="E2481" s="1" t="s">
        <v>5380</v>
      </c>
      <c r="F2481" s="1" t="s">
        <v>71</v>
      </c>
      <c r="G2481" s="1" t="s">
        <v>32</v>
      </c>
      <c r="H2481">
        <v>32</v>
      </c>
      <c r="I2481">
        <v>21</v>
      </c>
      <c r="J2481">
        <v>59</v>
      </c>
      <c r="K2481" s="1" t="s">
        <v>23</v>
      </c>
      <c r="L2481" s="1" t="s">
        <v>24</v>
      </c>
      <c r="M2481" s="1" t="s">
        <v>5368</v>
      </c>
      <c r="N2481" s="1" t="s">
        <v>5381</v>
      </c>
    </row>
    <row r="2482" spans="1:14" x14ac:dyDescent="0.35">
      <c r="A2482">
        <v>7371410</v>
      </c>
      <c r="B2482" s="1" t="s">
        <v>5312</v>
      </c>
      <c r="C2482">
        <v>9661.2999999999993</v>
      </c>
      <c r="D2482">
        <v>213</v>
      </c>
      <c r="E2482" s="1" t="s">
        <v>5382</v>
      </c>
      <c r="F2482" s="1" t="s">
        <v>71</v>
      </c>
      <c r="G2482" s="1" t="s">
        <v>32</v>
      </c>
      <c r="H2482">
        <v>109</v>
      </c>
      <c r="I2482">
        <v>23</v>
      </c>
      <c r="J2482">
        <v>243</v>
      </c>
      <c r="K2482" s="1" t="s">
        <v>95</v>
      </c>
      <c r="L2482" s="1" t="s">
        <v>24</v>
      </c>
      <c r="M2482" s="1" t="s">
        <v>5368</v>
      </c>
      <c r="N2482" s="1" t="s">
        <v>5383</v>
      </c>
    </row>
    <row r="2483" spans="1:14" x14ac:dyDescent="0.35">
      <c r="A2483">
        <v>7371413</v>
      </c>
      <c r="B2483" s="1" t="s">
        <v>5312</v>
      </c>
      <c r="C2483">
        <v>9661.2999999999993</v>
      </c>
      <c r="D2483">
        <v>213</v>
      </c>
      <c r="E2483" s="1" t="s">
        <v>2594</v>
      </c>
      <c r="F2483" s="1" t="s">
        <v>71</v>
      </c>
      <c r="G2483" s="1" t="s">
        <v>32</v>
      </c>
      <c r="H2483">
        <v>33</v>
      </c>
      <c r="I2483">
        <v>15</v>
      </c>
      <c r="J2483">
        <v>73</v>
      </c>
      <c r="K2483" s="1" t="s">
        <v>23</v>
      </c>
      <c r="L2483" s="1" t="s">
        <v>24</v>
      </c>
      <c r="M2483" s="1" t="s">
        <v>5368</v>
      </c>
      <c r="N2483" s="1" t="s">
        <v>5384</v>
      </c>
    </row>
    <row r="2484" spans="1:14" x14ac:dyDescent="0.35">
      <c r="A2484">
        <v>7371418</v>
      </c>
      <c r="B2484" s="1" t="s">
        <v>5312</v>
      </c>
      <c r="C2484">
        <v>9661.2999999999993</v>
      </c>
      <c r="D2484">
        <v>213</v>
      </c>
      <c r="E2484" s="1" t="s">
        <v>5385</v>
      </c>
      <c r="F2484" s="1" t="s">
        <v>71</v>
      </c>
      <c r="G2484" s="1" t="s">
        <v>32</v>
      </c>
      <c r="H2484">
        <v>34</v>
      </c>
      <c r="I2484">
        <v>16</v>
      </c>
      <c r="J2484">
        <v>48</v>
      </c>
      <c r="K2484" s="1" t="s">
        <v>23</v>
      </c>
      <c r="L2484" s="1" t="s">
        <v>24</v>
      </c>
      <c r="M2484" s="1" t="s">
        <v>5368</v>
      </c>
      <c r="N2484" s="1" t="s">
        <v>5386</v>
      </c>
    </row>
    <row r="2485" spans="1:14" x14ac:dyDescent="0.35">
      <c r="A2485">
        <v>7371223</v>
      </c>
      <c r="B2485" s="1" t="s">
        <v>5312</v>
      </c>
      <c r="C2485">
        <v>9661.2999999999993</v>
      </c>
      <c r="D2485">
        <v>213</v>
      </c>
      <c r="E2485" s="1" t="s">
        <v>5387</v>
      </c>
      <c r="F2485" s="1" t="s">
        <v>71</v>
      </c>
      <c r="G2485" s="1" t="s">
        <v>32</v>
      </c>
      <c r="H2485">
        <v>57</v>
      </c>
      <c r="I2485">
        <v>19</v>
      </c>
      <c r="J2485">
        <v>2</v>
      </c>
      <c r="K2485" s="1" t="s">
        <v>84</v>
      </c>
      <c r="L2485" s="1" t="s">
        <v>24</v>
      </c>
      <c r="M2485" s="1" t="s">
        <v>5368</v>
      </c>
      <c r="N2485" s="1" t="s">
        <v>5388</v>
      </c>
    </row>
    <row r="2486" spans="1:14" x14ac:dyDescent="0.35">
      <c r="A2486">
        <v>7371429</v>
      </c>
      <c r="B2486" s="1" t="s">
        <v>5312</v>
      </c>
      <c r="C2486">
        <v>9661.2999999999993</v>
      </c>
      <c r="D2486">
        <v>213</v>
      </c>
      <c r="E2486" s="1" t="s">
        <v>5389</v>
      </c>
      <c r="F2486" s="1" t="s">
        <v>71</v>
      </c>
      <c r="G2486" s="1" t="s">
        <v>32</v>
      </c>
      <c r="H2486">
        <v>38</v>
      </c>
      <c r="I2486">
        <v>24</v>
      </c>
      <c r="J2486">
        <v>77</v>
      </c>
      <c r="K2486" s="1" t="s">
        <v>23</v>
      </c>
      <c r="L2486" s="1" t="s">
        <v>24</v>
      </c>
      <c r="M2486" s="1" t="s">
        <v>5368</v>
      </c>
      <c r="N2486" s="1" t="s">
        <v>5390</v>
      </c>
    </row>
    <row r="2487" spans="1:14" x14ac:dyDescent="0.35">
      <c r="A2487">
        <v>7371406</v>
      </c>
      <c r="B2487" s="1" t="s">
        <v>5312</v>
      </c>
      <c r="C2487">
        <v>9661.2999999999993</v>
      </c>
      <c r="D2487">
        <v>213</v>
      </c>
      <c r="E2487" s="1" t="s">
        <v>5391</v>
      </c>
      <c r="F2487" s="1" t="s">
        <v>71</v>
      </c>
      <c r="G2487" s="1" t="s">
        <v>32</v>
      </c>
      <c r="H2487">
        <v>29</v>
      </c>
      <c r="I2487">
        <v>16</v>
      </c>
      <c r="J2487">
        <v>15</v>
      </c>
      <c r="K2487" s="1" t="s">
        <v>95</v>
      </c>
      <c r="L2487" s="1" t="s">
        <v>24</v>
      </c>
      <c r="M2487" s="1" t="s">
        <v>5368</v>
      </c>
      <c r="N2487" s="1" t="s">
        <v>5392</v>
      </c>
    </row>
    <row r="2488" spans="1:14" x14ac:dyDescent="0.35">
      <c r="A2488">
        <v>7371234</v>
      </c>
      <c r="B2488" s="1" t="s">
        <v>5312</v>
      </c>
      <c r="C2488">
        <v>9661.2999999999993</v>
      </c>
      <c r="D2488">
        <v>213</v>
      </c>
      <c r="E2488" s="1" t="s">
        <v>5393</v>
      </c>
      <c r="F2488" s="1" t="s">
        <v>71</v>
      </c>
      <c r="G2488" s="1" t="s">
        <v>32</v>
      </c>
      <c r="H2488">
        <v>81</v>
      </c>
      <c r="I2488">
        <v>20</v>
      </c>
      <c r="J2488">
        <v>252</v>
      </c>
      <c r="K2488" s="1" t="s">
        <v>124</v>
      </c>
      <c r="L2488" s="1" t="s">
        <v>18</v>
      </c>
      <c r="M2488" s="1" t="s">
        <v>5368</v>
      </c>
      <c r="N2488" s="1" t="s">
        <v>5394</v>
      </c>
    </row>
    <row r="2489" spans="1:14" x14ac:dyDescent="0.35">
      <c r="A2489">
        <v>7371180</v>
      </c>
      <c r="B2489" s="1" t="s">
        <v>5312</v>
      </c>
      <c r="C2489">
        <v>9661.2999999999993</v>
      </c>
      <c r="D2489">
        <v>213</v>
      </c>
      <c r="E2489" s="1" t="s">
        <v>5395</v>
      </c>
      <c r="F2489" s="1" t="s">
        <v>71</v>
      </c>
      <c r="G2489" s="1" t="s">
        <v>32</v>
      </c>
      <c r="H2489">
        <v>38</v>
      </c>
      <c r="I2489">
        <v>23</v>
      </c>
      <c r="J2489">
        <v>117</v>
      </c>
      <c r="K2489" s="1" t="s">
        <v>84</v>
      </c>
      <c r="L2489" s="1" t="s">
        <v>24</v>
      </c>
      <c r="M2489" s="1" t="s">
        <v>5368</v>
      </c>
      <c r="N2489" s="1" t="s">
        <v>5396</v>
      </c>
    </row>
    <row r="2490" spans="1:14" x14ac:dyDescent="0.35">
      <c r="A2490">
        <v>7371430</v>
      </c>
      <c r="B2490" s="1" t="s">
        <v>5312</v>
      </c>
      <c r="C2490">
        <v>9661.2999999999993</v>
      </c>
      <c r="D2490">
        <v>213</v>
      </c>
      <c r="E2490" s="1" t="s">
        <v>5397</v>
      </c>
      <c r="F2490" s="1" t="s">
        <v>71</v>
      </c>
      <c r="G2490" s="1" t="s">
        <v>32</v>
      </c>
      <c r="H2490">
        <v>74</v>
      </c>
      <c r="I2490">
        <v>27</v>
      </c>
      <c r="J2490">
        <v>111</v>
      </c>
      <c r="K2490" s="1" t="s">
        <v>90</v>
      </c>
      <c r="L2490" s="1" t="s">
        <v>24</v>
      </c>
      <c r="M2490" s="1" t="s">
        <v>5368</v>
      </c>
      <c r="N2490" s="1" t="s">
        <v>5398</v>
      </c>
    </row>
    <row r="2491" spans="1:14" x14ac:dyDescent="0.35">
      <c r="A2491">
        <v>7371107</v>
      </c>
      <c r="B2491" s="1" t="s">
        <v>5312</v>
      </c>
      <c r="C2491">
        <v>9661.2999999999993</v>
      </c>
      <c r="D2491">
        <v>213</v>
      </c>
      <c r="E2491" s="1" t="s">
        <v>5399</v>
      </c>
      <c r="F2491" s="1" t="s">
        <v>71</v>
      </c>
      <c r="G2491" s="1" t="s">
        <v>32</v>
      </c>
      <c r="H2491">
        <v>57</v>
      </c>
      <c r="I2491">
        <v>22</v>
      </c>
      <c r="J2491">
        <v>68</v>
      </c>
      <c r="K2491" s="1" t="s">
        <v>84</v>
      </c>
      <c r="L2491" s="1" t="s">
        <v>24</v>
      </c>
      <c r="M2491" s="1" t="s">
        <v>5368</v>
      </c>
      <c r="N2491" s="1" t="s">
        <v>5400</v>
      </c>
    </row>
    <row r="2492" spans="1:14" x14ac:dyDescent="0.35">
      <c r="A2492">
        <v>7371191</v>
      </c>
      <c r="B2492" s="1" t="s">
        <v>5312</v>
      </c>
      <c r="C2492">
        <v>9661.2999999999993</v>
      </c>
      <c r="D2492">
        <v>213</v>
      </c>
      <c r="E2492" s="1" t="s">
        <v>5401</v>
      </c>
      <c r="F2492" s="1" t="s">
        <v>71</v>
      </c>
      <c r="G2492" s="1" t="s">
        <v>32</v>
      </c>
      <c r="H2492">
        <v>75</v>
      </c>
      <c r="I2492">
        <v>20</v>
      </c>
      <c r="J2492">
        <v>167</v>
      </c>
      <c r="K2492" s="1" t="s">
        <v>444</v>
      </c>
      <c r="L2492" s="1" t="s">
        <v>24</v>
      </c>
      <c r="M2492" s="1" t="s">
        <v>5368</v>
      </c>
      <c r="N2492" s="1" t="s">
        <v>5402</v>
      </c>
    </row>
    <row r="2493" spans="1:14" x14ac:dyDescent="0.35">
      <c r="A2493">
        <v>7371449</v>
      </c>
      <c r="B2493" s="1" t="s">
        <v>5312</v>
      </c>
      <c r="C2493">
        <v>9661.2999999999993</v>
      </c>
      <c r="D2493">
        <v>213</v>
      </c>
      <c r="E2493" s="1" t="s">
        <v>5403</v>
      </c>
      <c r="F2493" s="1" t="s">
        <v>738</v>
      </c>
      <c r="G2493" s="1" t="s">
        <v>16</v>
      </c>
      <c r="H2493">
        <v>87</v>
      </c>
      <c r="I2493">
        <v>52</v>
      </c>
      <c r="K2493" s="1" t="s">
        <v>61</v>
      </c>
      <c r="L2493" s="1" t="s">
        <v>24</v>
      </c>
      <c r="M2493" s="1" t="s">
        <v>5368</v>
      </c>
      <c r="N2493" s="1" t="s">
        <v>5404</v>
      </c>
    </row>
    <row r="2494" spans="1:14" x14ac:dyDescent="0.35">
      <c r="A2494">
        <v>7371096</v>
      </c>
      <c r="B2494" s="1" t="s">
        <v>5312</v>
      </c>
      <c r="C2494">
        <v>9661.2999999999993</v>
      </c>
      <c r="D2494">
        <v>213</v>
      </c>
      <c r="E2494" s="1" t="s">
        <v>5405</v>
      </c>
      <c r="F2494" s="1" t="s">
        <v>129</v>
      </c>
      <c r="G2494" s="1" t="s">
        <v>130</v>
      </c>
      <c r="H2494">
        <v>400</v>
      </c>
      <c r="I2494">
        <v>43</v>
      </c>
      <c r="J2494">
        <v>519</v>
      </c>
      <c r="K2494" s="1" t="s">
        <v>124</v>
      </c>
      <c r="L2494" s="1" t="s">
        <v>18</v>
      </c>
      <c r="M2494" s="1" t="s">
        <v>5368</v>
      </c>
      <c r="N2494" s="1" t="s">
        <v>5406</v>
      </c>
    </row>
    <row r="2495" spans="1:14" x14ac:dyDescent="0.35">
      <c r="A2495">
        <v>7371436</v>
      </c>
      <c r="B2495" s="1" t="s">
        <v>5312</v>
      </c>
      <c r="C2495">
        <v>9661.2999999999993</v>
      </c>
      <c r="D2495">
        <v>213</v>
      </c>
      <c r="E2495" s="1" t="s">
        <v>5407</v>
      </c>
      <c r="F2495" s="1" t="s">
        <v>334</v>
      </c>
      <c r="G2495" s="1" t="s">
        <v>32</v>
      </c>
      <c r="H2495">
        <v>15</v>
      </c>
      <c r="I2495">
        <v>17</v>
      </c>
      <c r="J2495">
        <v>80</v>
      </c>
      <c r="K2495" s="1" t="s">
        <v>339</v>
      </c>
      <c r="L2495" s="1" t="s">
        <v>120</v>
      </c>
      <c r="M2495" s="1" t="s">
        <v>5368</v>
      </c>
      <c r="N2495" s="1" t="s">
        <v>5408</v>
      </c>
    </row>
    <row r="2496" spans="1:14" x14ac:dyDescent="0.35">
      <c r="A2496">
        <v>7371451</v>
      </c>
      <c r="B2496" s="1" t="s">
        <v>5312</v>
      </c>
      <c r="C2496">
        <v>9661.2999999999993</v>
      </c>
      <c r="D2496">
        <v>213</v>
      </c>
      <c r="E2496" s="1" t="s">
        <v>5409</v>
      </c>
      <c r="F2496" s="1" t="s">
        <v>334</v>
      </c>
      <c r="G2496" s="1" t="s">
        <v>32</v>
      </c>
      <c r="H2496">
        <v>16</v>
      </c>
      <c r="I2496">
        <v>36</v>
      </c>
      <c r="K2496" s="1" t="s">
        <v>23</v>
      </c>
      <c r="L2496" s="1" t="s">
        <v>120</v>
      </c>
      <c r="M2496" s="1" t="s">
        <v>5368</v>
      </c>
      <c r="N2496" s="1" t="s">
        <v>5410</v>
      </c>
    </row>
    <row r="2497" spans="1:14" x14ac:dyDescent="0.35">
      <c r="A2497">
        <v>7371453</v>
      </c>
      <c r="B2497" s="1" t="s">
        <v>5312</v>
      </c>
      <c r="C2497">
        <v>9661.2999999999993</v>
      </c>
      <c r="D2497">
        <v>213</v>
      </c>
      <c r="E2497" s="1" t="s">
        <v>5411</v>
      </c>
      <c r="F2497" s="1" t="s">
        <v>15</v>
      </c>
      <c r="G2497" s="1" t="s">
        <v>130</v>
      </c>
      <c r="I2497">
        <v>3</v>
      </c>
      <c r="K2497" s="1" t="s">
        <v>339</v>
      </c>
      <c r="L2497" s="1" t="s">
        <v>24</v>
      </c>
      <c r="M2497" s="1" t="s">
        <v>5368</v>
      </c>
      <c r="N2497" s="1" t="s">
        <v>5412</v>
      </c>
    </row>
    <row r="2498" spans="1:14" x14ac:dyDescent="0.35">
      <c r="A2498">
        <v>7371325</v>
      </c>
      <c r="B2498" s="1" t="s">
        <v>5312</v>
      </c>
      <c r="C2498">
        <v>9661.2999999999993</v>
      </c>
      <c r="D2498">
        <v>213</v>
      </c>
      <c r="E2498" s="1" t="s">
        <v>5413</v>
      </c>
      <c r="F2498" s="1" t="s">
        <v>15</v>
      </c>
      <c r="G2498" s="1" t="s">
        <v>130</v>
      </c>
      <c r="H2498">
        <v>847</v>
      </c>
      <c r="I2498">
        <v>163</v>
      </c>
      <c r="J2498">
        <v>2490</v>
      </c>
      <c r="K2498" s="1" t="s">
        <v>339</v>
      </c>
      <c r="L2498" s="1" t="s">
        <v>120</v>
      </c>
      <c r="M2498" s="1" t="s">
        <v>5368</v>
      </c>
      <c r="N2498" s="1" t="s">
        <v>5414</v>
      </c>
    </row>
    <row r="2499" spans="1:14" x14ac:dyDescent="0.35">
      <c r="A2499">
        <v>7371402</v>
      </c>
      <c r="B2499" s="1" t="s">
        <v>5312</v>
      </c>
      <c r="C2499">
        <v>9661.2999999999993</v>
      </c>
      <c r="D2499">
        <v>213</v>
      </c>
      <c r="E2499" s="1" t="s">
        <v>5415</v>
      </c>
      <c r="F2499" s="1" t="s">
        <v>15</v>
      </c>
      <c r="G2499" s="1" t="s">
        <v>16</v>
      </c>
      <c r="H2499">
        <v>213</v>
      </c>
      <c r="I2499">
        <v>109</v>
      </c>
      <c r="J2499">
        <v>480</v>
      </c>
      <c r="K2499" s="1" t="s">
        <v>23</v>
      </c>
      <c r="L2499" s="1" t="s">
        <v>24</v>
      </c>
      <c r="M2499" s="1" t="s">
        <v>5368</v>
      </c>
      <c r="N2499" s="1" t="s">
        <v>5416</v>
      </c>
    </row>
    <row r="2500" spans="1:14" x14ac:dyDescent="0.35">
      <c r="A2500">
        <v>7371030</v>
      </c>
      <c r="B2500" s="1" t="s">
        <v>5312</v>
      </c>
      <c r="C2500">
        <v>9661.2999999999993</v>
      </c>
      <c r="D2500">
        <v>213</v>
      </c>
      <c r="E2500" s="1" t="s">
        <v>5417</v>
      </c>
      <c r="F2500" s="1" t="s">
        <v>15</v>
      </c>
      <c r="G2500" s="1" t="s">
        <v>16</v>
      </c>
      <c r="H2500">
        <v>319</v>
      </c>
      <c r="I2500">
        <v>93</v>
      </c>
      <c r="J2500">
        <v>534</v>
      </c>
      <c r="K2500" s="1" t="s">
        <v>27</v>
      </c>
      <c r="L2500" s="1" t="s">
        <v>120</v>
      </c>
      <c r="M2500" s="1" t="s">
        <v>5368</v>
      </c>
      <c r="N2500" s="1" t="s">
        <v>5418</v>
      </c>
    </row>
    <row r="2501" spans="1:14" x14ac:dyDescent="0.35">
      <c r="A2501">
        <v>7371362</v>
      </c>
      <c r="B2501" s="1" t="s">
        <v>5312</v>
      </c>
      <c r="C2501">
        <v>9661.2999999999993</v>
      </c>
      <c r="D2501">
        <v>213</v>
      </c>
      <c r="E2501" s="1" t="s">
        <v>5419</v>
      </c>
      <c r="F2501" s="1" t="s">
        <v>15</v>
      </c>
      <c r="G2501" s="1" t="s">
        <v>16</v>
      </c>
      <c r="H2501">
        <v>207</v>
      </c>
      <c r="I2501">
        <v>42</v>
      </c>
      <c r="J2501">
        <v>527</v>
      </c>
      <c r="K2501" s="1" t="s">
        <v>124</v>
      </c>
      <c r="L2501" s="1" t="s">
        <v>18</v>
      </c>
      <c r="M2501" s="1" t="s">
        <v>5368</v>
      </c>
      <c r="N2501" s="1" t="s">
        <v>5420</v>
      </c>
    </row>
    <row r="2502" spans="1:14" x14ac:dyDescent="0.35">
      <c r="A2502">
        <v>7371052</v>
      </c>
      <c r="B2502" s="1" t="s">
        <v>5312</v>
      </c>
      <c r="C2502">
        <v>9661.2999999999993</v>
      </c>
      <c r="D2502">
        <v>213</v>
      </c>
      <c r="E2502" s="1" t="s">
        <v>5421</v>
      </c>
      <c r="F2502" s="1" t="s">
        <v>15</v>
      </c>
      <c r="G2502" s="1" t="s">
        <v>16</v>
      </c>
      <c r="H2502">
        <v>203</v>
      </c>
      <c r="I2502">
        <v>94</v>
      </c>
      <c r="J2502">
        <v>502</v>
      </c>
      <c r="K2502" s="1" t="s">
        <v>84</v>
      </c>
      <c r="L2502" s="1" t="s">
        <v>24</v>
      </c>
      <c r="M2502" s="1" t="s">
        <v>5368</v>
      </c>
      <c r="N2502" s="1" t="s">
        <v>5422</v>
      </c>
    </row>
    <row r="2503" spans="1:14" x14ac:dyDescent="0.35">
      <c r="A2503">
        <v>7371293</v>
      </c>
      <c r="B2503" s="1" t="s">
        <v>5312</v>
      </c>
      <c r="C2503">
        <v>9661.2999999999993</v>
      </c>
      <c r="D2503">
        <v>213</v>
      </c>
      <c r="E2503" s="1" t="s">
        <v>5423</v>
      </c>
      <c r="F2503" s="1" t="s">
        <v>15</v>
      </c>
      <c r="G2503" s="1" t="s">
        <v>16</v>
      </c>
      <c r="H2503">
        <v>201</v>
      </c>
      <c r="I2503">
        <v>44</v>
      </c>
      <c r="J2503">
        <v>403</v>
      </c>
      <c r="K2503" s="1" t="s">
        <v>444</v>
      </c>
      <c r="L2503" s="1" t="s">
        <v>24</v>
      </c>
      <c r="M2503" s="1" t="s">
        <v>5368</v>
      </c>
      <c r="N2503" s="1" t="s">
        <v>5424</v>
      </c>
    </row>
    <row r="2504" spans="1:14" x14ac:dyDescent="0.35">
      <c r="A2504">
        <v>7371340</v>
      </c>
      <c r="B2504" s="1" t="s">
        <v>5312</v>
      </c>
      <c r="C2504">
        <v>9661.2999999999993</v>
      </c>
      <c r="D2504">
        <v>213</v>
      </c>
      <c r="E2504" s="1" t="s">
        <v>5425</v>
      </c>
      <c r="F2504" s="1" t="s">
        <v>15</v>
      </c>
      <c r="G2504" s="1" t="s">
        <v>16</v>
      </c>
      <c r="H2504">
        <v>269</v>
      </c>
      <c r="I2504">
        <v>108</v>
      </c>
      <c r="J2504">
        <v>506</v>
      </c>
      <c r="K2504" s="1" t="s">
        <v>84</v>
      </c>
      <c r="L2504" s="1" t="s">
        <v>24</v>
      </c>
      <c r="M2504" s="1" t="s">
        <v>5368</v>
      </c>
      <c r="N2504" s="1" t="s">
        <v>5426</v>
      </c>
    </row>
    <row r="2505" spans="1:14" x14ac:dyDescent="0.35">
      <c r="A2505">
        <v>7371395</v>
      </c>
      <c r="B2505" s="1" t="s">
        <v>5312</v>
      </c>
      <c r="C2505">
        <v>9661.2999999999993</v>
      </c>
      <c r="D2505">
        <v>213</v>
      </c>
      <c r="E2505" s="1" t="s">
        <v>5427</v>
      </c>
      <c r="F2505" s="1" t="s">
        <v>15</v>
      </c>
      <c r="G2505" s="1" t="s">
        <v>16</v>
      </c>
      <c r="H2505">
        <v>218</v>
      </c>
      <c r="I2505">
        <v>99</v>
      </c>
      <c r="J2505">
        <v>490</v>
      </c>
      <c r="K2505" s="1" t="s">
        <v>137</v>
      </c>
      <c r="L2505" s="1" t="s">
        <v>18</v>
      </c>
      <c r="M2505" s="1" t="s">
        <v>5368</v>
      </c>
      <c r="N2505" s="1" t="s">
        <v>5428</v>
      </c>
    </row>
    <row r="2506" spans="1:14" x14ac:dyDescent="0.35">
      <c r="A2506">
        <v>7371373</v>
      </c>
      <c r="B2506" s="1" t="s">
        <v>5312</v>
      </c>
      <c r="C2506">
        <v>9661.2999999999993</v>
      </c>
      <c r="D2506">
        <v>213</v>
      </c>
      <c r="E2506" s="1" t="s">
        <v>5429</v>
      </c>
      <c r="F2506" s="1" t="s">
        <v>15</v>
      </c>
      <c r="G2506" s="1" t="s">
        <v>16</v>
      </c>
      <c r="H2506">
        <v>209</v>
      </c>
      <c r="I2506">
        <v>43</v>
      </c>
      <c r="J2506">
        <v>504</v>
      </c>
      <c r="K2506" s="1" t="s">
        <v>23</v>
      </c>
      <c r="L2506" s="1" t="s">
        <v>24</v>
      </c>
      <c r="M2506" s="1" t="s">
        <v>5368</v>
      </c>
      <c r="N2506" s="1" t="s">
        <v>5430</v>
      </c>
    </row>
    <row r="2507" spans="1:14" x14ac:dyDescent="0.35">
      <c r="A2507">
        <v>7371314</v>
      </c>
      <c r="B2507" s="1" t="s">
        <v>5312</v>
      </c>
      <c r="C2507">
        <v>9661.2999999999993</v>
      </c>
      <c r="D2507">
        <v>213</v>
      </c>
      <c r="E2507" s="1" t="s">
        <v>5431</v>
      </c>
      <c r="F2507" s="1" t="s">
        <v>15</v>
      </c>
      <c r="G2507" s="1" t="s">
        <v>16</v>
      </c>
      <c r="H2507">
        <v>320</v>
      </c>
      <c r="I2507">
        <v>105</v>
      </c>
      <c r="J2507">
        <v>414</v>
      </c>
      <c r="K2507" s="1" t="s">
        <v>339</v>
      </c>
      <c r="L2507" s="1" t="s">
        <v>120</v>
      </c>
      <c r="M2507" s="1" t="s">
        <v>5368</v>
      </c>
      <c r="N2507" s="1" t="s">
        <v>5432</v>
      </c>
    </row>
    <row r="2508" spans="1:14" x14ac:dyDescent="0.35">
      <c r="A2508">
        <v>7371026</v>
      </c>
      <c r="B2508" s="1" t="s">
        <v>5312</v>
      </c>
      <c r="C2508">
        <v>9661.2999999999993</v>
      </c>
      <c r="D2508">
        <v>213</v>
      </c>
      <c r="E2508" s="1" t="s">
        <v>5433</v>
      </c>
      <c r="F2508" s="1" t="s">
        <v>15</v>
      </c>
      <c r="G2508" s="1" t="s">
        <v>16</v>
      </c>
      <c r="H2508">
        <v>224</v>
      </c>
      <c r="I2508">
        <v>105</v>
      </c>
      <c r="J2508">
        <v>666</v>
      </c>
      <c r="K2508" s="1" t="s">
        <v>124</v>
      </c>
      <c r="L2508" s="1" t="s">
        <v>18</v>
      </c>
      <c r="M2508" s="1" t="s">
        <v>5368</v>
      </c>
      <c r="N2508" s="1" t="s">
        <v>5434</v>
      </c>
    </row>
    <row r="2509" spans="1:14" x14ac:dyDescent="0.35">
      <c r="A2509">
        <v>7371063</v>
      </c>
      <c r="B2509" s="1" t="s">
        <v>5312</v>
      </c>
      <c r="C2509">
        <v>9661.2999999999993</v>
      </c>
      <c r="D2509">
        <v>213</v>
      </c>
      <c r="E2509" s="1" t="s">
        <v>5435</v>
      </c>
      <c r="F2509" s="1" t="s">
        <v>15</v>
      </c>
      <c r="G2509" s="1" t="s">
        <v>16</v>
      </c>
      <c r="H2509">
        <v>244</v>
      </c>
      <c r="I2509">
        <v>103</v>
      </c>
      <c r="J2509">
        <v>579</v>
      </c>
      <c r="K2509" s="1" t="s">
        <v>84</v>
      </c>
      <c r="L2509" s="1" t="s">
        <v>24</v>
      </c>
      <c r="M2509" s="1" t="s">
        <v>5368</v>
      </c>
      <c r="N2509" s="1" t="s">
        <v>5436</v>
      </c>
    </row>
    <row r="2510" spans="1:14" x14ac:dyDescent="0.35">
      <c r="A2510">
        <v>7371408</v>
      </c>
      <c r="B2510" s="1" t="s">
        <v>5312</v>
      </c>
      <c r="C2510">
        <v>9661.2999999999993</v>
      </c>
      <c r="D2510">
        <v>213</v>
      </c>
      <c r="E2510" s="1" t="s">
        <v>5437</v>
      </c>
      <c r="F2510" s="1" t="s">
        <v>15</v>
      </c>
      <c r="G2510" s="1" t="s">
        <v>16</v>
      </c>
      <c r="H2510">
        <v>236</v>
      </c>
      <c r="I2510">
        <v>134</v>
      </c>
      <c r="J2510">
        <v>505</v>
      </c>
      <c r="K2510" s="1" t="s">
        <v>49</v>
      </c>
      <c r="L2510" s="1" t="s">
        <v>120</v>
      </c>
      <c r="M2510" s="1" t="s">
        <v>5368</v>
      </c>
      <c r="N2510" s="1" t="s">
        <v>5438</v>
      </c>
    </row>
    <row r="2511" spans="1:14" x14ac:dyDescent="0.35">
      <c r="A2511">
        <v>7371041</v>
      </c>
      <c r="B2511" s="1" t="s">
        <v>5312</v>
      </c>
      <c r="C2511">
        <v>9661.2999999999993</v>
      </c>
      <c r="D2511">
        <v>213</v>
      </c>
      <c r="E2511" s="1" t="s">
        <v>5439</v>
      </c>
      <c r="F2511" s="1" t="s">
        <v>15</v>
      </c>
      <c r="G2511" s="1" t="s">
        <v>16</v>
      </c>
      <c r="H2511">
        <v>349</v>
      </c>
      <c r="I2511">
        <v>99</v>
      </c>
      <c r="J2511">
        <v>109</v>
      </c>
      <c r="K2511" s="1" t="s">
        <v>146</v>
      </c>
      <c r="L2511" s="1" t="s">
        <v>120</v>
      </c>
      <c r="M2511" s="1" t="s">
        <v>5368</v>
      </c>
      <c r="N2511" s="1" t="s">
        <v>5440</v>
      </c>
    </row>
    <row r="2512" spans="1:14" x14ac:dyDescent="0.35">
      <c r="A2512">
        <v>7371399</v>
      </c>
      <c r="B2512" s="1" t="s">
        <v>5312</v>
      </c>
      <c r="C2512">
        <v>9661.2999999999993</v>
      </c>
      <c r="D2512">
        <v>213</v>
      </c>
      <c r="E2512" s="1" t="s">
        <v>448</v>
      </c>
      <c r="F2512" s="1" t="s">
        <v>15</v>
      </c>
      <c r="G2512" s="1" t="s">
        <v>16</v>
      </c>
      <c r="H2512">
        <v>208</v>
      </c>
      <c r="I2512">
        <v>90</v>
      </c>
      <c r="J2512">
        <v>696</v>
      </c>
      <c r="K2512" s="1" t="s">
        <v>90</v>
      </c>
      <c r="L2512" s="1" t="s">
        <v>24</v>
      </c>
      <c r="M2512" s="1" t="s">
        <v>5368</v>
      </c>
      <c r="N2512" s="1" t="s">
        <v>5441</v>
      </c>
    </row>
    <row r="2513" spans="1:14" x14ac:dyDescent="0.35">
      <c r="A2513">
        <v>7371426</v>
      </c>
      <c r="B2513" s="1" t="s">
        <v>5312</v>
      </c>
      <c r="C2513">
        <v>9661.2999999999993</v>
      </c>
      <c r="D2513">
        <v>213</v>
      </c>
      <c r="E2513" s="1" t="s">
        <v>5442</v>
      </c>
      <c r="F2513" s="1" t="s">
        <v>15</v>
      </c>
      <c r="G2513" s="1" t="s">
        <v>32</v>
      </c>
      <c r="H2513">
        <v>180</v>
      </c>
      <c r="I2513">
        <v>56</v>
      </c>
      <c r="J2513">
        <v>233</v>
      </c>
      <c r="K2513" s="1" t="s">
        <v>23</v>
      </c>
      <c r="L2513" s="1" t="s">
        <v>24</v>
      </c>
      <c r="M2513" s="1" t="s">
        <v>5368</v>
      </c>
      <c r="N2513" s="1" t="s">
        <v>5443</v>
      </c>
    </row>
    <row r="2514" spans="1:14" x14ac:dyDescent="0.35">
      <c r="A2514">
        <v>7371336</v>
      </c>
      <c r="B2514" s="1" t="s">
        <v>5312</v>
      </c>
      <c r="C2514">
        <v>9661.2999999999993</v>
      </c>
      <c r="D2514">
        <v>213</v>
      </c>
      <c r="E2514" s="1" t="s">
        <v>5444</v>
      </c>
      <c r="F2514" s="1" t="s">
        <v>15</v>
      </c>
      <c r="G2514" s="1" t="s">
        <v>32</v>
      </c>
      <c r="H2514">
        <v>100</v>
      </c>
      <c r="I2514">
        <v>78</v>
      </c>
      <c r="J2514">
        <v>137</v>
      </c>
      <c r="K2514" s="1" t="s">
        <v>84</v>
      </c>
      <c r="L2514" s="1" t="s">
        <v>24</v>
      </c>
      <c r="M2514" s="1" t="s">
        <v>5368</v>
      </c>
      <c r="N2514" s="1" t="s">
        <v>5445</v>
      </c>
    </row>
    <row r="2515" spans="1:14" x14ac:dyDescent="0.35">
      <c r="A2515">
        <v>7371407</v>
      </c>
      <c r="B2515" s="1" t="s">
        <v>5312</v>
      </c>
      <c r="C2515">
        <v>9661.2999999999993</v>
      </c>
      <c r="D2515">
        <v>213</v>
      </c>
      <c r="E2515" s="1" t="s">
        <v>5446</v>
      </c>
      <c r="F2515" s="1" t="s">
        <v>15</v>
      </c>
      <c r="G2515" s="1" t="s">
        <v>32</v>
      </c>
      <c r="H2515">
        <v>100</v>
      </c>
      <c r="I2515">
        <v>32</v>
      </c>
      <c r="J2515">
        <v>102</v>
      </c>
      <c r="K2515" s="1" t="s">
        <v>95</v>
      </c>
      <c r="L2515" s="1" t="s">
        <v>24</v>
      </c>
      <c r="M2515" s="1" t="s">
        <v>5368</v>
      </c>
      <c r="N2515" s="1" t="s">
        <v>5447</v>
      </c>
    </row>
    <row r="2516" spans="1:14" x14ac:dyDescent="0.35">
      <c r="A2516">
        <v>7371412</v>
      </c>
      <c r="B2516" s="1" t="s">
        <v>5312</v>
      </c>
      <c r="C2516">
        <v>9661.2999999999993</v>
      </c>
      <c r="D2516">
        <v>213</v>
      </c>
      <c r="E2516" s="1" t="s">
        <v>5448</v>
      </c>
      <c r="F2516" s="1" t="s">
        <v>15</v>
      </c>
      <c r="G2516" s="1" t="s">
        <v>32</v>
      </c>
      <c r="H2516">
        <v>163</v>
      </c>
      <c r="I2516">
        <v>112</v>
      </c>
      <c r="J2516">
        <v>143</v>
      </c>
      <c r="K2516" s="1" t="s">
        <v>23</v>
      </c>
      <c r="L2516" s="1" t="s">
        <v>24</v>
      </c>
      <c r="M2516" s="1" t="s">
        <v>5368</v>
      </c>
      <c r="N2516" s="1" t="s">
        <v>5449</v>
      </c>
    </row>
    <row r="2517" spans="1:14" x14ac:dyDescent="0.35">
      <c r="A2517">
        <v>7371403</v>
      </c>
      <c r="B2517" s="1" t="s">
        <v>5312</v>
      </c>
      <c r="C2517">
        <v>9661.2999999999993</v>
      </c>
      <c r="D2517">
        <v>213</v>
      </c>
      <c r="E2517" s="1" t="s">
        <v>643</v>
      </c>
      <c r="F2517" s="1" t="s">
        <v>15</v>
      </c>
      <c r="G2517" s="1" t="s">
        <v>32</v>
      </c>
      <c r="H2517">
        <v>102</v>
      </c>
      <c r="I2517">
        <v>38</v>
      </c>
      <c r="J2517">
        <v>51</v>
      </c>
      <c r="K2517" s="1" t="s">
        <v>23</v>
      </c>
      <c r="L2517" s="1" t="s">
        <v>24</v>
      </c>
      <c r="M2517" s="1" t="s">
        <v>5368</v>
      </c>
      <c r="N2517" s="1" t="s">
        <v>5450</v>
      </c>
    </row>
    <row r="2518" spans="1:14" x14ac:dyDescent="0.35">
      <c r="A2518">
        <v>7371074</v>
      </c>
      <c r="B2518" s="1" t="s">
        <v>5312</v>
      </c>
      <c r="C2518">
        <v>9661.2999999999993</v>
      </c>
      <c r="D2518">
        <v>213</v>
      </c>
      <c r="E2518" s="1" t="s">
        <v>5451</v>
      </c>
      <c r="F2518" s="1" t="s">
        <v>15</v>
      </c>
      <c r="G2518" s="1" t="s">
        <v>32</v>
      </c>
      <c r="H2518">
        <v>100</v>
      </c>
      <c r="I2518">
        <v>37</v>
      </c>
      <c r="J2518">
        <v>175</v>
      </c>
      <c r="K2518" s="1" t="s">
        <v>191</v>
      </c>
      <c r="L2518" s="1" t="s">
        <v>24</v>
      </c>
      <c r="M2518" s="1" t="s">
        <v>5368</v>
      </c>
      <c r="N2518" s="1" t="s">
        <v>5452</v>
      </c>
    </row>
    <row r="2519" spans="1:14" x14ac:dyDescent="0.35">
      <c r="A2519">
        <v>7371452</v>
      </c>
      <c r="B2519" s="1" t="s">
        <v>5312</v>
      </c>
      <c r="C2519">
        <v>9661.2999999999993</v>
      </c>
      <c r="D2519">
        <v>213</v>
      </c>
      <c r="E2519" s="1" t="s">
        <v>5453</v>
      </c>
      <c r="F2519" s="1" t="s">
        <v>15</v>
      </c>
      <c r="G2519" s="1" t="s">
        <v>32</v>
      </c>
      <c r="H2519">
        <v>112</v>
      </c>
      <c r="I2519">
        <v>53</v>
      </c>
      <c r="K2519" s="1" t="s">
        <v>23</v>
      </c>
      <c r="L2519" s="1" t="s">
        <v>24</v>
      </c>
      <c r="M2519" s="1" t="s">
        <v>5368</v>
      </c>
      <c r="N2519" s="1" t="s">
        <v>5454</v>
      </c>
    </row>
    <row r="2520" spans="1:14" x14ac:dyDescent="0.35">
      <c r="A2520">
        <v>7371434</v>
      </c>
      <c r="B2520" s="1" t="s">
        <v>5312</v>
      </c>
      <c r="C2520">
        <v>9661.2999999999993</v>
      </c>
      <c r="D2520">
        <v>213</v>
      </c>
      <c r="E2520" s="1" t="s">
        <v>5455</v>
      </c>
      <c r="F2520" s="1" t="s">
        <v>15</v>
      </c>
      <c r="G2520" s="1" t="s">
        <v>32</v>
      </c>
      <c r="H2520">
        <v>103</v>
      </c>
      <c r="I2520">
        <v>35</v>
      </c>
      <c r="J2520">
        <v>106</v>
      </c>
      <c r="K2520" s="1" t="s">
        <v>95</v>
      </c>
      <c r="L2520" s="1" t="s">
        <v>24</v>
      </c>
      <c r="M2520" s="1" t="s">
        <v>5368</v>
      </c>
      <c r="N2520" s="1" t="s">
        <v>5456</v>
      </c>
    </row>
    <row r="2521" spans="1:14" x14ac:dyDescent="0.35">
      <c r="A2521">
        <v>7371014</v>
      </c>
      <c r="B2521" s="1" t="s">
        <v>5312</v>
      </c>
      <c r="C2521">
        <v>9661.2999999999993</v>
      </c>
      <c r="D2521">
        <v>213</v>
      </c>
      <c r="E2521" s="1" t="s">
        <v>5457</v>
      </c>
      <c r="F2521" s="1" t="s">
        <v>15</v>
      </c>
      <c r="G2521" s="1" t="s">
        <v>32</v>
      </c>
      <c r="H2521">
        <v>127</v>
      </c>
      <c r="I2521">
        <v>19</v>
      </c>
      <c r="J2521">
        <v>285</v>
      </c>
      <c r="K2521" s="1" t="s">
        <v>124</v>
      </c>
      <c r="L2521" s="1" t="s">
        <v>24</v>
      </c>
      <c r="M2521" s="1" t="s">
        <v>5368</v>
      </c>
      <c r="N2521" s="1" t="s">
        <v>5458</v>
      </c>
    </row>
    <row r="2522" spans="1:14" x14ac:dyDescent="0.35">
      <c r="A2522">
        <v>7371400</v>
      </c>
      <c r="B2522" s="1" t="s">
        <v>5312</v>
      </c>
      <c r="C2522">
        <v>9661.2999999999993</v>
      </c>
      <c r="D2522">
        <v>213</v>
      </c>
      <c r="E2522" s="1" t="s">
        <v>5459</v>
      </c>
      <c r="F2522" s="1" t="s">
        <v>15</v>
      </c>
      <c r="G2522" s="1" t="s">
        <v>22</v>
      </c>
      <c r="H2522">
        <v>51</v>
      </c>
      <c r="I2522">
        <v>27</v>
      </c>
      <c r="J2522">
        <v>84</v>
      </c>
      <c r="K2522" s="1" t="s">
        <v>84</v>
      </c>
      <c r="L2522" s="1" t="s">
        <v>24</v>
      </c>
      <c r="M2522" s="1" t="s">
        <v>5368</v>
      </c>
      <c r="N2522" s="1" t="s">
        <v>5460</v>
      </c>
    </row>
    <row r="2523" spans="1:14" x14ac:dyDescent="0.35">
      <c r="A2523">
        <v>7371425</v>
      </c>
      <c r="B2523" s="1" t="s">
        <v>5312</v>
      </c>
      <c r="C2523">
        <v>9661.2999999999993</v>
      </c>
      <c r="D2523">
        <v>213</v>
      </c>
      <c r="E2523" s="1" t="s">
        <v>5461</v>
      </c>
      <c r="F2523" s="1" t="s">
        <v>15</v>
      </c>
      <c r="G2523" s="1" t="s">
        <v>22</v>
      </c>
      <c r="H2523">
        <v>87</v>
      </c>
      <c r="I2523">
        <v>23</v>
      </c>
      <c r="J2523">
        <v>44</v>
      </c>
      <c r="K2523" s="1" t="s">
        <v>23</v>
      </c>
      <c r="L2523" s="1" t="s">
        <v>24</v>
      </c>
      <c r="M2523" s="1" t="s">
        <v>5368</v>
      </c>
      <c r="N2523" s="1" t="s">
        <v>5462</v>
      </c>
    </row>
    <row r="2524" spans="1:14" x14ac:dyDescent="0.35">
      <c r="A2524">
        <v>7371448</v>
      </c>
      <c r="B2524" s="1" t="s">
        <v>5312</v>
      </c>
      <c r="C2524">
        <v>9661.2999999999993</v>
      </c>
      <c r="D2524">
        <v>213</v>
      </c>
      <c r="E2524" s="1" t="s">
        <v>5463</v>
      </c>
      <c r="F2524" s="1" t="s">
        <v>15</v>
      </c>
      <c r="G2524" s="1" t="s">
        <v>22</v>
      </c>
      <c r="H2524">
        <v>58</v>
      </c>
      <c r="I2524">
        <v>25</v>
      </c>
      <c r="K2524" s="1" t="s">
        <v>49</v>
      </c>
      <c r="L2524" s="1" t="s">
        <v>24</v>
      </c>
      <c r="M2524" s="1" t="s">
        <v>5368</v>
      </c>
      <c r="N2524" s="1" t="s">
        <v>5464</v>
      </c>
    </row>
    <row r="2525" spans="1:14" x14ac:dyDescent="0.35">
      <c r="A2525">
        <v>7371432</v>
      </c>
      <c r="B2525" s="1" t="s">
        <v>5312</v>
      </c>
      <c r="C2525">
        <v>9661.2999999999993</v>
      </c>
      <c r="D2525">
        <v>213</v>
      </c>
      <c r="E2525" s="1" t="s">
        <v>5465</v>
      </c>
      <c r="F2525" s="1" t="s">
        <v>15</v>
      </c>
      <c r="G2525" s="1" t="s">
        <v>22</v>
      </c>
      <c r="H2525">
        <v>57</v>
      </c>
      <c r="I2525">
        <v>45</v>
      </c>
      <c r="J2525">
        <v>18</v>
      </c>
      <c r="K2525" s="1" t="s">
        <v>23</v>
      </c>
      <c r="L2525" s="1" t="s">
        <v>24</v>
      </c>
      <c r="M2525" s="1" t="s">
        <v>5368</v>
      </c>
      <c r="N2525" s="1" t="s">
        <v>5466</v>
      </c>
    </row>
    <row r="2526" spans="1:14" x14ac:dyDescent="0.35">
      <c r="A2526">
        <v>7371351</v>
      </c>
      <c r="B2526" s="1" t="s">
        <v>5312</v>
      </c>
      <c r="C2526">
        <v>9661.2999999999993</v>
      </c>
      <c r="D2526">
        <v>213</v>
      </c>
      <c r="E2526" s="1" t="s">
        <v>5467</v>
      </c>
      <c r="F2526" s="1" t="s">
        <v>15</v>
      </c>
      <c r="G2526" s="1" t="s">
        <v>22</v>
      </c>
      <c r="H2526">
        <v>50</v>
      </c>
      <c r="I2526">
        <v>21</v>
      </c>
      <c r="J2526">
        <v>70</v>
      </c>
      <c r="K2526" s="1" t="s">
        <v>84</v>
      </c>
      <c r="L2526" s="1" t="s">
        <v>24</v>
      </c>
      <c r="M2526" s="1" t="s">
        <v>5368</v>
      </c>
      <c r="N2526" s="1" t="s">
        <v>5468</v>
      </c>
    </row>
    <row r="2527" spans="1:14" x14ac:dyDescent="0.35">
      <c r="A2527">
        <v>7373016</v>
      </c>
      <c r="B2527" s="1" t="s">
        <v>5312</v>
      </c>
      <c r="C2527">
        <v>9661.2999999999993</v>
      </c>
      <c r="D2527">
        <v>213</v>
      </c>
      <c r="E2527" s="1" t="s">
        <v>5469</v>
      </c>
      <c r="F2527" s="1" t="s">
        <v>15</v>
      </c>
      <c r="G2527" s="1" t="s">
        <v>16</v>
      </c>
      <c r="H2527">
        <v>272</v>
      </c>
      <c r="I2527">
        <v>36</v>
      </c>
      <c r="J2527">
        <v>1255</v>
      </c>
      <c r="K2527" s="1" t="s">
        <v>137</v>
      </c>
      <c r="L2527" s="1" t="s">
        <v>18</v>
      </c>
      <c r="M2527" s="1" t="s">
        <v>5470</v>
      </c>
      <c r="N2527" s="1" t="s">
        <v>5471</v>
      </c>
    </row>
    <row r="2528" spans="1:14" x14ac:dyDescent="0.35">
      <c r="A2528">
        <v>7373004</v>
      </c>
      <c r="B2528" s="1" t="s">
        <v>5312</v>
      </c>
      <c r="C2528">
        <v>9661.2999999999993</v>
      </c>
      <c r="D2528">
        <v>213</v>
      </c>
      <c r="E2528" s="1" t="s">
        <v>5472</v>
      </c>
      <c r="F2528" s="1" t="s">
        <v>15</v>
      </c>
      <c r="G2528" s="1" t="s">
        <v>32</v>
      </c>
      <c r="H2528">
        <v>190</v>
      </c>
      <c r="I2528">
        <v>40</v>
      </c>
      <c r="J2528">
        <v>196</v>
      </c>
      <c r="K2528" s="1" t="s">
        <v>23</v>
      </c>
      <c r="L2528" s="1" t="s">
        <v>24</v>
      </c>
      <c r="M2528" s="1" t="s">
        <v>5470</v>
      </c>
      <c r="N2528" s="1" t="s">
        <v>5473</v>
      </c>
    </row>
    <row r="2529" spans="1:14" x14ac:dyDescent="0.35">
      <c r="A2529">
        <v>7373064</v>
      </c>
      <c r="B2529" s="1" t="s">
        <v>5312</v>
      </c>
      <c r="C2529">
        <v>9661.2999999999993</v>
      </c>
      <c r="D2529">
        <v>213</v>
      </c>
      <c r="E2529" s="1" t="s">
        <v>5474</v>
      </c>
      <c r="F2529" s="1" t="s">
        <v>15</v>
      </c>
      <c r="G2529" s="1" t="s">
        <v>32</v>
      </c>
      <c r="H2529">
        <v>180</v>
      </c>
      <c r="I2529">
        <v>49</v>
      </c>
      <c r="J2529">
        <v>178</v>
      </c>
      <c r="K2529" s="1" t="s">
        <v>84</v>
      </c>
      <c r="L2529" s="1" t="s">
        <v>24</v>
      </c>
      <c r="M2529" s="1" t="s">
        <v>5470</v>
      </c>
      <c r="N2529" s="1" t="s">
        <v>5475</v>
      </c>
    </row>
    <row r="2530" spans="1:14" x14ac:dyDescent="0.35">
      <c r="A2530">
        <v>7373008</v>
      </c>
      <c r="B2530" s="1" t="s">
        <v>5312</v>
      </c>
      <c r="C2530">
        <v>9661.2999999999993</v>
      </c>
      <c r="D2530">
        <v>213</v>
      </c>
      <c r="E2530" s="1" t="s">
        <v>5476</v>
      </c>
      <c r="F2530" s="1" t="s">
        <v>15</v>
      </c>
      <c r="G2530" s="1" t="s">
        <v>32</v>
      </c>
      <c r="H2530">
        <v>148</v>
      </c>
      <c r="I2530">
        <v>27</v>
      </c>
      <c r="J2530">
        <v>120</v>
      </c>
      <c r="K2530" s="1" t="s">
        <v>137</v>
      </c>
      <c r="L2530" s="1" t="s">
        <v>18</v>
      </c>
      <c r="M2530" s="1" t="s">
        <v>5470</v>
      </c>
      <c r="N2530" s="1" t="s">
        <v>5477</v>
      </c>
    </row>
    <row r="2531" spans="1:14" x14ac:dyDescent="0.35">
      <c r="A2531">
        <v>7373007</v>
      </c>
      <c r="B2531" s="1" t="s">
        <v>5312</v>
      </c>
      <c r="C2531">
        <v>9661.2999999999993</v>
      </c>
      <c r="D2531">
        <v>213</v>
      </c>
      <c r="E2531" s="1" t="s">
        <v>5478</v>
      </c>
      <c r="F2531" s="1" t="s">
        <v>15</v>
      </c>
      <c r="G2531" s="1" t="s">
        <v>32</v>
      </c>
      <c r="H2531">
        <v>100</v>
      </c>
      <c r="I2531">
        <v>22</v>
      </c>
      <c r="J2531">
        <v>118</v>
      </c>
      <c r="K2531" s="1" t="s">
        <v>90</v>
      </c>
      <c r="L2531" s="1" t="s">
        <v>24</v>
      </c>
      <c r="M2531" s="1" t="s">
        <v>5470</v>
      </c>
      <c r="N2531" s="1" t="s">
        <v>5479</v>
      </c>
    </row>
    <row r="2532" spans="1:14" x14ac:dyDescent="0.35">
      <c r="A2532">
        <v>7373003</v>
      </c>
      <c r="B2532" s="1" t="s">
        <v>5312</v>
      </c>
      <c r="C2532">
        <v>9661.2999999999993</v>
      </c>
      <c r="D2532">
        <v>213</v>
      </c>
      <c r="E2532" s="1" t="s">
        <v>5480</v>
      </c>
      <c r="F2532" s="1" t="s">
        <v>15</v>
      </c>
      <c r="G2532" s="1" t="s">
        <v>32</v>
      </c>
      <c r="H2532">
        <v>101</v>
      </c>
      <c r="I2532">
        <v>17</v>
      </c>
      <c r="K2532" s="1" t="s">
        <v>90</v>
      </c>
      <c r="L2532" s="1" t="s">
        <v>120</v>
      </c>
      <c r="M2532" s="1" t="s">
        <v>5470</v>
      </c>
      <c r="N2532" s="1" t="s">
        <v>5481</v>
      </c>
    </row>
    <row r="2533" spans="1:14" x14ac:dyDescent="0.35">
      <c r="A2533">
        <v>7373005</v>
      </c>
      <c r="B2533" s="1" t="s">
        <v>5312</v>
      </c>
      <c r="C2533">
        <v>9661.2999999999993</v>
      </c>
      <c r="D2533">
        <v>213</v>
      </c>
      <c r="E2533" s="1" t="s">
        <v>5482</v>
      </c>
      <c r="F2533" s="1" t="s">
        <v>15</v>
      </c>
      <c r="G2533" s="1" t="s">
        <v>22</v>
      </c>
      <c r="H2533">
        <v>106</v>
      </c>
      <c r="I2533">
        <v>29</v>
      </c>
      <c r="J2533">
        <v>145</v>
      </c>
      <c r="K2533" s="1" t="s">
        <v>23</v>
      </c>
      <c r="L2533" s="1" t="s">
        <v>24</v>
      </c>
      <c r="M2533" s="1" t="s">
        <v>5470</v>
      </c>
      <c r="N2533" s="1" t="s">
        <v>5483</v>
      </c>
    </row>
    <row r="2534" spans="1:14" x14ac:dyDescent="0.35">
      <c r="A2534">
        <v>7372077</v>
      </c>
      <c r="B2534" s="1" t="s">
        <v>5312</v>
      </c>
      <c r="C2534">
        <v>9661.2999999999993</v>
      </c>
      <c r="D2534">
        <v>213</v>
      </c>
      <c r="E2534" s="1" t="s">
        <v>5484</v>
      </c>
      <c r="F2534" s="1" t="s">
        <v>71</v>
      </c>
      <c r="G2534" s="1" t="s">
        <v>32</v>
      </c>
      <c r="H2534">
        <v>32</v>
      </c>
      <c r="I2534">
        <v>11</v>
      </c>
      <c r="J2534">
        <v>41</v>
      </c>
      <c r="K2534" s="1" t="s">
        <v>23</v>
      </c>
      <c r="L2534" s="1" t="s">
        <v>24</v>
      </c>
      <c r="M2534" s="1" t="s">
        <v>5485</v>
      </c>
      <c r="N2534" s="1" t="s">
        <v>5486</v>
      </c>
    </row>
    <row r="2535" spans="1:14" x14ac:dyDescent="0.35">
      <c r="A2535">
        <v>7372075</v>
      </c>
      <c r="B2535" s="1" t="s">
        <v>5312</v>
      </c>
      <c r="C2535">
        <v>9661.2999999999993</v>
      </c>
      <c r="D2535">
        <v>213</v>
      </c>
      <c r="E2535" s="1" t="s">
        <v>5487</v>
      </c>
      <c r="F2535" s="1" t="s">
        <v>15</v>
      </c>
      <c r="G2535" s="1" t="s">
        <v>16</v>
      </c>
      <c r="H2535">
        <v>294</v>
      </c>
      <c r="I2535">
        <v>137</v>
      </c>
      <c r="J2535">
        <v>1246</v>
      </c>
      <c r="K2535" s="1" t="s">
        <v>137</v>
      </c>
      <c r="L2535" s="1" t="s">
        <v>18</v>
      </c>
      <c r="M2535" s="1" t="s">
        <v>5485</v>
      </c>
      <c r="N2535" s="1" t="s">
        <v>5488</v>
      </c>
    </row>
    <row r="2536" spans="1:14" x14ac:dyDescent="0.35">
      <c r="A2536">
        <v>7372078</v>
      </c>
      <c r="B2536" s="1" t="s">
        <v>5312</v>
      </c>
      <c r="C2536">
        <v>9661.2999999999993</v>
      </c>
      <c r="D2536">
        <v>213</v>
      </c>
      <c r="E2536" s="1" t="s">
        <v>5489</v>
      </c>
      <c r="F2536" s="1" t="s">
        <v>15</v>
      </c>
      <c r="G2536" s="1" t="s">
        <v>16</v>
      </c>
      <c r="H2536">
        <v>214</v>
      </c>
      <c r="I2536">
        <v>35</v>
      </c>
      <c r="J2536">
        <v>52</v>
      </c>
      <c r="K2536" s="1" t="s">
        <v>137</v>
      </c>
      <c r="L2536" s="1" t="s">
        <v>18</v>
      </c>
      <c r="M2536" s="1" t="s">
        <v>5485</v>
      </c>
      <c r="N2536" s="1" t="s">
        <v>5490</v>
      </c>
    </row>
    <row r="2537" spans="1:14" x14ac:dyDescent="0.35">
      <c r="A2537">
        <v>7372031</v>
      </c>
      <c r="B2537" s="1" t="s">
        <v>5312</v>
      </c>
      <c r="C2537">
        <v>9661.2999999999993</v>
      </c>
      <c r="D2537">
        <v>213</v>
      </c>
      <c r="E2537" s="1" t="s">
        <v>5491</v>
      </c>
      <c r="F2537" s="1" t="s">
        <v>15</v>
      </c>
      <c r="G2537" s="1" t="s">
        <v>32</v>
      </c>
      <c r="H2537">
        <v>136</v>
      </c>
      <c r="I2537">
        <v>23</v>
      </c>
      <c r="J2537">
        <v>290</v>
      </c>
      <c r="K2537" s="1" t="s">
        <v>27</v>
      </c>
      <c r="L2537" s="1" t="s">
        <v>24</v>
      </c>
      <c r="M2537" s="1" t="s">
        <v>5485</v>
      </c>
      <c r="N2537" s="1" t="s">
        <v>5492</v>
      </c>
    </row>
    <row r="2538" spans="1:14" x14ac:dyDescent="0.35">
      <c r="A2538">
        <v>7372020</v>
      </c>
      <c r="B2538" s="1" t="s">
        <v>5312</v>
      </c>
      <c r="C2538">
        <v>9661.2999999999993</v>
      </c>
      <c r="D2538">
        <v>213</v>
      </c>
      <c r="E2538" s="1" t="s">
        <v>5493</v>
      </c>
      <c r="F2538" s="1" t="s">
        <v>15</v>
      </c>
      <c r="G2538" s="1" t="s">
        <v>32</v>
      </c>
      <c r="H2538">
        <v>198</v>
      </c>
      <c r="I2538">
        <v>38</v>
      </c>
      <c r="J2538">
        <v>302</v>
      </c>
      <c r="K2538" s="1" t="s">
        <v>84</v>
      </c>
      <c r="L2538" s="1" t="s">
        <v>24</v>
      </c>
      <c r="M2538" s="1" t="s">
        <v>5485</v>
      </c>
      <c r="N2538" s="1" t="s">
        <v>5494</v>
      </c>
    </row>
    <row r="2539" spans="1:14" x14ac:dyDescent="0.35">
      <c r="A2539">
        <v>7317076</v>
      </c>
      <c r="B2539" s="1" t="s">
        <v>5312</v>
      </c>
      <c r="C2539">
        <v>9661.2999999999993</v>
      </c>
      <c r="D2539">
        <v>213</v>
      </c>
      <c r="E2539" s="1" t="s">
        <v>5495</v>
      </c>
      <c r="F2539" s="1" t="s">
        <v>15</v>
      </c>
      <c r="G2539" s="1" t="s">
        <v>32</v>
      </c>
      <c r="H2539">
        <v>139</v>
      </c>
      <c r="I2539">
        <v>28</v>
      </c>
      <c r="J2539">
        <v>130</v>
      </c>
      <c r="K2539" s="1" t="s">
        <v>90</v>
      </c>
      <c r="L2539" s="1" t="s">
        <v>24</v>
      </c>
      <c r="M2539" s="1" t="s">
        <v>5496</v>
      </c>
      <c r="N2539" s="1" t="s">
        <v>5497</v>
      </c>
    </row>
    <row r="2540" spans="1:14" x14ac:dyDescent="0.35">
      <c r="A2540">
        <v>7317075</v>
      </c>
      <c r="B2540" s="1" t="s">
        <v>5312</v>
      </c>
      <c r="C2540">
        <v>9661.2999999999993</v>
      </c>
      <c r="D2540">
        <v>213</v>
      </c>
      <c r="E2540" s="1" t="s">
        <v>5498</v>
      </c>
      <c r="F2540" s="1" t="s">
        <v>15</v>
      </c>
      <c r="G2540" s="1" t="s">
        <v>32</v>
      </c>
      <c r="H2540">
        <v>270</v>
      </c>
      <c r="I2540">
        <v>37</v>
      </c>
      <c r="J2540">
        <v>221</v>
      </c>
      <c r="K2540" s="1" t="s">
        <v>17</v>
      </c>
      <c r="L2540" s="1" t="s">
        <v>18</v>
      </c>
      <c r="M2540" s="1" t="s">
        <v>5496</v>
      </c>
      <c r="N2540" s="1" t="s">
        <v>5499</v>
      </c>
    </row>
    <row r="2541" spans="1:14" x14ac:dyDescent="0.35">
      <c r="A2541">
        <v>7317020</v>
      </c>
      <c r="B2541" s="1" t="s">
        <v>5312</v>
      </c>
      <c r="C2541">
        <v>9661.2999999999993</v>
      </c>
      <c r="D2541">
        <v>213</v>
      </c>
      <c r="E2541" s="1" t="s">
        <v>5500</v>
      </c>
      <c r="F2541" s="1" t="s">
        <v>15</v>
      </c>
      <c r="G2541" s="1" t="s">
        <v>32</v>
      </c>
      <c r="H2541">
        <v>86</v>
      </c>
      <c r="I2541">
        <v>35</v>
      </c>
      <c r="J2541">
        <v>277</v>
      </c>
      <c r="K2541" s="1" t="s">
        <v>90</v>
      </c>
      <c r="L2541" s="1" t="s">
        <v>24</v>
      </c>
      <c r="M2541" s="1" t="s">
        <v>5501</v>
      </c>
      <c r="N2541" s="1" t="s">
        <v>5502</v>
      </c>
    </row>
    <row r="2542" spans="1:14" x14ac:dyDescent="0.35">
      <c r="A2542">
        <v>7325016</v>
      </c>
      <c r="B2542" s="1" t="s">
        <v>5312</v>
      </c>
      <c r="C2542">
        <v>9661.2999999999993</v>
      </c>
      <c r="D2542">
        <v>213</v>
      </c>
      <c r="E2542" s="1" t="s">
        <v>5503</v>
      </c>
      <c r="F2542" s="1" t="s">
        <v>15</v>
      </c>
      <c r="G2542" s="1" t="s">
        <v>32</v>
      </c>
      <c r="H2542">
        <v>200</v>
      </c>
      <c r="I2542">
        <v>37</v>
      </c>
      <c r="J2542">
        <v>191</v>
      </c>
      <c r="K2542" s="1" t="s">
        <v>17</v>
      </c>
      <c r="L2542" s="1" t="s">
        <v>18</v>
      </c>
      <c r="M2542" s="1" t="s">
        <v>5501</v>
      </c>
      <c r="N2542" s="1" t="s">
        <v>5504</v>
      </c>
    </row>
    <row r="2543" spans="1:14" x14ac:dyDescent="0.35">
      <c r="A2543">
        <v>7322003</v>
      </c>
      <c r="B2543" s="1" t="s">
        <v>5312</v>
      </c>
      <c r="C2543">
        <v>9661.2999999999993</v>
      </c>
      <c r="D2543">
        <v>213</v>
      </c>
      <c r="E2543" s="1" t="s">
        <v>5505</v>
      </c>
      <c r="F2543" s="1" t="s">
        <v>15</v>
      </c>
      <c r="G2543" s="1" t="s">
        <v>32</v>
      </c>
      <c r="H2543">
        <v>125</v>
      </c>
      <c r="I2543">
        <v>21</v>
      </c>
      <c r="J2543">
        <v>147</v>
      </c>
      <c r="K2543" s="1" t="s">
        <v>23</v>
      </c>
      <c r="L2543" s="1" t="s">
        <v>24</v>
      </c>
      <c r="M2543" s="1" t="s">
        <v>5506</v>
      </c>
      <c r="N2543" s="1" t="s">
        <v>5507</v>
      </c>
    </row>
    <row r="2544" spans="1:14" x14ac:dyDescent="0.35">
      <c r="A2544">
        <v>7317053</v>
      </c>
      <c r="B2544" s="1" t="s">
        <v>5312</v>
      </c>
      <c r="C2544">
        <v>9661.2999999999993</v>
      </c>
      <c r="D2544">
        <v>213</v>
      </c>
      <c r="E2544" s="1" t="s">
        <v>5508</v>
      </c>
      <c r="F2544" s="1" t="s">
        <v>15</v>
      </c>
      <c r="G2544" s="1" t="s">
        <v>32</v>
      </c>
      <c r="H2544">
        <v>249</v>
      </c>
      <c r="I2544">
        <v>27</v>
      </c>
      <c r="J2544">
        <v>550</v>
      </c>
      <c r="K2544" s="1" t="s">
        <v>17</v>
      </c>
      <c r="L2544" s="1" t="s">
        <v>18</v>
      </c>
      <c r="M2544" s="1" t="s">
        <v>5506</v>
      </c>
      <c r="N2544" s="1" t="s">
        <v>5509</v>
      </c>
    </row>
    <row r="2545" spans="1:14" x14ac:dyDescent="0.35">
      <c r="A2545">
        <v>7322004</v>
      </c>
      <c r="B2545" s="1" t="s">
        <v>5312</v>
      </c>
      <c r="C2545">
        <v>9661.2999999999993</v>
      </c>
      <c r="D2545">
        <v>213</v>
      </c>
      <c r="E2545" s="1" t="s">
        <v>5510</v>
      </c>
      <c r="F2545" s="1" t="s">
        <v>15</v>
      </c>
      <c r="G2545" s="1" t="s">
        <v>22</v>
      </c>
      <c r="H2545">
        <v>128</v>
      </c>
      <c r="I2545">
        <v>18</v>
      </c>
      <c r="J2545">
        <v>38</v>
      </c>
      <c r="K2545" s="1" t="s">
        <v>23</v>
      </c>
      <c r="L2545" s="1" t="s">
        <v>120</v>
      </c>
      <c r="M2545" s="1" t="s">
        <v>5506</v>
      </c>
      <c r="N2545" s="1" t="s">
        <v>5511</v>
      </c>
    </row>
    <row r="2546" spans="1:14" x14ac:dyDescent="0.35">
      <c r="A2546">
        <v>7309044</v>
      </c>
      <c r="B2546" s="1" t="s">
        <v>5312</v>
      </c>
      <c r="C2546">
        <v>9661.2999999999993</v>
      </c>
      <c r="D2546">
        <v>213</v>
      </c>
      <c r="E2546" s="1" t="s">
        <v>5512</v>
      </c>
      <c r="F2546" s="1" t="s">
        <v>15</v>
      </c>
      <c r="G2546" s="1" t="s">
        <v>32</v>
      </c>
      <c r="H2546">
        <v>106</v>
      </c>
      <c r="I2546">
        <v>20</v>
      </c>
      <c r="J2546">
        <v>194</v>
      </c>
      <c r="K2546" s="1" t="s">
        <v>974</v>
      </c>
      <c r="L2546" s="1" t="s">
        <v>24</v>
      </c>
      <c r="M2546" s="1" t="s">
        <v>5513</v>
      </c>
      <c r="N2546" s="1" t="s">
        <v>5514</v>
      </c>
    </row>
    <row r="2547" spans="1:14" x14ac:dyDescent="0.35">
      <c r="A2547">
        <v>7309016</v>
      </c>
      <c r="B2547" s="1" t="s">
        <v>5312</v>
      </c>
      <c r="C2547">
        <v>9661.2999999999993</v>
      </c>
      <c r="D2547">
        <v>213</v>
      </c>
      <c r="E2547" s="1" t="s">
        <v>5515</v>
      </c>
      <c r="F2547" s="1" t="s">
        <v>15</v>
      </c>
      <c r="G2547" s="1" t="s">
        <v>32</v>
      </c>
      <c r="H2547">
        <v>180</v>
      </c>
      <c r="I2547">
        <v>63</v>
      </c>
      <c r="J2547">
        <v>688</v>
      </c>
      <c r="K2547" s="1" t="s">
        <v>17</v>
      </c>
      <c r="L2547" s="1" t="s">
        <v>18</v>
      </c>
      <c r="M2547" s="1" t="s">
        <v>5513</v>
      </c>
      <c r="N2547" s="1" t="s">
        <v>5516</v>
      </c>
    </row>
    <row r="2548" spans="1:14" x14ac:dyDescent="0.35">
      <c r="A2548">
        <v>7310016</v>
      </c>
      <c r="B2548" s="1" t="s">
        <v>5312</v>
      </c>
      <c r="C2548">
        <v>9661.2999999999993</v>
      </c>
      <c r="D2548">
        <v>213</v>
      </c>
      <c r="E2548" s="1" t="s">
        <v>5517</v>
      </c>
      <c r="F2548" s="1" t="s">
        <v>15</v>
      </c>
      <c r="G2548" s="1" t="s">
        <v>32</v>
      </c>
      <c r="H2548">
        <v>200</v>
      </c>
      <c r="I2548">
        <v>39</v>
      </c>
      <c r="J2548">
        <v>365</v>
      </c>
      <c r="K2548" s="1" t="s">
        <v>17</v>
      </c>
      <c r="L2548" s="1" t="s">
        <v>18</v>
      </c>
      <c r="M2548" s="1" t="s">
        <v>5518</v>
      </c>
      <c r="N2548" s="1" t="s">
        <v>5519</v>
      </c>
    </row>
    <row r="2549" spans="1:14" x14ac:dyDescent="0.35">
      <c r="A2549">
        <v>7310021</v>
      </c>
      <c r="B2549" s="1" t="s">
        <v>5312</v>
      </c>
      <c r="C2549">
        <v>9661.2999999999993</v>
      </c>
      <c r="D2549">
        <v>213</v>
      </c>
      <c r="E2549" s="1" t="s">
        <v>5520</v>
      </c>
      <c r="F2549" s="1" t="s">
        <v>15</v>
      </c>
      <c r="G2549" s="1" t="s">
        <v>22</v>
      </c>
      <c r="H2549">
        <v>50</v>
      </c>
      <c r="I2549">
        <v>15</v>
      </c>
      <c r="J2549">
        <v>109</v>
      </c>
      <c r="K2549" s="1" t="s">
        <v>17</v>
      </c>
      <c r="L2549" s="1" t="s">
        <v>120</v>
      </c>
      <c r="M2549" s="1" t="s">
        <v>5518</v>
      </c>
      <c r="N2549" s="1" t="s">
        <v>5521</v>
      </c>
    </row>
    <row r="2550" spans="1:14" x14ac:dyDescent="0.35">
      <c r="A2550">
        <v>7310032</v>
      </c>
      <c r="B2550" s="1" t="s">
        <v>5312</v>
      </c>
      <c r="C2550">
        <v>9661.2999999999993</v>
      </c>
      <c r="D2550">
        <v>213</v>
      </c>
      <c r="E2550" s="1" t="s">
        <v>5522</v>
      </c>
      <c r="F2550" s="1" t="s">
        <v>15</v>
      </c>
      <c r="G2550" s="1" t="s">
        <v>52</v>
      </c>
      <c r="H2550">
        <v>24</v>
      </c>
      <c r="I2550">
        <v>6</v>
      </c>
      <c r="K2550" s="1" t="s">
        <v>17</v>
      </c>
      <c r="L2550" s="1" t="s">
        <v>24</v>
      </c>
      <c r="M2550" s="1" t="s">
        <v>5518</v>
      </c>
      <c r="N2550" s="1" t="s">
        <v>5523</v>
      </c>
    </row>
    <row r="2551" spans="1:14" x14ac:dyDescent="0.35">
      <c r="A2551">
        <v>7315014</v>
      </c>
      <c r="B2551" s="1" t="s">
        <v>5312</v>
      </c>
      <c r="C2551">
        <v>9661.2999999999993</v>
      </c>
      <c r="D2551">
        <v>213</v>
      </c>
      <c r="E2551" s="1" t="s">
        <v>5524</v>
      </c>
      <c r="F2551" s="1" t="s">
        <v>15</v>
      </c>
      <c r="G2551" s="1" t="s">
        <v>32</v>
      </c>
      <c r="H2551">
        <v>191</v>
      </c>
      <c r="I2551">
        <v>42</v>
      </c>
      <c r="J2551">
        <v>421</v>
      </c>
      <c r="K2551" s="1" t="s">
        <v>17</v>
      </c>
      <c r="L2551" s="1" t="s">
        <v>18</v>
      </c>
      <c r="M2551" s="1" t="s">
        <v>5525</v>
      </c>
      <c r="N2551" s="1" t="s">
        <v>5526</v>
      </c>
    </row>
    <row r="2552" spans="1:14" x14ac:dyDescent="0.35">
      <c r="A2552">
        <v>7315018</v>
      </c>
      <c r="B2552" s="1" t="s">
        <v>5312</v>
      </c>
      <c r="C2552">
        <v>9661.2999999999993</v>
      </c>
      <c r="D2552">
        <v>213</v>
      </c>
      <c r="E2552" s="1" t="s">
        <v>5527</v>
      </c>
      <c r="F2552" s="1" t="s">
        <v>15</v>
      </c>
      <c r="G2552" s="1" t="s">
        <v>22</v>
      </c>
      <c r="H2552">
        <v>83</v>
      </c>
      <c r="I2552">
        <v>24</v>
      </c>
      <c r="J2552">
        <v>86</v>
      </c>
      <c r="K2552" s="1" t="s">
        <v>17</v>
      </c>
      <c r="L2552" s="1" t="s">
        <v>18</v>
      </c>
      <c r="M2552" s="1" t="s">
        <v>5525</v>
      </c>
      <c r="N2552" s="1" t="s">
        <v>5528</v>
      </c>
    </row>
    <row r="2553" spans="1:14" x14ac:dyDescent="0.35">
      <c r="A2553">
        <v>7315016</v>
      </c>
      <c r="B2553" s="1" t="s">
        <v>5312</v>
      </c>
      <c r="C2553">
        <v>9661.2999999999993</v>
      </c>
      <c r="D2553">
        <v>213</v>
      </c>
      <c r="E2553" s="1" t="s">
        <v>5529</v>
      </c>
      <c r="F2553" s="1" t="s">
        <v>15</v>
      </c>
      <c r="G2553" s="1" t="s">
        <v>22</v>
      </c>
      <c r="H2553">
        <v>53</v>
      </c>
      <c r="I2553">
        <v>22</v>
      </c>
      <c r="J2553">
        <v>68</v>
      </c>
      <c r="K2553" s="1" t="s">
        <v>444</v>
      </c>
      <c r="L2553" s="1" t="s">
        <v>24</v>
      </c>
      <c r="M2553" s="1" t="s">
        <v>5525</v>
      </c>
      <c r="N2553" s="1" t="s">
        <v>5530</v>
      </c>
    </row>
    <row r="2554" spans="1:14" x14ac:dyDescent="0.35">
      <c r="A2554">
        <v>7314013</v>
      </c>
      <c r="B2554" s="1" t="s">
        <v>5312</v>
      </c>
      <c r="C2554">
        <v>9661.2999999999993</v>
      </c>
      <c r="D2554">
        <v>213</v>
      </c>
      <c r="E2554" s="1" t="s">
        <v>5531</v>
      </c>
      <c r="F2554" s="1" t="s">
        <v>15</v>
      </c>
      <c r="G2554" s="1" t="s">
        <v>32</v>
      </c>
      <c r="H2554">
        <v>192</v>
      </c>
      <c r="I2554">
        <v>34</v>
      </c>
      <c r="J2554">
        <v>623</v>
      </c>
      <c r="K2554" s="1" t="s">
        <v>17</v>
      </c>
      <c r="L2554" s="1" t="s">
        <v>18</v>
      </c>
      <c r="M2554" s="1" t="s">
        <v>5532</v>
      </c>
      <c r="N2554" s="1" t="s">
        <v>5533</v>
      </c>
    </row>
    <row r="2555" spans="1:14" x14ac:dyDescent="0.35">
      <c r="A2555">
        <v>7314024</v>
      </c>
      <c r="B2555" s="1" t="s">
        <v>5312</v>
      </c>
      <c r="C2555">
        <v>9661.2999999999993</v>
      </c>
      <c r="D2555">
        <v>213</v>
      </c>
      <c r="E2555" s="1" t="s">
        <v>5534</v>
      </c>
      <c r="F2555" s="1" t="s">
        <v>15</v>
      </c>
      <c r="G2555" s="1" t="s">
        <v>32</v>
      </c>
      <c r="H2555">
        <v>147</v>
      </c>
      <c r="I2555">
        <v>30</v>
      </c>
      <c r="J2555">
        <v>462</v>
      </c>
      <c r="K2555" s="1" t="s">
        <v>17</v>
      </c>
      <c r="L2555" s="1" t="s">
        <v>18</v>
      </c>
      <c r="M2555" s="1" t="s">
        <v>5532</v>
      </c>
      <c r="N2555" s="1" t="s">
        <v>5535</v>
      </c>
    </row>
    <row r="2556" spans="1:14" x14ac:dyDescent="0.35">
      <c r="A2556">
        <v>7314036</v>
      </c>
      <c r="B2556" s="1" t="s">
        <v>5312</v>
      </c>
      <c r="C2556">
        <v>9661.2999999999993</v>
      </c>
      <c r="D2556">
        <v>213</v>
      </c>
      <c r="E2556" s="1" t="s">
        <v>5536</v>
      </c>
      <c r="F2556" s="1" t="s">
        <v>15</v>
      </c>
      <c r="G2556" s="1" t="s">
        <v>22</v>
      </c>
      <c r="H2556">
        <v>82</v>
      </c>
      <c r="I2556">
        <v>22</v>
      </c>
      <c r="K2556" s="1" t="s">
        <v>95</v>
      </c>
      <c r="L2556" s="1" t="s">
        <v>24</v>
      </c>
      <c r="M2556" s="1" t="s">
        <v>5532</v>
      </c>
      <c r="N2556" s="1" t="s">
        <v>5537</v>
      </c>
    </row>
    <row r="2557" spans="1:14" x14ac:dyDescent="0.35">
      <c r="A2557">
        <v>7314025</v>
      </c>
      <c r="B2557" s="1" t="s">
        <v>5312</v>
      </c>
      <c r="C2557">
        <v>9661.2999999999993</v>
      </c>
      <c r="D2557">
        <v>213</v>
      </c>
      <c r="E2557" s="1" t="s">
        <v>5538</v>
      </c>
      <c r="F2557" s="1" t="s">
        <v>15</v>
      </c>
      <c r="G2557" s="1" t="s">
        <v>22</v>
      </c>
      <c r="H2557">
        <v>75</v>
      </c>
      <c r="I2557">
        <v>24</v>
      </c>
      <c r="J2557">
        <v>76</v>
      </c>
      <c r="K2557" s="1" t="s">
        <v>23</v>
      </c>
      <c r="L2557" s="1" t="s">
        <v>24</v>
      </c>
      <c r="M2557" s="1" t="s">
        <v>5532</v>
      </c>
      <c r="N2557" s="1" t="s">
        <v>5539</v>
      </c>
    </row>
    <row r="2558" spans="1:14" x14ac:dyDescent="0.35">
      <c r="A2558">
        <v>7307014</v>
      </c>
      <c r="B2558" s="1" t="s">
        <v>5312</v>
      </c>
      <c r="C2558">
        <v>9661.2999999999993</v>
      </c>
      <c r="D2558">
        <v>213</v>
      </c>
      <c r="E2558" s="1" t="s">
        <v>5540</v>
      </c>
      <c r="F2558" s="1" t="s">
        <v>15</v>
      </c>
      <c r="G2558" s="1" t="s">
        <v>32</v>
      </c>
      <c r="H2558">
        <v>219</v>
      </c>
      <c r="I2558">
        <v>31</v>
      </c>
      <c r="J2558">
        <v>534</v>
      </c>
      <c r="K2558" s="1" t="s">
        <v>17</v>
      </c>
      <c r="L2558" s="1" t="s">
        <v>18</v>
      </c>
      <c r="M2558" s="1" t="s">
        <v>5541</v>
      </c>
      <c r="N2558" s="1" t="s">
        <v>5542</v>
      </c>
    </row>
    <row r="2559" spans="1:14" x14ac:dyDescent="0.35">
      <c r="A2559">
        <v>7307025</v>
      </c>
      <c r="B2559" s="1" t="s">
        <v>5312</v>
      </c>
      <c r="C2559">
        <v>9661.2999999999993</v>
      </c>
      <c r="D2559">
        <v>213</v>
      </c>
      <c r="E2559" s="1" t="s">
        <v>5543</v>
      </c>
      <c r="F2559" s="1" t="s">
        <v>15</v>
      </c>
      <c r="G2559" s="1" t="s">
        <v>52</v>
      </c>
      <c r="H2559">
        <v>30</v>
      </c>
      <c r="I2559">
        <v>14</v>
      </c>
      <c r="K2559" s="1" t="s">
        <v>17</v>
      </c>
      <c r="L2559" s="1" t="s">
        <v>24</v>
      </c>
      <c r="M2559" s="1" t="s">
        <v>5541</v>
      </c>
      <c r="N2559" s="1" t="s">
        <v>5544</v>
      </c>
    </row>
    <row r="2560" spans="1:14" x14ac:dyDescent="0.35">
      <c r="A2560">
        <v>7312011</v>
      </c>
      <c r="B2560" s="1" t="s">
        <v>5312</v>
      </c>
      <c r="C2560">
        <v>9661.2999999999993</v>
      </c>
      <c r="D2560">
        <v>213</v>
      </c>
      <c r="E2560" s="1" t="s">
        <v>5545</v>
      </c>
      <c r="F2560" s="1" t="s">
        <v>15</v>
      </c>
      <c r="G2560" s="1" t="s">
        <v>16</v>
      </c>
      <c r="H2560">
        <v>264</v>
      </c>
      <c r="I2560">
        <v>101</v>
      </c>
      <c r="J2560">
        <v>910</v>
      </c>
      <c r="K2560" s="1" t="s">
        <v>17</v>
      </c>
      <c r="L2560" s="1" t="s">
        <v>18</v>
      </c>
      <c r="M2560" s="1" t="s">
        <v>5546</v>
      </c>
      <c r="N2560" s="1" t="s">
        <v>5547</v>
      </c>
    </row>
    <row r="2561" spans="1:14" x14ac:dyDescent="0.35">
      <c r="A2561">
        <v>7305015</v>
      </c>
      <c r="B2561" s="1" t="s">
        <v>5312</v>
      </c>
      <c r="C2561">
        <v>9661.2999999999993</v>
      </c>
      <c r="D2561">
        <v>213</v>
      </c>
      <c r="E2561" s="1" t="s">
        <v>5548</v>
      </c>
      <c r="F2561" s="1" t="s">
        <v>71</v>
      </c>
      <c r="G2561" s="1" t="s">
        <v>32</v>
      </c>
      <c r="H2561">
        <v>10</v>
      </c>
      <c r="I2561">
        <v>9</v>
      </c>
      <c r="J2561">
        <v>22</v>
      </c>
      <c r="K2561" s="1" t="s">
        <v>17</v>
      </c>
      <c r="L2561" s="1" t="s">
        <v>24</v>
      </c>
      <c r="M2561" s="1" t="s">
        <v>5549</v>
      </c>
      <c r="N2561" s="1" t="s">
        <v>5550</v>
      </c>
    </row>
    <row r="2562" spans="1:14" x14ac:dyDescent="0.35">
      <c r="A2562">
        <v>7305026</v>
      </c>
      <c r="B2562" s="1" t="s">
        <v>5312</v>
      </c>
      <c r="C2562">
        <v>9661.2999999999993</v>
      </c>
      <c r="D2562">
        <v>213</v>
      </c>
      <c r="E2562" s="1" t="s">
        <v>5551</v>
      </c>
      <c r="F2562" s="1" t="s">
        <v>15</v>
      </c>
      <c r="G2562" s="1" t="s">
        <v>32</v>
      </c>
      <c r="H2562">
        <v>116</v>
      </c>
      <c r="I2562">
        <v>37</v>
      </c>
      <c r="K2562" s="1" t="s">
        <v>17</v>
      </c>
      <c r="L2562" s="1" t="s">
        <v>24</v>
      </c>
      <c r="M2562" s="1" t="s">
        <v>5549</v>
      </c>
      <c r="N2562" s="1" t="s">
        <v>5552</v>
      </c>
    </row>
    <row r="2563" spans="1:14" x14ac:dyDescent="0.35">
      <c r="A2563">
        <v>7305012</v>
      </c>
      <c r="B2563" s="1" t="s">
        <v>5312</v>
      </c>
      <c r="C2563">
        <v>9661.2999999999993</v>
      </c>
      <c r="D2563">
        <v>213</v>
      </c>
      <c r="E2563" s="1" t="s">
        <v>5553</v>
      </c>
      <c r="F2563" s="1" t="s">
        <v>15</v>
      </c>
      <c r="G2563" s="1" t="s">
        <v>32</v>
      </c>
      <c r="H2563">
        <v>200</v>
      </c>
      <c r="I2563">
        <v>32</v>
      </c>
      <c r="J2563">
        <v>732</v>
      </c>
      <c r="K2563" s="1" t="s">
        <v>17</v>
      </c>
      <c r="L2563" s="1" t="s">
        <v>18</v>
      </c>
      <c r="M2563" s="1" t="s">
        <v>5549</v>
      </c>
      <c r="N2563" s="1" t="s">
        <v>5554</v>
      </c>
    </row>
    <row r="2564" spans="1:14" x14ac:dyDescent="0.35">
      <c r="A2564">
        <v>7305013</v>
      </c>
      <c r="B2564" s="1" t="s">
        <v>5312</v>
      </c>
      <c r="C2564">
        <v>9661.2999999999993</v>
      </c>
      <c r="D2564">
        <v>213</v>
      </c>
      <c r="E2564" s="1" t="s">
        <v>5555</v>
      </c>
      <c r="F2564" s="1" t="s">
        <v>15</v>
      </c>
      <c r="G2564" s="1" t="s">
        <v>22</v>
      </c>
      <c r="H2564">
        <v>126</v>
      </c>
      <c r="I2564">
        <v>26</v>
      </c>
      <c r="J2564">
        <v>138</v>
      </c>
      <c r="K2564" s="1" t="s">
        <v>23</v>
      </c>
      <c r="L2564" s="1" t="s">
        <v>24</v>
      </c>
      <c r="M2564" s="1" t="s">
        <v>5549</v>
      </c>
      <c r="N2564" s="1" t="s">
        <v>5556</v>
      </c>
    </row>
    <row r="2565" spans="1:14" x14ac:dyDescent="0.35">
      <c r="A2565">
        <v>7305014</v>
      </c>
      <c r="B2565" s="1" t="s">
        <v>5312</v>
      </c>
      <c r="C2565">
        <v>9661.2999999999993</v>
      </c>
      <c r="D2565">
        <v>213</v>
      </c>
      <c r="E2565" s="1" t="s">
        <v>5557</v>
      </c>
      <c r="F2565" s="1" t="s">
        <v>15</v>
      </c>
      <c r="G2565" s="1" t="s">
        <v>52</v>
      </c>
      <c r="H2565">
        <v>14</v>
      </c>
      <c r="I2565">
        <v>13</v>
      </c>
      <c r="J2565">
        <v>25</v>
      </c>
      <c r="K2565" s="1" t="s">
        <v>17</v>
      </c>
      <c r="L2565" s="1" t="s">
        <v>24</v>
      </c>
      <c r="M2565" s="1" t="s">
        <v>5549</v>
      </c>
      <c r="N2565" s="1" t="s">
        <v>5558</v>
      </c>
    </row>
    <row r="2566" spans="1:14" x14ac:dyDescent="0.35">
      <c r="A2566">
        <v>7318054</v>
      </c>
      <c r="B2566" s="1" t="s">
        <v>5312</v>
      </c>
      <c r="C2566">
        <v>9661.2999999999993</v>
      </c>
      <c r="D2566">
        <v>213</v>
      </c>
      <c r="E2566" s="1" t="s">
        <v>5559</v>
      </c>
      <c r="F2566" s="1" t="s">
        <v>15</v>
      </c>
      <c r="G2566" s="1" t="s">
        <v>32</v>
      </c>
      <c r="H2566">
        <v>200</v>
      </c>
      <c r="I2566">
        <v>105</v>
      </c>
      <c r="J2566">
        <v>499</v>
      </c>
      <c r="K2566" s="1" t="s">
        <v>17</v>
      </c>
      <c r="L2566" s="1" t="s">
        <v>18</v>
      </c>
      <c r="M2566" s="1" t="s">
        <v>5560</v>
      </c>
      <c r="N2566" s="1" t="s">
        <v>5561</v>
      </c>
    </row>
    <row r="2567" spans="1:14" x14ac:dyDescent="0.35">
      <c r="A2567">
        <v>7318021</v>
      </c>
      <c r="B2567" s="1" t="s">
        <v>5312</v>
      </c>
      <c r="C2567">
        <v>9661.2999999999993</v>
      </c>
      <c r="D2567">
        <v>213</v>
      </c>
      <c r="E2567" s="1" t="s">
        <v>5562</v>
      </c>
      <c r="F2567" s="1" t="s">
        <v>15</v>
      </c>
      <c r="G2567" s="1" t="s">
        <v>32</v>
      </c>
      <c r="H2567">
        <v>115</v>
      </c>
      <c r="I2567">
        <v>26</v>
      </c>
      <c r="J2567">
        <v>175</v>
      </c>
      <c r="K2567" s="1" t="s">
        <v>84</v>
      </c>
      <c r="L2567" s="1" t="s">
        <v>24</v>
      </c>
      <c r="M2567" s="1" t="s">
        <v>5560</v>
      </c>
      <c r="N2567" s="1" t="s">
        <v>5563</v>
      </c>
    </row>
    <row r="2568" spans="1:14" x14ac:dyDescent="0.35">
      <c r="A2568">
        <v>7318056</v>
      </c>
      <c r="B2568" s="1" t="s">
        <v>5312</v>
      </c>
      <c r="C2568">
        <v>9661.2999999999993</v>
      </c>
      <c r="D2568">
        <v>213</v>
      </c>
      <c r="E2568" s="1" t="s">
        <v>5564</v>
      </c>
      <c r="F2568" s="1" t="s">
        <v>15</v>
      </c>
      <c r="G2568" s="1" t="s">
        <v>32</v>
      </c>
      <c r="H2568">
        <v>111</v>
      </c>
      <c r="I2568">
        <v>30</v>
      </c>
      <c r="J2568">
        <v>82</v>
      </c>
      <c r="K2568" s="1" t="s">
        <v>95</v>
      </c>
      <c r="L2568" s="1" t="s">
        <v>24</v>
      </c>
      <c r="M2568" s="1" t="s">
        <v>5560</v>
      </c>
      <c r="N2568" s="1" t="s">
        <v>5565</v>
      </c>
    </row>
    <row r="2569" spans="1:14" x14ac:dyDescent="0.35">
      <c r="A2569">
        <v>7326002</v>
      </c>
      <c r="B2569" s="1" t="s">
        <v>5312</v>
      </c>
      <c r="C2569">
        <v>9661.2999999999993</v>
      </c>
      <c r="D2569">
        <v>213</v>
      </c>
      <c r="E2569" s="1" t="s">
        <v>5566</v>
      </c>
      <c r="F2569" s="1" t="s">
        <v>15</v>
      </c>
      <c r="G2569" s="1" t="s">
        <v>32</v>
      </c>
      <c r="H2569">
        <v>117</v>
      </c>
      <c r="I2569">
        <v>26</v>
      </c>
      <c r="J2569">
        <v>148</v>
      </c>
      <c r="K2569" s="1" t="s">
        <v>17</v>
      </c>
      <c r="L2569" s="1" t="s">
        <v>24</v>
      </c>
      <c r="M2569" s="1" t="s">
        <v>5567</v>
      </c>
      <c r="N2569" s="1" t="s">
        <v>5568</v>
      </c>
    </row>
    <row r="2570" spans="1:14" x14ac:dyDescent="0.35">
      <c r="A2570">
        <v>7318010</v>
      </c>
      <c r="B2570" s="1" t="s">
        <v>5312</v>
      </c>
      <c r="C2570">
        <v>9661.2999999999993</v>
      </c>
      <c r="D2570">
        <v>213</v>
      </c>
      <c r="E2570" s="1" t="s">
        <v>5569</v>
      </c>
      <c r="F2570" s="1" t="s">
        <v>15</v>
      </c>
      <c r="G2570" s="1" t="s">
        <v>32</v>
      </c>
      <c r="H2570">
        <v>173</v>
      </c>
      <c r="I2570">
        <v>43</v>
      </c>
      <c r="J2570">
        <v>175</v>
      </c>
      <c r="K2570" s="1" t="s">
        <v>84</v>
      </c>
      <c r="L2570" s="1" t="s">
        <v>24</v>
      </c>
      <c r="M2570" s="1" t="s">
        <v>5567</v>
      </c>
      <c r="N2570" s="1" t="s">
        <v>5570</v>
      </c>
    </row>
    <row r="2571" spans="1:14" x14ac:dyDescent="0.35">
      <c r="A2571">
        <v>7326003</v>
      </c>
      <c r="B2571" s="1" t="s">
        <v>5312</v>
      </c>
      <c r="C2571">
        <v>9661.2999999999993</v>
      </c>
      <c r="D2571">
        <v>213</v>
      </c>
      <c r="E2571" s="1" t="s">
        <v>5571</v>
      </c>
      <c r="F2571" s="1" t="s">
        <v>15</v>
      </c>
      <c r="G2571" s="1" t="s">
        <v>22</v>
      </c>
      <c r="H2571">
        <v>63</v>
      </c>
      <c r="I2571">
        <v>24</v>
      </c>
      <c r="K2571" s="1" t="s">
        <v>572</v>
      </c>
      <c r="L2571" s="1" t="s">
        <v>24</v>
      </c>
      <c r="M2571" s="1" t="s">
        <v>5567</v>
      </c>
      <c r="N2571" s="1" t="s">
        <v>5572</v>
      </c>
    </row>
    <row r="2572" spans="1:14" x14ac:dyDescent="0.35">
      <c r="A2572">
        <v>7313012</v>
      </c>
      <c r="B2572" s="1" t="s">
        <v>5312</v>
      </c>
      <c r="C2572">
        <v>9661.2999999999993</v>
      </c>
      <c r="D2572">
        <v>213</v>
      </c>
      <c r="E2572" s="1" t="s">
        <v>5573</v>
      </c>
      <c r="F2572" s="1" t="s">
        <v>15</v>
      </c>
      <c r="G2572" s="1" t="s">
        <v>32</v>
      </c>
      <c r="H2572">
        <v>201</v>
      </c>
      <c r="I2572">
        <v>25</v>
      </c>
      <c r="J2572">
        <v>227</v>
      </c>
      <c r="K2572" s="1" t="s">
        <v>17</v>
      </c>
      <c r="L2572" s="1" t="s">
        <v>18</v>
      </c>
      <c r="M2572" s="1" t="s">
        <v>5574</v>
      </c>
      <c r="N2572" s="1" t="s">
        <v>5575</v>
      </c>
    </row>
    <row r="2573" spans="1:14" x14ac:dyDescent="0.35">
      <c r="A2573">
        <v>7313023</v>
      </c>
      <c r="B2573" s="1" t="s">
        <v>5312</v>
      </c>
      <c r="C2573">
        <v>9661.2999999999993</v>
      </c>
      <c r="D2573">
        <v>213</v>
      </c>
      <c r="E2573" s="1" t="s">
        <v>5576</v>
      </c>
      <c r="F2573" s="1" t="s">
        <v>15</v>
      </c>
      <c r="G2573" s="1" t="s">
        <v>32</v>
      </c>
      <c r="H2573">
        <v>102</v>
      </c>
      <c r="I2573">
        <v>18</v>
      </c>
      <c r="J2573">
        <v>117</v>
      </c>
      <c r="K2573" s="1" t="s">
        <v>17</v>
      </c>
      <c r="L2573" s="1" t="s">
        <v>18</v>
      </c>
      <c r="M2573" s="1" t="s">
        <v>5574</v>
      </c>
      <c r="N2573" s="1" t="s">
        <v>5577</v>
      </c>
    </row>
    <row r="2574" spans="1:14" x14ac:dyDescent="0.35">
      <c r="A2574">
        <v>7313024</v>
      </c>
      <c r="B2574" s="1" t="s">
        <v>5312</v>
      </c>
      <c r="C2574">
        <v>9661.2999999999993</v>
      </c>
      <c r="D2574">
        <v>213</v>
      </c>
      <c r="E2574" s="1" t="s">
        <v>5578</v>
      </c>
      <c r="F2574" s="1" t="s">
        <v>15</v>
      </c>
      <c r="G2574" s="1" t="s">
        <v>22</v>
      </c>
      <c r="H2574">
        <v>67</v>
      </c>
      <c r="I2574">
        <v>23</v>
      </c>
      <c r="K2574" s="1" t="s">
        <v>90</v>
      </c>
      <c r="L2574" s="1" t="s">
        <v>24</v>
      </c>
      <c r="M2574" s="1" t="s">
        <v>5574</v>
      </c>
      <c r="N2574" s="1" t="s">
        <v>5579</v>
      </c>
    </row>
    <row r="2575" spans="1:14" x14ac:dyDescent="0.35">
      <c r="A2575">
        <v>7202015</v>
      </c>
      <c r="B2575" s="1" t="s">
        <v>5580</v>
      </c>
      <c r="C2575">
        <v>3189.8</v>
      </c>
      <c r="D2575">
        <v>52</v>
      </c>
      <c r="E2575" s="1" t="s">
        <v>5581</v>
      </c>
      <c r="F2575" s="1" t="s">
        <v>15</v>
      </c>
      <c r="G2575" s="1" t="s">
        <v>16</v>
      </c>
      <c r="H2575">
        <v>311</v>
      </c>
      <c r="I2575">
        <v>35</v>
      </c>
      <c r="J2575">
        <v>266</v>
      </c>
      <c r="K2575" s="1" t="s">
        <v>17</v>
      </c>
      <c r="L2575" s="1" t="s">
        <v>18</v>
      </c>
      <c r="M2575" s="1" t="s">
        <v>5582</v>
      </c>
      <c r="N2575" s="1" t="s">
        <v>5583</v>
      </c>
    </row>
    <row r="2576" spans="1:14" x14ac:dyDescent="0.35">
      <c r="A2576">
        <v>7202017</v>
      </c>
      <c r="B2576" s="1" t="s">
        <v>5580</v>
      </c>
      <c r="C2576">
        <v>3189.8</v>
      </c>
      <c r="D2576">
        <v>52</v>
      </c>
      <c r="E2576" s="1" t="s">
        <v>5584</v>
      </c>
      <c r="F2576" s="1" t="s">
        <v>15</v>
      </c>
      <c r="G2576" s="1" t="s">
        <v>22</v>
      </c>
      <c r="H2576">
        <v>55</v>
      </c>
      <c r="I2576">
        <v>21</v>
      </c>
      <c r="J2576">
        <v>45</v>
      </c>
      <c r="K2576" s="1" t="s">
        <v>90</v>
      </c>
      <c r="L2576" s="1" t="s">
        <v>24</v>
      </c>
      <c r="M2576" s="1" t="s">
        <v>5582</v>
      </c>
      <c r="N2576" s="1" t="s">
        <v>5585</v>
      </c>
    </row>
    <row r="2577" spans="1:14" x14ac:dyDescent="0.35">
      <c r="A2577">
        <v>7202016</v>
      </c>
      <c r="B2577" s="1" t="s">
        <v>5580</v>
      </c>
      <c r="C2577">
        <v>3189.8</v>
      </c>
      <c r="D2577">
        <v>52</v>
      </c>
      <c r="E2577" s="1" t="s">
        <v>5586</v>
      </c>
      <c r="F2577" s="1" t="s">
        <v>15</v>
      </c>
      <c r="G2577" s="1" t="s">
        <v>52</v>
      </c>
      <c r="H2577">
        <v>27</v>
      </c>
      <c r="I2577">
        <v>5</v>
      </c>
      <c r="J2577">
        <v>45</v>
      </c>
      <c r="K2577" s="1" t="s">
        <v>17</v>
      </c>
      <c r="L2577" s="1" t="s">
        <v>24</v>
      </c>
      <c r="M2577" s="1" t="s">
        <v>5582</v>
      </c>
      <c r="N2577" s="1" t="s">
        <v>5587</v>
      </c>
    </row>
    <row r="2578" spans="1:14" x14ac:dyDescent="0.35">
      <c r="A2578">
        <v>7201012</v>
      </c>
      <c r="B2578" s="1" t="s">
        <v>5580</v>
      </c>
      <c r="C2578">
        <v>3189.8</v>
      </c>
      <c r="D2578">
        <v>52</v>
      </c>
      <c r="E2578" s="1" t="s">
        <v>5588</v>
      </c>
      <c r="F2578" s="1" t="s">
        <v>15</v>
      </c>
      <c r="G2578" s="1" t="s">
        <v>32</v>
      </c>
      <c r="H2578">
        <v>125</v>
      </c>
      <c r="I2578">
        <v>18</v>
      </c>
      <c r="J2578">
        <v>286</v>
      </c>
      <c r="K2578" s="1" t="s">
        <v>17</v>
      </c>
      <c r="L2578" s="1" t="s">
        <v>18</v>
      </c>
      <c r="M2578" s="1" t="s">
        <v>5589</v>
      </c>
      <c r="N2578" s="1" t="s">
        <v>5590</v>
      </c>
    </row>
    <row r="2579" spans="1:14" x14ac:dyDescent="0.35">
      <c r="A2579">
        <v>7201014</v>
      </c>
      <c r="B2579" s="1" t="s">
        <v>5580</v>
      </c>
      <c r="C2579">
        <v>3189.8</v>
      </c>
      <c r="D2579">
        <v>52</v>
      </c>
      <c r="E2579" s="1" t="s">
        <v>5591</v>
      </c>
      <c r="F2579" s="1" t="s">
        <v>15</v>
      </c>
      <c r="G2579" s="1" t="s">
        <v>52</v>
      </c>
      <c r="H2579">
        <v>24</v>
      </c>
      <c r="I2579">
        <v>11</v>
      </c>
      <c r="J2579">
        <v>17</v>
      </c>
      <c r="K2579" s="1" t="s">
        <v>17</v>
      </c>
      <c r="L2579" s="1" t="s">
        <v>18</v>
      </c>
      <c r="M2579" s="1" t="s">
        <v>5589</v>
      </c>
      <c r="N2579" s="1" t="s">
        <v>5592</v>
      </c>
    </row>
    <row r="2580" spans="1:14" x14ac:dyDescent="0.35">
      <c r="A2580">
        <v>7201011</v>
      </c>
      <c r="B2580" s="1" t="s">
        <v>5580</v>
      </c>
      <c r="C2580">
        <v>3189.8</v>
      </c>
      <c r="D2580">
        <v>52</v>
      </c>
      <c r="E2580" s="1" t="s">
        <v>5593</v>
      </c>
      <c r="F2580" s="1" t="s">
        <v>15</v>
      </c>
      <c r="G2580" s="1" t="s">
        <v>32</v>
      </c>
      <c r="H2580">
        <v>125</v>
      </c>
      <c r="I2580">
        <v>24</v>
      </c>
      <c r="J2580">
        <v>381</v>
      </c>
      <c r="K2580" s="1" t="s">
        <v>17</v>
      </c>
      <c r="L2580" s="1" t="s">
        <v>18</v>
      </c>
      <c r="M2580" s="1" t="s">
        <v>5594</v>
      </c>
      <c r="N2580" s="1" t="s">
        <v>5595</v>
      </c>
    </row>
    <row r="2581" spans="1:14" x14ac:dyDescent="0.35">
      <c r="A2581">
        <v>7207013</v>
      </c>
      <c r="B2581" s="1" t="s">
        <v>5580</v>
      </c>
      <c r="C2581">
        <v>3189.8</v>
      </c>
      <c r="D2581">
        <v>52</v>
      </c>
      <c r="E2581" s="1" t="s">
        <v>5596</v>
      </c>
      <c r="F2581" s="1" t="s">
        <v>15</v>
      </c>
      <c r="G2581" s="1" t="s">
        <v>32</v>
      </c>
      <c r="H2581">
        <v>223</v>
      </c>
      <c r="I2581">
        <v>38</v>
      </c>
      <c r="J2581">
        <v>391</v>
      </c>
      <c r="K2581" s="1" t="s">
        <v>17</v>
      </c>
      <c r="L2581" s="1" t="s">
        <v>18</v>
      </c>
      <c r="M2581" s="1" t="s">
        <v>5597</v>
      </c>
      <c r="N2581" s="1" t="s">
        <v>5598</v>
      </c>
    </row>
    <row r="2582" spans="1:14" x14ac:dyDescent="0.35">
      <c r="A2582">
        <v>7205022</v>
      </c>
      <c r="B2582" s="1" t="s">
        <v>5580</v>
      </c>
      <c r="C2582">
        <v>3189.8</v>
      </c>
      <c r="D2582">
        <v>52</v>
      </c>
      <c r="E2582" s="1" t="s">
        <v>5599</v>
      </c>
      <c r="F2582" s="1" t="s">
        <v>15</v>
      </c>
      <c r="G2582" s="1" t="s">
        <v>32</v>
      </c>
      <c r="H2582">
        <v>129</v>
      </c>
      <c r="I2582">
        <v>25</v>
      </c>
      <c r="J2582">
        <v>272</v>
      </c>
      <c r="K2582" s="1" t="s">
        <v>17</v>
      </c>
      <c r="L2582" s="1" t="s">
        <v>18</v>
      </c>
      <c r="M2582" s="1" t="s">
        <v>5600</v>
      </c>
      <c r="N2582" s="1" t="s">
        <v>5601</v>
      </c>
    </row>
    <row r="2583" spans="1:14" x14ac:dyDescent="0.35">
      <c r="A2583">
        <v>7205024</v>
      </c>
      <c r="B2583" s="1" t="s">
        <v>5580</v>
      </c>
      <c r="C2583">
        <v>3189.8</v>
      </c>
      <c r="D2583">
        <v>52</v>
      </c>
      <c r="E2583" s="1" t="s">
        <v>5602</v>
      </c>
      <c r="F2583" s="1" t="s">
        <v>15</v>
      </c>
      <c r="G2583" s="1" t="s">
        <v>22</v>
      </c>
      <c r="H2583">
        <v>68</v>
      </c>
      <c r="I2583">
        <v>20</v>
      </c>
      <c r="J2583">
        <v>63</v>
      </c>
      <c r="K2583" s="1" t="s">
        <v>17</v>
      </c>
      <c r="L2583" s="1" t="s">
        <v>24</v>
      </c>
      <c r="M2583" s="1" t="s">
        <v>5600</v>
      </c>
      <c r="N2583" s="1" t="s">
        <v>5603</v>
      </c>
    </row>
    <row r="2584" spans="1:14" x14ac:dyDescent="0.35">
      <c r="A2584">
        <v>7271131</v>
      </c>
      <c r="B2584" s="1" t="s">
        <v>5580</v>
      </c>
      <c r="C2584">
        <v>3189.8</v>
      </c>
      <c r="D2584">
        <v>52</v>
      </c>
      <c r="E2584" s="1" t="s">
        <v>5604</v>
      </c>
      <c r="F2584" s="1" t="s">
        <v>71</v>
      </c>
      <c r="G2584" s="1" t="s">
        <v>32</v>
      </c>
      <c r="H2584">
        <v>28</v>
      </c>
      <c r="I2584">
        <v>7</v>
      </c>
      <c r="J2584">
        <v>29</v>
      </c>
      <c r="K2584" s="1" t="s">
        <v>23</v>
      </c>
      <c r="L2584" s="1" t="s">
        <v>24</v>
      </c>
      <c r="M2584" s="1" t="s">
        <v>5605</v>
      </c>
      <c r="N2584" s="1" t="s">
        <v>5606</v>
      </c>
    </row>
    <row r="2585" spans="1:14" x14ac:dyDescent="0.35">
      <c r="A2585">
        <v>7271130</v>
      </c>
      <c r="B2585" s="1" t="s">
        <v>5580</v>
      </c>
      <c r="C2585">
        <v>3189.8</v>
      </c>
      <c r="D2585">
        <v>52</v>
      </c>
      <c r="E2585" s="1" t="s">
        <v>5607</v>
      </c>
      <c r="F2585" s="1" t="s">
        <v>71</v>
      </c>
      <c r="G2585" s="1" t="s">
        <v>32</v>
      </c>
      <c r="H2585">
        <v>75</v>
      </c>
      <c r="I2585">
        <v>12</v>
      </c>
      <c r="J2585">
        <v>100</v>
      </c>
      <c r="K2585" s="1" t="s">
        <v>23</v>
      </c>
      <c r="L2585" s="1" t="s">
        <v>24</v>
      </c>
      <c r="M2585" s="1" t="s">
        <v>5605</v>
      </c>
      <c r="N2585" s="1" t="s">
        <v>5608</v>
      </c>
    </row>
    <row r="2586" spans="1:14" x14ac:dyDescent="0.35">
      <c r="A2586">
        <v>7271116</v>
      </c>
      <c r="B2586" s="1" t="s">
        <v>5580</v>
      </c>
      <c r="C2586">
        <v>3189.8</v>
      </c>
      <c r="D2586">
        <v>52</v>
      </c>
      <c r="E2586" s="1" t="s">
        <v>5609</v>
      </c>
      <c r="F2586" s="1" t="s">
        <v>71</v>
      </c>
      <c r="G2586" s="1" t="s">
        <v>32</v>
      </c>
      <c r="H2586">
        <v>32</v>
      </c>
      <c r="I2586">
        <v>13</v>
      </c>
      <c r="J2586">
        <v>21</v>
      </c>
      <c r="K2586" s="1" t="s">
        <v>84</v>
      </c>
      <c r="L2586" s="1" t="s">
        <v>24</v>
      </c>
      <c r="M2586" s="1" t="s">
        <v>5605</v>
      </c>
      <c r="N2586" s="1" t="s">
        <v>5610</v>
      </c>
    </row>
    <row r="2587" spans="1:14" x14ac:dyDescent="0.35">
      <c r="A2587">
        <v>7271036</v>
      </c>
      <c r="B2587" s="1" t="s">
        <v>5580</v>
      </c>
      <c r="C2587">
        <v>3189.8</v>
      </c>
      <c r="D2587">
        <v>52</v>
      </c>
      <c r="E2587" s="1" t="s">
        <v>5611</v>
      </c>
      <c r="F2587" s="1" t="s">
        <v>15</v>
      </c>
      <c r="G2587" s="1" t="s">
        <v>16</v>
      </c>
      <c r="H2587">
        <v>357</v>
      </c>
      <c r="I2587">
        <v>69</v>
      </c>
      <c r="J2587">
        <v>1439</v>
      </c>
      <c r="K2587" s="1" t="s">
        <v>137</v>
      </c>
      <c r="L2587" s="1" t="s">
        <v>18</v>
      </c>
      <c r="M2587" s="1" t="s">
        <v>5605</v>
      </c>
      <c r="N2587" s="1" t="s">
        <v>5612</v>
      </c>
    </row>
    <row r="2588" spans="1:14" x14ac:dyDescent="0.35">
      <c r="A2588">
        <v>7271014</v>
      </c>
      <c r="B2588" s="1" t="s">
        <v>5580</v>
      </c>
      <c r="C2588">
        <v>3189.8</v>
      </c>
      <c r="D2588">
        <v>52</v>
      </c>
      <c r="E2588" s="1" t="s">
        <v>5613</v>
      </c>
      <c r="F2588" s="1" t="s">
        <v>15</v>
      </c>
      <c r="G2588" s="1" t="s">
        <v>16</v>
      </c>
      <c r="H2588">
        <v>397</v>
      </c>
      <c r="I2588">
        <v>115</v>
      </c>
      <c r="J2588">
        <v>1014</v>
      </c>
      <c r="K2588" s="1" t="s">
        <v>124</v>
      </c>
      <c r="L2588" s="1" t="s">
        <v>18</v>
      </c>
      <c r="M2588" s="1" t="s">
        <v>5605</v>
      </c>
      <c r="N2588" s="1" t="s">
        <v>5614</v>
      </c>
    </row>
    <row r="2589" spans="1:14" x14ac:dyDescent="0.35">
      <c r="A2589">
        <v>7271095</v>
      </c>
      <c r="B2589" s="1" t="s">
        <v>5580</v>
      </c>
      <c r="C2589">
        <v>3189.8</v>
      </c>
      <c r="D2589">
        <v>52</v>
      </c>
      <c r="E2589" s="1" t="s">
        <v>5615</v>
      </c>
      <c r="F2589" s="1" t="s">
        <v>15</v>
      </c>
      <c r="G2589" s="1" t="s">
        <v>32</v>
      </c>
      <c r="H2589">
        <v>132</v>
      </c>
      <c r="I2589">
        <v>53</v>
      </c>
      <c r="J2589">
        <v>190</v>
      </c>
      <c r="K2589" s="1" t="s">
        <v>23</v>
      </c>
      <c r="L2589" s="1" t="s">
        <v>24</v>
      </c>
      <c r="M2589" s="1" t="s">
        <v>5605</v>
      </c>
      <c r="N2589" s="1" t="s">
        <v>5616</v>
      </c>
    </row>
    <row r="2590" spans="1:14" x14ac:dyDescent="0.35">
      <c r="A2590">
        <v>7271133</v>
      </c>
      <c r="B2590" s="1" t="s">
        <v>5580</v>
      </c>
      <c r="C2590">
        <v>3189.8</v>
      </c>
      <c r="D2590">
        <v>52</v>
      </c>
      <c r="E2590" s="1" t="s">
        <v>5617</v>
      </c>
      <c r="F2590" s="1" t="s">
        <v>15</v>
      </c>
      <c r="G2590" s="1" t="s">
        <v>32</v>
      </c>
      <c r="H2590">
        <v>2</v>
      </c>
      <c r="I2590">
        <v>16</v>
      </c>
      <c r="J2590">
        <v>108</v>
      </c>
      <c r="K2590" s="1" t="s">
        <v>49</v>
      </c>
      <c r="L2590" s="1" t="s">
        <v>24</v>
      </c>
      <c r="M2590" s="1" t="s">
        <v>5605</v>
      </c>
      <c r="N2590" s="1" t="s">
        <v>5618</v>
      </c>
    </row>
    <row r="2591" spans="1:14" x14ac:dyDescent="0.35">
      <c r="A2591">
        <v>7271051</v>
      </c>
      <c r="B2591" s="1" t="s">
        <v>5580</v>
      </c>
      <c r="C2591">
        <v>3189.8</v>
      </c>
      <c r="D2591">
        <v>52</v>
      </c>
      <c r="E2591" s="1" t="s">
        <v>5619</v>
      </c>
      <c r="F2591" s="1" t="s">
        <v>15</v>
      </c>
      <c r="G2591" s="1" t="s">
        <v>32</v>
      </c>
      <c r="H2591">
        <v>226</v>
      </c>
      <c r="I2591">
        <v>28</v>
      </c>
      <c r="J2591">
        <v>303</v>
      </c>
      <c r="K2591" s="1" t="s">
        <v>124</v>
      </c>
      <c r="L2591" s="1" t="s">
        <v>18</v>
      </c>
      <c r="M2591" s="1" t="s">
        <v>5605</v>
      </c>
      <c r="N2591" s="1" t="s">
        <v>5620</v>
      </c>
    </row>
    <row r="2592" spans="1:14" x14ac:dyDescent="0.35">
      <c r="A2592">
        <v>7271040</v>
      </c>
      <c r="B2592" s="1" t="s">
        <v>5580</v>
      </c>
      <c r="C2592">
        <v>3189.8</v>
      </c>
      <c r="D2592">
        <v>52</v>
      </c>
      <c r="E2592" s="1" t="s">
        <v>5621</v>
      </c>
      <c r="F2592" s="1" t="s">
        <v>15</v>
      </c>
      <c r="G2592" s="1" t="s">
        <v>32</v>
      </c>
      <c r="H2592">
        <v>135</v>
      </c>
      <c r="I2592">
        <v>126</v>
      </c>
      <c r="J2592">
        <v>192</v>
      </c>
      <c r="K2592" s="1" t="s">
        <v>84</v>
      </c>
      <c r="L2592" s="1" t="s">
        <v>24</v>
      </c>
      <c r="M2592" s="1" t="s">
        <v>5605</v>
      </c>
      <c r="N2592" s="1" t="s">
        <v>5622</v>
      </c>
    </row>
    <row r="2593" spans="1:14" x14ac:dyDescent="0.35">
      <c r="A2593">
        <v>7271128</v>
      </c>
      <c r="B2593" s="1" t="s">
        <v>5580</v>
      </c>
      <c r="C2593">
        <v>3189.8</v>
      </c>
      <c r="D2593">
        <v>52</v>
      </c>
      <c r="E2593" s="1" t="s">
        <v>5623</v>
      </c>
      <c r="F2593" s="1" t="s">
        <v>15</v>
      </c>
      <c r="G2593" s="1" t="s">
        <v>32</v>
      </c>
      <c r="H2593">
        <v>100</v>
      </c>
      <c r="I2593">
        <v>38</v>
      </c>
      <c r="J2593">
        <v>98</v>
      </c>
      <c r="K2593" s="1" t="s">
        <v>84</v>
      </c>
      <c r="L2593" s="1" t="s">
        <v>24</v>
      </c>
      <c r="M2593" s="1" t="s">
        <v>5605</v>
      </c>
      <c r="N2593" s="1" t="s">
        <v>5624</v>
      </c>
    </row>
    <row r="2594" spans="1:14" x14ac:dyDescent="0.35">
      <c r="A2594">
        <v>7271132</v>
      </c>
      <c r="B2594" s="1" t="s">
        <v>5580</v>
      </c>
      <c r="C2594">
        <v>3189.8</v>
      </c>
      <c r="D2594">
        <v>52</v>
      </c>
      <c r="E2594" s="1" t="s">
        <v>5625</v>
      </c>
      <c r="F2594" s="1" t="s">
        <v>15</v>
      </c>
      <c r="G2594" s="1" t="s">
        <v>32</v>
      </c>
      <c r="H2594">
        <v>110</v>
      </c>
      <c r="I2594">
        <v>63</v>
      </c>
      <c r="J2594">
        <v>132</v>
      </c>
      <c r="K2594" s="1" t="s">
        <v>90</v>
      </c>
      <c r="L2594" s="1" t="s">
        <v>24</v>
      </c>
      <c r="M2594" s="1" t="s">
        <v>5605</v>
      </c>
      <c r="N2594" s="1" t="s">
        <v>5626</v>
      </c>
    </row>
    <row r="2595" spans="1:14" x14ac:dyDescent="0.35">
      <c r="A2595">
        <v>7271025</v>
      </c>
      <c r="B2595" s="1" t="s">
        <v>5580</v>
      </c>
      <c r="C2595">
        <v>3189.8</v>
      </c>
      <c r="D2595">
        <v>52</v>
      </c>
      <c r="E2595" s="1" t="s">
        <v>5627</v>
      </c>
      <c r="F2595" s="1" t="s">
        <v>15</v>
      </c>
      <c r="G2595" s="1" t="s">
        <v>32</v>
      </c>
      <c r="H2595">
        <v>116</v>
      </c>
      <c r="I2595">
        <v>35</v>
      </c>
      <c r="J2595">
        <v>228</v>
      </c>
      <c r="K2595" s="1" t="s">
        <v>27</v>
      </c>
      <c r="L2595" s="1" t="s">
        <v>24</v>
      </c>
      <c r="M2595" s="1" t="s">
        <v>5605</v>
      </c>
      <c r="N2595" s="1" t="s">
        <v>5628</v>
      </c>
    </row>
    <row r="2596" spans="1:14" x14ac:dyDescent="0.35">
      <c r="A2596">
        <v>7271127</v>
      </c>
      <c r="B2596" s="1" t="s">
        <v>5580</v>
      </c>
      <c r="C2596">
        <v>3189.8</v>
      </c>
      <c r="D2596">
        <v>52</v>
      </c>
      <c r="E2596" s="1" t="s">
        <v>5629</v>
      </c>
      <c r="F2596" s="1" t="s">
        <v>15</v>
      </c>
      <c r="G2596" s="1" t="s">
        <v>32</v>
      </c>
      <c r="H2596">
        <v>114</v>
      </c>
      <c r="I2596">
        <v>36</v>
      </c>
      <c r="J2596">
        <v>214</v>
      </c>
      <c r="K2596" s="1" t="s">
        <v>146</v>
      </c>
      <c r="L2596" s="1" t="s">
        <v>120</v>
      </c>
      <c r="M2596" s="1" t="s">
        <v>5605</v>
      </c>
      <c r="N2596" s="1" t="s">
        <v>5630</v>
      </c>
    </row>
    <row r="2597" spans="1:14" x14ac:dyDescent="0.35">
      <c r="A2597">
        <v>7203016</v>
      </c>
      <c r="B2597" s="1" t="s">
        <v>5580</v>
      </c>
      <c r="C2597">
        <v>3189.8</v>
      </c>
      <c r="D2597">
        <v>52</v>
      </c>
      <c r="E2597" s="1" t="s">
        <v>5631</v>
      </c>
      <c r="F2597" s="1" t="s">
        <v>15</v>
      </c>
      <c r="G2597" s="1" t="s">
        <v>32</v>
      </c>
      <c r="H2597">
        <v>246</v>
      </c>
      <c r="I2597">
        <v>64</v>
      </c>
      <c r="J2597">
        <v>705</v>
      </c>
      <c r="K2597" s="1" t="s">
        <v>17</v>
      </c>
      <c r="L2597" s="1" t="s">
        <v>18</v>
      </c>
      <c r="M2597" s="1" t="s">
        <v>5632</v>
      </c>
      <c r="N2597" s="1" t="s">
        <v>5633</v>
      </c>
    </row>
    <row r="2598" spans="1:14" x14ac:dyDescent="0.35">
      <c r="A2598">
        <v>7203018</v>
      </c>
      <c r="B2598" s="1" t="s">
        <v>5580</v>
      </c>
      <c r="C2598">
        <v>3189.8</v>
      </c>
      <c r="D2598">
        <v>52</v>
      </c>
      <c r="E2598" s="1" t="s">
        <v>5634</v>
      </c>
      <c r="F2598" s="1" t="s">
        <v>15</v>
      </c>
      <c r="G2598" s="1" t="s">
        <v>22</v>
      </c>
      <c r="H2598">
        <v>51</v>
      </c>
      <c r="I2598">
        <v>25</v>
      </c>
      <c r="J2598">
        <v>145</v>
      </c>
      <c r="K2598" s="1" t="s">
        <v>17</v>
      </c>
      <c r="L2598" s="1" t="s">
        <v>24</v>
      </c>
      <c r="M2598" s="1" t="s">
        <v>5632</v>
      </c>
      <c r="N2598" s="1" t="s">
        <v>5635</v>
      </c>
    </row>
    <row r="2599" spans="1:14" x14ac:dyDescent="0.35">
      <c r="A2599">
        <v>7204021</v>
      </c>
      <c r="B2599" s="1" t="s">
        <v>5580</v>
      </c>
      <c r="C2599">
        <v>3189.8</v>
      </c>
      <c r="D2599">
        <v>52</v>
      </c>
      <c r="E2599" s="1" t="s">
        <v>5636</v>
      </c>
      <c r="F2599" s="1" t="s">
        <v>15</v>
      </c>
      <c r="G2599" s="1" t="s">
        <v>32</v>
      </c>
      <c r="H2599">
        <v>182</v>
      </c>
      <c r="I2599">
        <v>56</v>
      </c>
      <c r="J2599">
        <v>302</v>
      </c>
      <c r="K2599" s="1" t="s">
        <v>17</v>
      </c>
      <c r="L2599" s="1" t="s">
        <v>18</v>
      </c>
      <c r="M2599" s="1" t="s">
        <v>5637</v>
      </c>
      <c r="N2599" s="1" t="s">
        <v>5638</v>
      </c>
    </row>
    <row r="2600" spans="1:14" x14ac:dyDescent="0.35">
      <c r="A2600">
        <v>7212011</v>
      </c>
      <c r="B2600" s="1" t="s">
        <v>5580</v>
      </c>
      <c r="C2600">
        <v>3189.8</v>
      </c>
      <c r="D2600">
        <v>52</v>
      </c>
      <c r="E2600" s="1" t="s">
        <v>5639</v>
      </c>
      <c r="F2600" s="1" t="s">
        <v>15</v>
      </c>
      <c r="G2600" s="1" t="s">
        <v>52</v>
      </c>
      <c r="H2600">
        <v>36</v>
      </c>
      <c r="I2600">
        <v>13</v>
      </c>
      <c r="K2600" s="1" t="s">
        <v>17</v>
      </c>
      <c r="L2600" s="1" t="s">
        <v>24</v>
      </c>
      <c r="M2600" s="1" t="s">
        <v>5637</v>
      </c>
      <c r="N2600" s="1" t="s">
        <v>5640</v>
      </c>
    </row>
    <row r="2601" spans="1:14" x14ac:dyDescent="0.35">
      <c r="A2601">
        <v>7208012</v>
      </c>
      <c r="B2601" s="1" t="s">
        <v>5580</v>
      </c>
      <c r="C2601">
        <v>3189.8</v>
      </c>
      <c r="D2601">
        <v>52</v>
      </c>
      <c r="E2601" s="1" t="s">
        <v>5641</v>
      </c>
      <c r="F2601" s="1" t="s">
        <v>71</v>
      </c>
      <c r="G2601" s="1" t="s">
        <v>32</v>
      </c>
      <c r="H2601">
        <v>86</v>
      </c>
      <c r="I2601">
        <v>14</v>
      </c>
      <c r="J2601">
        <v>107</v>
      </c>
      <c r="K2601" s="1" t="s">
        <v>95</v>
      </c>
      <c r="L2601" s="1" t="s">
        <v>24</v>
      </c>
      <c r="M2601" s="1" t="s">
        <v>5642</v>
      </c>
      <c r="N2601" s="1" t="s">
        <v>5643</v>
      </c>
    </row>
    <row r="2602" spans="1:14" x14ac:dyDescent="0.35">
      <c r="A2602">
        <v>7208011</v>
      </c>
      <c r="B2602" s="1" t="s">
        <v>5580</v>
      </c>
      <c r="C2602">
        <v>3189.8</v>
      </c>
      <c r="D2602">
        <v>52</v>
      </c>
      <c r="E2602" s="1" t="s">
        <v>5644</v>
      </c>
      <c r="F2602" s="1" t="s">
        <v>15</v>
      </c>
      <c r="G2602" s="1" t="s">
        <v>16</v>
      </c>
      <c r="H2602">
        <v>173</v>
      </c>
      <c r="I2602">
        <v>34</v>
      </c>
      <c r="J2602">
        <v>761</v>
      </c>
      <c r="K2602" s="1" t="s">
        <v>17</v>
      </c>
      <c r="L2602" s="1" t="s">
        <v>18</v>
      </c>
      <c r="M2602" s="1" t="s">
        <v>5642</v>
      </c>
      <c r="N2602" s="1" t="s">
        <v>5645</v>
      </c>
    </row>
    <row r="2603" spans="1:14" x14ac:dyDescent="0.35">
      <c r="A2603">
        <v>7208013</v>
      </c>
      <c r="B2603" s="1" t="s">
        <v>5580</v>
      </c>
      <c r="C2603">
        <v>3189.8</v>
      </c>
      <c r="D2603">
        <v>52</v>
      </c>
      <c r="E2603" s="1" t="s">
        <v>5646</v>
      </c>
      <c r="F2603" s="1" t="s">
        <v>15</v>
      </c>
      <c r="G2603" s="1" t="s">
        <v>32</v>
      </c>
      <c r="H2603">
        <v>101</v>
      </c>
      <c r="I2603">
        <v>17</v>
      </c>
      <c r="J2603">
        <v>247</v>
      </c>
      <c r="K2603" s="1" t="s">
        <v>17</v>
      </c>
      <c r="L2603" s="1" t="s">
        <v>18</v>
      </c>
      <c r="M2603" s="1" t="s">
        <v>5642</v>
      </c>
      <c r="N2603" s="1" t="s">
        <v>5647</v>
      </c>
    </row>
    <row r="2604" spans="1:14" x14ac:dyDescent="0.35">
      <c r="A2604">
        <v>7208115</v>
      </c>
      <c r="B2604" s="1" t="s">
        <v>5580</v>
      </c>
      <c r="C2604">
        <v>3189.8</v>
      </c>
      <c r="D2604">
        <v>52</v>
      </c>
      <c r="E2604" s="1" t="s">
        <v>5648</v>
      </c>
      <c r="F2604" s="1" t="s">
        <v>15</v>
      </c>
      <c r="G2604" s="1" t="s">
        <v>22</v>
      </c>
      <c r="H2604">
        <v>62</v>
      </c>
      <c r="I2604">
        <v>16</v>
      </c>
      <c r="J2604">
        <v>129</v>
      </c>
      <c r="K2604" s="1" t="s">
        <v>17</v>
      </c>
      <c r="L2604" s="1" t="s">
        <v>24</v>
      </c>
      <c r="M2604" s="1" t="s">
        <v>5642</v>
      </c>
      <c r="N2604" s="1" t="s">
        <v>5649</v>
      </c>
    </row>
    <row r="2605" spans="1:14" x14ac:dyDescent="0.35">
      <c r="A2605">
        <v>7204010</v>
      </c>
      <c r="B2605" s="1" t="s">
        <v>5580</v>
      </c>
      <c r="C2605">
        <v>3189.8</v>
      </c>
      <c r="D2605">
        <v>52</v>
      </c>
      <c r="E2605" s="1" t="s">
        <v>5650</v>
      </c>
      <c r="F2605" s="1" t="s">
        <v>15</v>
      </c>
      <c r="G2605" s="1" t="s">
        <v>32</v>
      </c>
      <c r="H2605">
        <v>180</v>
      </c>
      <c r="I2605">
        <v>91</v>
      </c>
      <c r="J2605">
        <v>610</v>
      </c>
      <c r="K2605" s="1" t="s">
        <v>17</v>
      </c>
      <c r="L2605" s="1" t="s">
        <v>18</v>
      </c>
      <c r="M2605" s="1" t="s">
        <v>5651</v>
      </c>
      <c r="N2605" s="1" t="s">
        <v>5652</v>
      </c>
    </row>
    <row r="2606" spans="1:14" x14ac:dyDescent="0.35">
      <c r="A2606">
        <v>7204044</v>
      </c>
      <c r="B2606" s="1" t="s">
        <v>5580</v>
      </c>
      <c r="C2606">
        <v>3189.8</v>
      </c>
      <c r="D2606">
        <v>52</v>
      </c>
      <c r="E2606" s="1" t="s">
        <v>5653</v>
      </c>
      <c r="F2606" s="1" t="s">
        <v>15</v>
      </c>
      <c r="G2606" s="1" t="s">
        <v>22</v>
      </c>
      <c r="H2606">
        <v>59</v>
      </c>
      <c r="I2606">
        <v>24</v>
      </c>
      <c r="J2606">
        <v>7</v>
      </c>
      <c r="K2606" s="1" t="s">
        <v>27</v>
      </c>
      <c r="L2606" s="1" t="s">
        <v>24</v>
      </c>
      <c r="M2606" s="1" t="s">
        <v>5651</v>
      </c>
      <c r="N2606" s="1" t="s">
        <v>5654</v>
      </c>
    </row>
    <row r="2607" spans="1:14" x14ac:dyDescent="0.35">
      <c r="A2607">
        <v>7204043</v>
      </c>
      <c r="B2607" s="1" t="s">
        <v>5580</v>
      </c>
      <c r="C2607">
        <v>3189.8</v>
      </c>
      <c r="D2607">
        <v>52</v>
      </c>
      <c r="E2607" s="1" t="s">
        <v>5655</v>
      </c>
      <c r="F2607" s="1" t="s">
        <v>15</v>
      </c>
      <c r="G2607" s="1" t="s">
        <v>22</v>
      </c>
      <c r="H2607">
        <v>62</v>
      </c>
      <c r="I2607">
        <v>21</v>
      </c>
      <c r="J2607">
        <v>125</v>
      </c>
      <c r="K2607" s="1" t="s">
        <v>84</v>
      </c>
      <c r="L2607" s="1" t="s">
        <v>24</v>
      </c>
      <c r="M2607" s="1" t="s">
        <v>5651</v>
      </c>
      <c r="N2607" s="1" t="s">
        <v>5656</v>
      </c>
    </row>
    <row r="2608" spans="1:14" x14ac:dyDescent="0.35">
      <c r="A2608">
        <v>7210002</v>
      </c>
      <c r="B2608" s="1" t="s">
        <v>5580</v>
      </c>
      <c r="C2608">
        <v>3189.8</v>
      </c>
      <c r="D2608">
        <v>52</v>
      </c>
      <c r="E2608" s="1" t="s">
        <v>5657</v>
      </c>
      <c r="F2608" s="1" t="s">
        <v>15</v>
      </c>
      <c r="G2608" s="1" t="s">
        <v>32</v>
      </c>
      <c r="H2608">
        <v>209</v>
      </c>
      <c r="I2608">
        <v>28</v>
      </c>
      <c r="J2608">
        <v>277</v>
      </c>
      <c r="K2608" s="1" t="s">
        <v>17</v>
      </c>
      <c r="L2608" s="1" t="s">
        <v>18</v>
      </c>
      <c r="M2608" s="1" t="s">
        <v>5658</v>
      </c>
      <c r="N2608" s="1" t="s">
        <v>5659</v>
      </c>
    </row>
    <row r="2609" spans="1:14" x14ac:dyDescent="0.35">
      <c r="A2609">
        <v>7209032</v>
      </c>
      <c r="B2609" s="1" t="s">
        <v>5580</v>
      </c>
      <c r="C2609">
        <v>3189.8</v>
      </c>
      <c r="D2609">
        <v>52</v>
      </c>
      <c r="E2609" s="1" t="s">
        <v>5660</v>
      </c>
      <c r="F2609" s="1" t="s">
        <v>15</v>
      </c>
      <c r="G2609" s="1" t="s">
        <v>32</v>
      </c>
      <c r="H2609">
        <v>177</v>
      </c>
      <c r="I2609">
        <v>51</v>
      </c>
      <c r="J2609">
        <v>579</v>
      </c>
      <c r="K2609" s="1" t="s">
        <v>17</v>
      </c>
      <c r="L2609" s="1" t="s">
        <v>18</v>
      </c>
      <c r="M2609" s="1" t="s">
        <v>5661</v>
      </c>
      <c r="N2609" s="1" t="s">
        <v>5662</v>
      </c>
    </row>
    <row r="2610" spans="1:14" x14ac:dyDescent="0.35">
      <c r="A2610">
        <v>7209002</v>
      </c>
      <c r="B2610" s="1" t="s">
        <v>5580</v>
      </c>
      <c r="C2610">
        <v>3189.8</v>
      </c>
      <c r="D2610">
        <v>52</v>
      </c>
      <c r="E2610" s="1" t="s">
        <v>5663</v>
      </c>
      <c r="F2610" s="1" t="s">
        <v>15</v>
      </c>
      <c r="G2610" s="1" t="s">
        <v>22</v>
      </c>
      <c r="H2610">
        <v>72</v>
      </c>
      <c r="I2610">
        <v>14</v>
      </c>
      <c r="J2610">
        <v>110</v>
      </c>
      <c r="K2610" s="1" t="s">
        <v>17</v>
      </c>
      <c r="L2610" s="1" t="s">
        <v>24</v>
      </c>
      <c r="M2610" s="1" t="s">
        <v>5661</v>
      </c>
      <c r="N2610" s="1" t="s">
        <v>5664</v>
      </c>
    </row>
    <row r="2611" spans="1:14" x14ac:dyDescent="0.35">
      <c r="A2611">
        <v>7209004</v>
      </c>
      <c r="B2611" s="1" t="s">
        <v>5580</v>
      </c>
      <c r="C2611">
        <v>3189.8</v>
      </c>
      <c r="D2611">
        <v>52</v>
      </c>
      <c r="E2611" s="1" t="s">
        <v>5665</v>
      </c>
      <c r="F2611" s="1" t="s">
        <v>15</v>
      </c>
      <c r="G2611" s="1" t="s">
        <v>52</v>
      </c>
      <c r="H2611">
        <v>20</v>
      </c>
      <c r="I2611">
        <v>7</v>
      </c>
      <c r="J2611">
        <v>5</v>
      </c>
      <c r="K2611" s="1" t="s">
        <v>17</v>
      </c>
      <c r="L2611" s="1" t="s">
        <v>24</v>
      </c>
      <c r="M2611" s="1" t="s">
        <v>5661</v>
      </c>
      <c r="N2611" s="1" t="s">
        <v>5666</v>
      </c>
    </row>
    <row r="2612" spans="1:14" x14ac:dyDescent="0.35">
      <c r="A2612">
        <v>7206012</v>
      </c>
      <c r="B2612" s="1" t="s">
        <v>5580</v>
      </c>
      <c r="C2612">
        <v>3189.8</v>
      </c>
      <c r="D2612">
        <v>52</v>
      </c>
      <c r="E2612" s="1" t="s">
        <v>5667</v>
      </c>
      <c r="F2612" s="1" t="s">
        <v>15</v>
      </c>
      <c r="G2612" s="1" t="s">
        <v>32</v>
      </c>
      <c r="H2612">
        <v>291</v>
      </c>
      <c r="I2612">
        <v>36</v>
      </c>
      <c r="J2612">
        <v>869</v>
      </c>
      <c r="K2612" s="1" t="s">
        <v>17</v>
      </c>
      <c r="L2612" s="1" t="s">
        <v>18</v>
      </c>
      <c r="M2612" s="1" t="s">
        <v>5668</v>
      </c>
      <c r="N2612" s="1" t="s">
        <v>5669</v>
      </c>
    </row>
    <row r="2613" spans="1:14" x14ac:dyDescent="0.35">
      <c r="A2613">
        <v>7206014</v>
      </c>
      <c r="B2613" s="1" t="s">
        <v>5580</v>
      </c>
      <c r="C2613">
        <v>3189.8</v>
      </c>
      <c r="D2613">
        <v>52</v>
      </c>
      <c r="E2613" s="1" t="s">
        <v>5670</v>
      </c>
      <c r="F2613" s="1" t="s">
        <v>15</v>
      </c>
      <c r="G2613" s="1" t="s">
        <v>22</v>
      </c>
      <c r="H2613">
        <v>56</v>
      </c>
      <c r="I2613">
        <v>17</v>
      </c>
      <c r="J2613">
        <v>123</v>
      </c>
      <c r="K2613" s="1" t="s">
        <v>17</v>
      </c>
      <c r="L2613" s="1" t="s">
        <v>24</v>
      </c>
      <c r="M2613" s="1" t="s">
        <v>5668</v>
      </c>
      <c r="N2613" s="1" t="s">
        <v>5671</v>
      </c>
    </row>
    <row r="2614" spans="1:14" x14ac:dyDescent="0.35">
      <c r="A2614">
        <v>7406036</v>
      </c>
      <c r="B2614" s="1" t="s">
        <v>5672</v>
      </c>
      <c r="C2614">
        <v>2880</v>
      </c>
      <c r="D2614">
        <v>80</v>
      </c>
      <c r="E2614" s="1" t="s">
        <v>5673</v>
      </c>
      <c r="F2614" s="1" t="s">
        <v>15</v>
      </c>
      <c r="G2614" s="1" t="s">
        <v>32</v>
      </c>
      <c r="H2614">
        <v>124</v>
      </c>
      <c r="I2614">
        <v>23</v>
      </c>
      <c r="J2614">
        <v>192</v>
      </c>
      <c r="K2614" s="1" t="s">
        <v>17</v>
      </c>
      <c r="L2614" s="1" t="s">
        <v>18</v>
      </c>
      <c r="M2614" s="1" t="s">
        <v>5674</v>
      </c>
      <c r="N2614" s="1" t="s">
        <v>5675</v>
      </c>
    </row>
    <row r="2615" spans="1:14" x14ac:dyDescent="0.35">
      <c r="A2615">
        <v>7401038</v>
      </c>
      <c r="B2615" s="1" t="s">
        <v>5672</v>
      </c>
      <c r="C2615">
        <v>2880</v>
      </c>
      <c r="D2615">
        <v>80</v>
      </c>
      <c r="E2615" s="1" t="s">
        <v>5676</v>
      </c>
      <c r="F2615" s="1" t="s">
        <v>15</v>
      </c>
      <c r="G2615" s="1" t="s">
        <v>32</v>
      </c>
      <c r="H2615">
        <v>128</v>
      </c>
      <c r="I2615">
        <v>22</v>
      </c>
      <c r="J2615">
        <v>253</v>
      </c>
      <c r="K2615" s="1" t="s">
        <v>17</v>
      </c>
      <c r="L2615" s="1" t="s">
        <v>18</v>
      </c>
      <c r="M2615" s="1" t="s">
        <v>5677</v>
      </c>
      <c r="N2615" s="1" t="s">
        <v>5678</v>
      </c>
    </row>
    <row r="2616" spans="1:14" x14ac:dyDescent="0.35">
      <c r="A2616">
        <v>7401039</v>
      </c>
      <c r="B2616" s="1" t="s">
        <v>5672</v>
      </c>
      <c r="C2616">
        <v>2880</v>
      </c>
      <c r="D2616">
        <v>80</v>
      </c>
      <c r="E2616" s="1" t="s">
        <v>5679</v>
      </c>
      <c r="F2616" s="1" t="s">
        <v>15</v>
      </c>
      <c r="G2616" s="1" t="s">
        <v>32</v>
      </c>
      <c r="H2616">
        <v>119</v>
      </c>
      <c r="I2616">
        <v>24</v>
      </c>
      <c r="J2616">
        <v>130</v>
      </c>
      <c r="K2616" s="1" t="s">
        <v>17</v>
      </c>
      <c r="L2616" s="1" t="s">
        <v>24</v>
      </c>
      <c r="M2616" s="1" t="s">
        <v>5680</v>
      </c>
      <c r="N2616" s="1" t="s">
        <v>5681</v>
      </c>
    </row>
    <row r="2617" spans="1:14" x14ac:dyDescent="0.35">
      <c r="A2617">
        <v>7414002</v>
      </c>
      <c r="B2617" s="1" t="s">
        <v>5672</v>
      </c>
      <c r="C2617">
        <v>2880</v>
      </c>
      <c r="D2617">
        <v>80</v>
      </c>
      <c r="E2617" s="1" t="s">
        <v>5682</v>
      </c>
      <c r="F2617" s="1" t="s">
        <v>15</v>
      </c>
      <c r="G2617" s="1" t="s">
        <v>22</v>
      </c>
      <c r="H2617">
        <v>51</v>
      </c>
      <c r="I2617">
        <v>9</v>
      </c>
      <c r="J2617">
        <v>123</v>
      </c>
      <c r="K2617" s="1" t="s">
        <v>17</v>
      </c>
      <c r="L2617" s="1" t="s">
        <v>24</v>
      </c>
      <c r="M2617" s="1" t="s">
        <v>5683</v>
      </c>
      <c r="N2617" s="1" t="s">
        <v>5684</v>
      </c>
    </row>
    <row r="2618" spans="1:14" x14ac:dyDescent="0.35">
      <c r="A2618">
        <v>7401024</v>
      </c>
      <c r="B2618" s="1" t="s">
        <v>5672</v>
      </c>
      <c r="C2618">
        <v>2880</v>
      </c>
      <c r="D2618">
        <v>80</v>
      </c>
      <c r="E2618" s="1" t="s">
        <v>5685</v>
      </c>
      <c r="F2618" s="1" t="s">
        <v>15</v>
      </c>
      <c r="G2618" s="1" t="s">
        <v>22</v>
      </c>
      <c r="H2618">
        <v>53</v>
      </c>
      <c r="I2618">
        <v>26</v>
      </c>
      <c r="J2618">
        <v>233</v>
      </c>
      <c r="K2618" s="1" t="s">
        <v>17</v>
      </c>
      <c r="L2618" s="1" t="s">
        <v>24</v>
      </c>
      <c r="M2618" s="1" t="s">
        <v>5686</v>
      </c>
      <c r="N2618" s="1" t="s">
        <v>5687</v>
      </c>
    </row>
    <row r="2619" spans="1:14" x14ac:dyDescent="0.35">
      <c r="A2619">
        <v>7404046</v>
      </c>
      <c r="B2619" s="1" t="s">
        <v>5672</v>
      </c>
      <c r="C2619">
        <v>2880</v>
      </c>
      <c r="D2619">
        <v>80</v>
      </c>
      <c r="E2619" s="1" t="s">
        <v>5688</v>
      </c>
      <c r="F2619" s="1" t="s">
        <v>71</v>
      </c>
      <c r="G2619" s="1" t="s">
        <v>32</v>
      </c>
      <c r="H2619">
        <v>29</v>
      </c>
      <c r="I2619">
        <v>13</v>
      </c>
      <c r="K2619" s="1" t="s">
        <v>23</v>
      </c>
      <c r="L2619" s="1" t="s">
        <v>24</v>
      </c>
      <c r="M2619" s="1" t="s">
        <v>5689</v>
      </c>
      <c r="N2619" s="1" t="s">
        <v>5690</v>
      </c>
    </row>
    <row r="2620" spans="1:14" x14ac:dyDescent="0.35">
      <c r="A2620">
        <v>7404012</v>
      </c>
      <c r="B2620" s="1" t="s">
        <v>5672</v>
      </c>
      <c r="C2620">
        <v>2880</v>
      </c>
      <c r="D2620">
        <v>80</v>
      </c>
      <c r="E2620" s="1" t="s">
        <v>5691</v>
      </c>
      <c r="F2620" s="1" t="s">
        <v>15</v>
      </c>
      <c r="G2620" s="1" t="s">
        <v>32</v>
      </c>
      <c r="H2620">
        <v>205</v>
      </c>
      <c r="I2620">
        <v>51</v>
      </c>
      <c r="J2620">
        <v>512</v>
      </c>
      <c r="K2620" s="1" t="s">
        <v>17</v>
      </c>
      <c r="L2620" s="1" t="s">
        <v>18</v>
      </c>
      <c r="M2620" s="1" t="s">
        <v>5689</v>
      </c>
      <c r="N2620" s="1" t="s">
        <v>5692</v>
      </c>
    </row>
    <row r="2621" spans="1:14" x14ac:dyDescent="0.35">
      <c r="A2621">
        <v>7404045</v>
      </c>
      <c r="B2621" s="1" t="s">
        <v>5672</v>
      </c>
      <c r="C2621">
        <v>2880</v>
      </c>
      <c r="D2621">
        <v>80</v>
      </c>
      <c r="E2621" s="1" t="s">
        <v>5693</v>
      </c>
      <c r="F2621" s="1" t="s">
        <v>15</v>
      </c>
      <c r="G2621" s="1" t="s">
        <v>22</v>
      </c>
      <c r="H2621">
        <v>62</v>
      </c>
      <c r="I2621">
        <v>22</v>
      </c>
      <c r="K2621" s="1" t="s">
        <v>90</v>
      </c>
      <c r="L2621" s="1" t="s">
        <v>24</v>
      </c>
      <c r="M2621" s="1" t="s">
        <v>5689</v>
      </c>
      <c r="N2621" s="1" t="s">
        <v>5694</v>
      </c>
    </row>
    <row r="2622" spans="1:14" x14ac:dyDescent="0.35">
      <c r="A2622">
        <v>7404023</v>
      </c>
      <c r="B2622" s="1" t="s">
        <v>5672</v>
      </c>
      <c r="C2622">
        <v>2880</v>
      </c>
      <c r="D2622">
        <v>80</v>
      </c>
      <c r="E2622" s="1" t="s">
        <v>5695</v>
      </c>
      <c r="F2622" s="1" t="s">
        <v>15</v>
      </c>
      <c r="G2622" s="1" t="s">
        <v>22</v>
      </c>
      <c r="H2622">
        <v>65</v>
      </c>
      <c r="I2622">
        <v>20</v>
      </c>
      <c r="J2622">
        <v>42</v>
      </c>
      <c r="K2622" s="1" t="s">
        <v>61</v>
      </c>
      <c r="L2622" s="1" t="s">
        <v>24</v>
      </c>
      <c r="M2622" s="1" t="s">
        <v>5689</v>
      </c>
      <c r="N2622" s="1" t="s">
        <v>5696</v>
      </c>
    </row>
    <row r="2623" spans="1:14" x14ac:dyDescent="0.35">
      <c r="A2623">
        <v>7411908</v>
      </c>
      <c r="B2623" s="1" t="s">
        <v>5672</v>
      </c>
      <c r="C2623">
        <v>2880</v>
      </c>
      <c r="D2623">
        <v>80</v>
      </c>
      <c r="E2623" s="1" t="s">
        <v>5697</v>
      </c>
      <c r="F2623" s="1" t="s">
        <v>15</v>
      </c>
      <c r="G2623" s="1" t="s">
        <v>22</v>
      </c>
      <c r="H2623">
        <v>56</v>
      </c>
      <c r="I2623">
        <v>23</v>
      </c>
      <c r="J2623">
        <v>174</v>
      </c>
      <c r="K2623" s="1" t="s">
        <v>17</v>
      </c>
      <c r="L2623" s="1" t="s">
        <v>24</v>
      </c>
      <c r="M2623" s="1" t="s">
        <v>5698</v>
      </c>
      <c r="N2623" s="1" t="s">
        <v>5699</v>
      </c>
    </row>
    <row r="2624" spans="1:14" x14ac:dyDescent="0.35">
      <c r="A2624">
        <v>7404034</v>
      </c>
      <c r="B2624" s="1" t="s">
        <v>5672</v>
      </c>
      <c r="C2624">
        <v>2880</v>
      </c>
      <c r="D2624">
        <v>80</v>
      </c>
      <c r="E2624" s="1" t="s">
        <v>5700</v>
      </c>
      <c r="F2624" s="1" t="s">
        <v>15</v>
      </c>
      <c r="G2624" s="1" t="s">
        <v>32</v>
      </c>
      <c r="H2624">
        <v>139</v>
      </c>
      <c r="I2624">
        <v>25</v>
      </c>
      <c r="J2624">
        <v>398</v>
      </c>
      <c r="K2624" s="1" t="s">
        <v>17</v>
      </c>
      <c r="L2624" s="1" t="s">
        <v>18</v>
      </c>
      <c r="M2624" s="1" t="s">
        <v>5701</v>
      </c>
      <c r="N2624" s="1" t="s">
        <v>5702</v>
      </c>
    </row>
    <row r="2625" spans="1:14" x14ac:dyDescent="0.35">
      <c r="A2625">
        <v>7403022</v>
      </c>
      <c r="B2625" s="1" t="s">
        <v>5672</v>
      </c>
      <c r="C2625">
        <v>2880</v>
      </c>
      <c r="D2625">
        <v>80</v>
      </c>
      <c r="E2625" s="1" t="s">
        <v>5703</v>
      </c>
      <c r="F2625" s="1" t="s">
        <v>15</v>
      </c>
      <c r="G2625" s="1" t="s">
        <v>32</v>
      </c>
      <c r="H2625">
        <v>209</v>
      </c>
      <c r="I2625">
        <v>35</v>
      </c>
      <c r="J2625">
        <v>861</v>
      </c>
      <c r="K2625" s="1" t="s">
        <v>17</v>
      </c>
      <c r="L2625" s="1" t="s">
        <v>18</v>
      </c>
      <c r="M2625" s="1" t="s">
        <v>5704</v>
      </c>
      <c r="N2625" s="1" t="s">
        <v>5705</v>
      </c>
    </row>
    <row r="2626" spans="1:14" x14ac:dyDescent="0.35">
      <c r="A2626">
        <v>7403126</v>
      </c>
      <c r="B2626" s="1" t="s">
        <v>5672</v>
      </c>
      <c r="C2626">
        <v>2880</v>
      </c>
      <c r="D2626">
        <v>80</v>
      </c>
      <c r="E2626" s="1" t="s">
        <v>5706</v>
      </c>
      <c r="F2626" s="1" t="s">
        <v>15</v>
      </c>
      <c r="G2626" s="1" t="s">
        <v>22</v>
      </c>
      <c r="H2626">
        <v>50</v>
      </c>
      <c r="I2626">
        <v>15</v>
      </c>
      <c r="J2626">
        <v>51</v>
      </c>
      <c r="K2626" s="1" t="s">
        <v>23</v>
      </c>
      <c r="L2626" s="1" t="s">
        <v>24</v>
      </c>
      <c r="M2626" s="1" t="s">
        <v>5704</v>
      </c>
      <c r="N2626" s="1" t="s">
        <v>5707</v>
      </c>
    </row>
    <row r="2627" spans="1:14" x14ac:dyDescent="0.35">
      <c r="A2627">
        <v>7412002</v>
      </c>
      <c r="B2627" s="1" t="s">
        <v>5672</v>
      </c>
      <c r="C2627">
        <v>2880</v>
      </c>
      <c r="D2627">
        <v>80</v>
      </c>
      <c r="E2627" s="1" t="s">
        <v>5708</v>
      </c>
      <c r="F2627" s="1" t="s">
        <v>15</v>
      </c>
      <c r="G2627" s="1" t="s">
        <v>22</v>
      </c>
      <c r="H2627">
        <v>50</v>
      </c>
      <c r="I2627">
        <v>20</v>
      </c>
      <c r="J2627">
        <v>159</v>
      </c>
      <c r="K2627" s="1" t="s">
        <v>17</v>
      </c>
      <c r="L2627" s="1" t="s">
        <v>24</v>
      </c>
      <c r="M2627" s="1" t="s">
        <v>5709</v>
      </c>
      <c r="N2627" s="1" t="s">
        <v>5710</v>
      </c>
    </row>
    <row r="2628" spans="1:14" x14ac:dyDescent="0.35">
      <c r="A2628">
        <v>7403114</v>
      </c>
      <c r="B2628" s="1" t="s">
        <v>5672</v>
      </c>
      <c r="C2628">
        <v>2880</v>
      </c>
      <c r="D2628">
        <v>80</v>
      </c>
      <c r="E2628" s="1" t="s">
        <v>5711</v>
      </c>
      <c r="F2628" s="1" t="s">
        <v>15</v>
      </c>
      <c r="G2628" s="1" t="s">
        <v>32</v>
      </c>
      <c r="H2628">
        <v>110</v>
      </c>
      <c r="I2628">
        <v>32</v>
      </c>
      <c r="J2628">
        <v>249</v>
      </c>
      <c r="K2628" s="1" t="s">
        <v>17</v>
      </c>
      <c r="L2628" s="1" t="s">
        <v>120</v>
      </c>
      <c r="M2628" s="1" t="s">
        <v>5712</v>
      </c>
      <c r="N2628" s="1" t="s">
        <v>5713</v>
      </c>
    </row>
    <row r="2629" spans="1:14" x14ac:dyDescent="0.35">
      <c r="A2629">
        <v>7408013</v>
      </c>
      <c r="B2629" s="1" t="s">
        <v>5672</v>
      </c>
      <c r="C2629">
        <v>2880</v>
      </c>
      <c r="D2629">
        <v>80</v>
      </c>
      <c r="E2629" s="1" t="s">
        <v>5714</v>
      </c>
      <c r="F2629" s="1" t="s">
        <v>15</v>
      </c>
      <c r="G2629" s="1" t="s">
        <v>22</v>
      </c>
      <c r="H2629">
        <v>57</v>
      </c>
      <c r="I2629">
        <v>20</v>
      </c>
      <c r="J2629">
        <v>159</v>
      </c>
      <c r="K2629" s="1" t="s">
        <v>17</v>
      </c>
      <c r="L2629" s="1" t="s">
        <v>18</v>
      </c>
      <c r="M2629" s="1" t="s">
        <v>5715</v>
      </c>
      <c r="N2629" s="1" t="s">
        <v>5716</v>
      </c>
    </row>
    <row r="2630" spans="1:14" x14ac:dyDescent="0.35">
      <c r="A2630">
        <v>7472002</v>
      </c>
      <c r="B2630" s="1" t="s">
        <v>5672</v>
      </c>
      <c r="C2630">
        <v>2880</v>
      </c>
      <c r="D2630">
        <v>80</v>
      </c>
      <c r="E2630" s="1" t="s">
        <v>5717</v>
      </c>
      <c r="F2630" s="1" t="s">
        <v>15</v>
      </c>
      <c r="G2630" s="1" t="s">
        <v>32</v>
      </c>
      <c r="H2630">
        <v>114</v>
      </c>
      <c r="I2630">
        <v>33</v>
      </c>
      <c r="J2630">
        <v>241</v>
      </c>
      <c r="K2630" s="1" t="s">
        <v>90</v>
      </c>
      <c r="L2630" s="1" t="s">
        <v>24</v>
      </c>
      <c r="M2630" s="1" t="s">
        <v>5718</v>
      </c>
      <c r="N2630" s="1" t="s">
        <v>5719</v>
      </c>
    </row>
    <row r="2631" spans="1:14" x14ac:dyDescent="0.35">
      <c r="A2631">
        <v>7472016</v>
      </c>
      <c r="B2631" s="1" t="s">
        <v>5672</v>
      </c>
      <c r="C2631">
        <v>2880</v>
      </c>
      <c r="D2631">
        <v>80</v>
      </c>
      <c r="E2631" s="1" t="s">
        <v>5720</v>
      </c>
      <c r="F2631" s="1" t="s">
        <v>15</v>
      </c>
      <c r="G2631" s="1" t="s">
        <v>32</v>
      </c>
      <c r="H2631">
        <v>169</v>
      </c>
      <c r="I2631">
        <v>40</v>
      </c>
      <c r="J2631">
        <v>271</v>
      </c>
      <c r="K2631" s="1" t="s">
        <v>137</v>
      </c>
      <c r="L2631" s="1" t="s">
        <v>18</v>
      </c>
      <c r="M2631" s="1" t="s">
        <v>5718</v>
      </c>
      <c r="N2631" s="1" t="s">
        <v>5721</v>
      </c>
    </row>
    <row r="2632" spans="1:14" x14ac:dyDescent="0.35">
      <c r="A2632">
        <v>7472004</v>
      </c>
      <c r="B2632" s="1" t="s">
        <v>5672</v>
      </c>
      <c r="C2632">
        <v>2880</v>
      </c>
      <c r="D2632">
        <v>80</v>
      </c>
      <c r="E2632" s="1" t="s">
        <v>5722</v>
      </c>
      <c r="F2632" s="1" t="s">
        <v>15</v>
      </c>
      <c r="G2632" s="1" t="s">
        <v>22</v>
      </c>
      <c r="H2632">
        <v>65</v>
      </c>
      <c r="I2632">
        <v>21</v>
      </c>
      <c r="J2632">
        <v>1</v>
      </c>
      <c r="K2632" s="1" t="s">
        <v>23</v>
      </c>
      <c r="L2632" s="1" t="s">
        <v>24</v>
      </c>
      <c r="M2632" s="1" t="s">
        <v>5718</v>
      </c>
      <c r="N2632" s="1" t="s">
        <v>5723</v>
      </c>
    </row>
    <row r="2633" spans="1:14" x14ac:dyDescent="0.35">
      <c r="A2633">
        <v>7471136</v>
      </c>
      <c r="B2633" s="1" t="s">
        <v>5672</v>
      </c>
      <c r="C2633">
        <v>2880</v>
      </c>
      <c r="D2633">
        <v>80</v>
      </c>
      <c r="E2633" s="1" t="s">
        <v>5724</v>
      </c>
      <c r="F2633" s="1" t="s">
        <v>738</v>
      </c>
      <c r="G2633" s="1" t="s">
        <v>16</v>
      </c>
      <c r="H2633">
        <v>132</v>
      </c>
      <c r="I2633">
        <v>55</v>
      </c>
      <c r="K2633" s="1" t="s">
        <v>124</v>
      </c>
      <c r="L2633" s="1" t="s">
        <v>18</v>
      </c>
      <c r="M2633" s="1" t="s">
        <v>5725</v>
      </c>
      <c r="N2633" s="1" t="s">
        <v>5726</v>
      </c>
    </row>
    <row r="2634" spans="1:14" x14ac:dyDescent="0.35">
      <c r="A2634">
        <v>7471066</v>
      </c>
      <c r="B2634" s="1" t="s">
        <v>5672</v>
      </c>
      <c r="C2634">
        <v>2880</v>
      </c>
      <c r="D2634">
        <v>80</v>
      </c>
      <c r="E2634" s="1" t="s">
        <v>5727</v>
      </c>
      <c r="F2634" s="1" t="s">
        <v>129</v>
      </c>
      <c r="G2634" s="1" t="s">
        <v>16</v>
      </c>
      <c r="H2634">
        <v>187</v>
      </c>
      <c r="I2634">
        <v>30</v>
      </c>
      <c r="J2634">
        <v>281</v>
      </c>
      <c r="K2634" s="1" t="s">
        <v>124</v>
      </c>
      <c r="L2634" s="1" t="s">
        <v>18</v>
      </c>
      <c r="M2634" s="1" t="s">
        <v>5725</v>
      </c>
      <c r="N2634" s="1" t="s">
        <v>5728</v>
      </c>
    </row>
    <row r="2635" spans="1:14" x14ac:dyDescent="0.35">
      <c r="A2635">
        <v>7471092</v>
      </c>
      <c r="B2635" s="1" t="s">
        <v>5672</v>
      </c>
      <c r="C2635">
        <v>2880</v>
      </c>
      <c r="D2635">
        <v>80</v>
      </c>
      <c r="E2635" s="1" t="s">
        <v>5729</v>
      </c>
      <c r="F2635" s="1" t="s">
        <v>15</v>
      </c>
      <c r="G2635" s="1" t="s">
        <v>16</v>
      </c>
      <c r="H2635">
        <v>264</v>
      </c>
      <c r="I2635">
        <v>43</v>
      </c>
      <c r="J2635">
        <v>593</v>
      </c>
      <c r="K2635" s="1" t="s">
        <v>137</v>
      </c>
      <c r="L2635" s="1" t="s">
        <v>18</v>
      </c>
      <c r="M2635" s="1" t="s">
        <v>5725</v>
      </c>
      <c r="N2635" s="1" t="s">
        <v>5730</v>
      </c>
    </row>
    <row r="2636" spans="1:14" x14ac:dyDescent="0.35">
      <c r="A2636">
        <v>7471011</v>
      </c>
      <c r="B2636" s="1" t="s">
        <v>5672</v>
      </c>
      <c r="C2636">
        <v>2880</v>
      </c>
      <c r="D2636">
        <v>80</v>
      </c>
      <c r="E2636" s="1" t="s">
        <v>5731</v>
      </c>
      <c r="F2636" s="1" t="s">
        <v>15</v>
      </c>
      <c r="G2636" s="1" t="s">
        <v>16</v>
      </c>
      <c r="H2636">
        <v>365</v>
      </c>
      <c r="I2636">
        <v>104</v>
      </c>
      <c r="J2636">
        <v>1079</v>
      </c>
      <c r="K2636" s="1" t="s">
        <v>124</v>
      </c>
      <c r="L2636" s="1" t="s">
        <v>18</v>
      </c>
      <c r="M2636" s="1" t="s">
        <v>5725</v>
      </c>
      <c r="N2636" s="1" t="s">
        <v>5732</v>
      </c>
    </row>
    <row r="2637" spans="1:14" x14ac:dyDescent="0.35">
      <c r="A2637">
        <v>7403033</v>
      </c>
      <c r="B2637" s="1" t="s">
        <v>5672</v>
      </c>
      <c r="C2637">
        <v>2880</v>
      </c>
      <c r="D2637">
        <v>80</v>
      </c>
      <c r="E2637" s="1" t="s">
        <v>5733</v>
      </c>
      <c r="F2637" s="1" t="s">
        <v>15</v>
      </c>
      <c r="G2637" s="1" t="s">
        <v>32</v>
      </c>
      <c r="H2637">
        <v>100</v>
      </c>
      <c r="I2637">
        <v>31</v>
      </c>
      <c r="J2637">
        <v>163</v>
      </c>
      <c r="K2637" s="1" t="s">
        <v>27</v>
      </c>
      <c r="L2637" s="1" t="s">
        <v>24</v>
      </c>
      <c r="M2637" s="1" t="s">
        <v>5725</v>
      </c>
      <c r="N2637" s="1" t="s">
        <v>5734</v>
      </c>
    </row>
    <row r="2638" spans="1:14" x14ac:dyDescent="0.35">
      <c r="A2638">
        <v>7471044</v>
      </c>
      <c r="B2638" s="1" t="s">
        <v>5672</v>
      </c>
      <c r="C2638">
        <v>2880</v>
      </c>
      <c r="D2638">
        <v>80</v>
      </c>
      <c r="E2638" s="1" t="s">
        <v>5735</v>
      </c>
      <c r="F2638" s="1" t="s">
        <v>15</v>
      </c>
      <c r="G2638" s="1" t="s">
        <v>32</v>
      </c>
      <c r="H2638">
        <v>102</v>
      </c>
      <c r="I2638">
        <v>33</v>
      </c>
      <c r="J2638">
        <v>135</v>
      </c>
      <c r="K2638" s="1" t="s">
        <v>84</v>
      </c>
      <c r="L2638" s="1" t="s">
        <v>24</v>
      </c>
      <c r="M2638" s="1" t="s">
        <v>5725</v>
      </c>
      <c r="N2638" s="1" t="s">
        <v>5736</v>
      </c>
    </row>
    <row r="2639" spans="1:14" x14ac:dyDescent="0.35">
      <c r="A2639">
        <v>7471070</v>
      </c>
      <c r="B2639" s="1" t="s">
        <v>5672</v>
      </c>
      <c r="C2639">
        <v>2880</v>
      </c>
      <c r="D2639">
        <v>80</v>
      </c>
      <c r="E2639" s="1" t="s">
        <v>5737</v>
      </c>
      <c r="F2639" s="1" t="s">
        <v>15</v>
      </c>
      <c r="G2639" s="1" t="s">
        <v>32</v>
      </c>
      <c r="H2639">
        <v>110</v>
      </c>
      <c r="I2639">
        <v>87</v>
      </c>
      <c r="J2639">
        <v>223</v>
      </c>
      <c r="K2639" s="1" t="s">
        <v>146</v>
      </c>
      <c r="L2639" s="1" t="s">
        <v>120</v>
      </c>
      <c r="M2639" s="1" t="s">
        <v>5725</v>
      </c>
      <c r="N2639" s="1" t="s">
        <v>5738</v>
      </c>
    </row>
    <row r="2640" spans="1:14" x14ac:dyDescent="0.35">
      <c r="A2640">
        <v>7471138</v>
      </c>
      <c r="B2640" s="1" t="s">
        <v>5672</v>
      </c>
      <c r="C2640">
        <v>2880</v>
      </c>
      <c r="D2640">
        <v>80</v>
      </c>
      <c r="E2640" s="1" t="s">
        <v>5739</v>
      </c>
      <c r="F2640" s="1" t="s">
        <v>15</v>
      </c>
      <c r="G2640" s="1" t="s">
        <v>22</v>
      </c>
      <c r="H2640">
        <v>61</v>
      </c>
      <c r="I2640">
        <v>14</v>
      </c>
      <c r="K2640" s="1" t="s">
        <v>84</v>
      </c>
      <c r="L2640" s="1" t="s">
        <v>24</v>
      </c>
      <c r="M2640" s="1" t="s">
        <v>5725</v>
      </c>
      <c r="N2640" s="1" t="s">
        <v>5740</v>
      </c>
    </row>
    <row r="2641" spans="1:14" x14ac:dyDescent="0.35">
      <c r="A2641">
        <v>7471137</v>
      </c>
      <c r="B2641" s="1" t="s">
        <v>5672</v>
      </c>
      <c r="C2641">
        <v>2880</v>
      </c>
      <c r="D2641">
        <v>80</v>
      </c>
      <c r="E2641" s="1" t="s">
        <v>5741</v>
      </c>
      <c r="F2641" s="1" t="s">
        <v>15</v>
      </c>
      <c r="G2641" s="1" t="s">
        <v>22</v>
      </c>
      <c r="H2641">
        <v>56</v>
      </c>
      <c r="I2641">
        <v>27</v>
      </c>
      <c r="K2641" s="1" t="s">
        <v>17</v>
      </c>
      <c r="L2641" s="1" t="s">
        <v>24</v>
      </c>
      <c r="M2641" s="1" t="s">
        <v>5725</v>
      </c>
      <c r="N2641" s="1" t="s">
        <v>5742</v>
      </c>
    </row>
    <row r="2642" spans="1:14" x14ac:dyDescent="0.35">
      <c r="A2642">
        <v>7471005</v>
      </c>
      <c r="B2642" s="1" t="s">
        <v>5672</v>
      </c>
      <c r="C2642">
        <v>2880</v>
      </c>
      <c r="D2642">
        <v>80</v>
      </c>
      <c r="E2642" s="1" t="s">
        <v>5743</v>
      </c>
      <c r="F2642" s="1" t="s">
        <v>15</v>
      </c>
      <c r="G2642" s="1" t="s">
        <v>22</v>
      </c>
      <c r="H2642">
        <v>53</v>
      </c>
      <c r="I2642">
        <v>24</v>
      </c>
      <c r="J2642">
        <v>77</v>
      </c>
      <c r="K2642" s="1" t="s">
        <v>23</v>
      </c>
      <c r="L2642" s="1" t="s">
        <v>24</v>
      </c>
      <c r="M2642" s="1" t="s">
        <v>5725</v>
      </c>
      <c r="N2642" s="1" t="s">
        <v>5744</v>
      </c>
    </row>
    <row r="2643" spans="1:14" x14ac:dyDescent="0.35">
      <c r="A2643">
        <v>7471007</v>
      </c>
      <c r="B2643" s="1" t="s">
        <v>5672</v>
      </c>
      <c r="C2643">
        <v>2880</v>
      </c>
      <c r="D2643">
        <v>80</v>
      </c>
      <c r="E2643" s="1" t="s">
        <v>5745</v>
      </c>
      <c r="F2643" s="1" t="s">
        <v>15</v>
      </c>
      <c r="G2643" s="1" t="s">
        <v>22</v>
      </c>
      <c r="H2643">
        <v>51</v>
      </c>
      <c r="I2643">
        <v>26</v>
      </c>
      <c r="J2643">
        <v>86</v>
      </c>
      <c r="K2643" s="1" t="s">
        <v>90</v>
      </c>
      <c r="L2643" s="1" t="s">
        <v>24</v>
      </c>
      <c r="M2643" s="1" t="s">
        <v>5725</v>
      </c>
      <c r="N2643" s="1" t="s">
        <v>5746</v>
      </c>
    </row>
    <row r="2644" spans="1:14" x14ac:dyDescent="0.35">
      <c r="A2644">
        <v>7471009</v>
      </c>
      <c r="B2644" s="1" t="s">
        <v>5672</v>
      </c>
      <c r="C2644">
        <v>2880</v>
      </c>
      <c r="D2644">
        <v>80</v>
      </c>
      <c r="E2644" s="1" t="s">
        <v>5747</v>
      </c>
      <c r="F2644" s="1" t="s">
        <v>15</v>
      </c>
      <c r="G2644" s="1" t="s">
        <v>22</v>
      </c>
      <c r="H2644">
        <v>53</v>
      </c>
      <c r="I2644">
        <v>19</v>
      </c>
      <c r="K2644" s="1" t="s">
        <v>90</v>
      </c>
      <c r="L2644" s="1" t="s">
        <v>24</v>
      </c>
      <c r="M2644" s="1" t="s">
        <v>5725</v>
      </c>
      <c r="N2644" s="1" t="s">
        <v>5748</v>
      </c>
    </row>
    <row r="2645" spans="1:14" x14ac:dyDescent="0.35">
      <c r="A2645">
        <v>7471008</v>
      </c>
      <c r="B2645" s="1" t="s">
        <v>5672</v>
      </c>
      <c r="C2645">
        <v>2880</v>
      </c>
      <c r="D2645">
        <v>80</v>
      </c>
      <c r="E2645" s="1" t="s">
        <v>5749</v>
      </c>
      <c r="F2645" s="1" t="s">
        <v>15</v>
      </c>
      <c r="G2645" s="1" t="s">
        <v>22</v>
      </c>
      <c r="H2645">
        <v>51</v>
      </c>
      <c r="I2645">
        <v>20</v>
      </c>
      <c r="J2645">
        <v>27</v>
      </c>
      <c r="K2645" s="1" t="s">
        <v>23</v>
      </c>
      <c r="L2645" s="1" t="s">
        <v>24</v>
      </c>
      <c r="M2645" s="1" t="s">
        <v>5725</v>
      </c>
      <c r="N2645" s="1" t="s">
        <v>5750</v>
      </c>
    </row>
    <row r="2646" spans="1:14" x14ac:dyDescent="0.35">
      <c r="A2646">
        <v>7471004</v>
      </c>
      <c r="B2646" s="1" t="s">
        <v>5672</v>
      </c>
      <c r="C2646">
        <v>2880</v>
      </c>
      <c r="D2646">
        <v>80</v>
      </c>
      <c r="E2646" s="1" t="s">
        <v>5751</v>
      </c>
      <c r="F2646" s="1" t="s">
        <v>15</v>
      </c>
      <c r="G2646" s="1" t="s">
        <v>22</v>
      </c>
      <c r="H2646">
        <v>65</v>
      </c>
      <c r="I2646">
        <v>32</v>
      </c>
      <c r="J2646">
        <v>70</v>
      </c>
      <c r="K2646" s="1" t="s">
        <v>23</v>
      </c>
      <c r="L2646" s="1" t="s">
        <v>24</v>
      </c>
      <c r="M2646" s="1" t="s">
        <v>5725</v>
      </c>
      <c r="N2646" s="1" t="s">
        <v>5752</v>
      </c>
    </row>
    <row r="2647" spans="1:14" x14ac:dyDescent="0.35">
      <c r="A2647">
        <v>7471002</v>
      </c>
      <c r="B2647" s="1" t="s">
        <v>5672</v>
      </c>
      <c r="C2647">
        <v>2880</v>
      </c>
      <c r="D2647">
        <v>80</v>
      </c>
      <c r="E2647" s="1" t="s">
        <v>5753</v>
      </c>
      <c r="F2647" s="1" t="s">
        <v>15</v>
      </c>
      <c r="G2647" s="1" t="s">
        <v>22</v>
      </c>
      <c r="H2647">
        <v>53</v>
      </c>
      <c r="I2647">
        <v>27</v>
      </c>
      <c r="J2647">
        <v>91</v>
      </c>
      <c r="K2647" s="1" t="s">
        <v>95</v>
      </c>
      <c r="L2647" s="1" t="s">
        <v>24</v>
      </c>
      <c r="M2647" s="1" t="s">
        <v>5725</v>
      </c>
      <c r="N2647" s="1" t="s">
        <v>5754</v>
      </c>
    </row>
    <row r="2648" spans="1:14" x14ac:dyDescent="0.35">
      <c r="A2648">
        <v>7402022</v>
      </c>
      <c r="B2648" s="1" t="s">
        <v>5672</v>
      </c>
      <c r="C2648">
        <v>2880</v>
      </c>
      <c r="D2648">
        <v>80</v>
      </c>
      <c r="E2648" s="1" t="s">
        <v>5755</v>
      </c>
      <c r="F2648" s="1" t="s">
        <v>71</v>
      </c>
      <c r="G2648" s="1" t="s">
        <v>32</v>
      </c>
      <c r="H2648">
        <v>26</v>
      </c>
      <c r="I2648">
        <v>15</v>
      </c>
      <c r="K2648" s="1" t="s">
        <v>95</v>
      </c>
      <c r="L2648" s="1" t="s">
        <v>24</v>
      </c>
      <c r="M2648" s="1" t="s">
        <v>5756</v>
      </c>
      <c r="N2648" s="1" t="s">
        <v>5757</v>
      </c>
    </row>
    <row r="2649" spans="1:14" x14ac:dyDescent="0.35">
      <c r="A2649">
        <v>7402010</v>
      </c>
      <c r="B2649" s="1" t="s">
        <v>5672</v>
      </c>
      <c r="C2649">
        <v>2880</v>
      </c>
      <c r="D2649">
        <v>80</v>
      </c>
      <c r="E2649" s="1" t="s">
        <v>5758</v>
      </c>
      <c r="F2649" s="1" t="s">
        <v>15</v>
      </c>
      <c r="G2649" s="1" t="s">
        <v>32</v>
      </c>
      <c r="H2649">
        <v>189</v>
      </c>
      <c r="I2649">
        <v>24</v>
      </c>
      <c r="J2649">
        <v>442</v>
      </c>
      <c r="K2649" s="1" t="s">
        <v>17</v>
      </c>
      <c r="L2649" s="1" t="s">
        <v>18</v>
      </c>
      <c r="M2649" s="1" t="s">
        <v>5756</v>
      </c>
      <c r="N2649" s="1" t="s">
        <v>5759</v>
      </c>
    </row>
    <row r="2650" spans="1:14" x14ac:dyDescent="0.35">
      <c r="A2650">
        <v>7402011</v>
      </c>
      <c r="B2650" s="1" t="s">
        <v>5672</v>
      </c>
      <c r="C2650">
        <v>2880</v>
      </c>
      <c r="D2650">
        <v>80</v>
      </c>
      <c r="E2650" s="1" t="s">
        <v>5760</v>
      </c>
      <c r="F2650" s="1" t="s">
        <v>15</v>
      </c>
      <c r="G2650" s="1" t="s">
        <v>22</v>
      </c>
      <c r="H2650">
        <v>100</v>
      </c>
      <c r="I2650">
        <v>14</v>
      </c>
      <c r="J2650">
        <v>134</v>
      </c>
      <c r="K2650" s="1" t="s">
        <v>17</v>
      </c>
      <c r="L2650" s="1" t="s">
        <v>24</v>
      </c>
      <c r="M2650" s="1" t="s">
        <v>5761</v>
      </c>
      <c r="N2650" s="1" t="s">
        <v>5762</v>
      </c>
    </row>
    <row r="2651" spans="1:14" x14ac:dyDescent="0.35">
      <c r="A2651">
        <v>7407012</v>
      </c>
      <c r="B2651" s="1" t="s">
        <v>5672</v>
      </c>
      <c r="C2651">
        <v>2880</v>
      </c>
      <c r="D2651">
        <v>80</v>
      </c>
      <c r="E2651" s="1" t="s">
        <v>5763</v>
      </c>
      <c r="F2651" s="1" t="s">
        <v>15</v>
      </c>
      <c r="G2651" s="1" t="s">
        <v>32</v>
      </c>
      <c r="H2651">
        <v>95</v>
      </c>
      <c r="I2651">
        <v>26</v>
      </c>
      <c r="J2651">
        <v>340</v>
      </c>
      <c r="K2651" s="1" t="s">
        <v>17</v>
      </c>
      <c r="L2651" s="1" t="s">
        <v>18</v>
      </c>
      <c r="M2651" s="1" t="s">
        <v>5764</v>
      </c>
      <c r="N2651" s="1" t="s">
        <v>5765</v>
      </c>
    </row>
    <row r="2652" spans="1:14" x14ac:dyDescent="0.35">
      <c r="A2652">
        <v>7101013</v>
      </c>
      <c r="B2652" s="1" t="s">
        <v>5766</v>
      </c>
      <c r="C2652">
        <v>2740.5</v>
      </c>
      <c r="D2652">
        <v>189</v>
      </c>
      <c r="E2652" s="1" t="s">
        <v>5767</v>
      </c>
      <c r="F2652" s="1" t="s">
        <v>15</v>
      </c>
      <c r="G2652" s="1" t="s">
        <v>32</v>
      </c>
      <c r="H2652">
        <v>100</v>
      </c>
      <c r="I2652">
        <v>33</v>
      </c>
      <c r="J2652">
        <v>221</v>
      </c>
      <c r="K2652" s="1" t="s">
        <v>17</v>
      </c>
      <c r="L2652" s="1" t="s">
        <v>24</v>
      </c>
      <c r="M2652" s="1" t="s">
        <v>5768</v>
      </c>
      <c r="N2652" s="1" t="s">
        <v>5769</v>
      </c>
    </row>
    <row r="2653" spans="1:14" x14ac:dyDescent="0.35">
      <c r="A2653">
        <v>7110002</v>
      </c>
      <c r="B2653" s="1" t="s">
        <v>5766</v>
      </c>
      <c r="C2653">
        <v>2740.5</v>
      </c>
      <c r="D2653">
        <v>189</v>
      </c>
      <c r="E2653" s="1" t="s">
        <v>5770</v>
      </c>
      <c r="F2653" s="1" t="s">
        <v>15</v>
      </c>
      <c r="G2653" s="1" t="s">
        <v>22</v>
      </c>
      <c r="H2653">
        <v>101</v>
      </c>
      <c r="I2653">
        <v>15</v>
      </c>
      <c r="J2653">
        <v>167</v>
      </c>
      <c r="K2653" s="1" t="s">
        <v>17</v>
      </c>
      <c r="L2653" s="1" t="s">
        <v>24</v>
      </c>
      <c r="M2653" s="1" t="s">
        <v>5771</v>
      </c>
      <c r="N2653" s="1" t="s">
        <v>5772</v>
      </c>
    </row>
    <row r="2654" spans="1:14" x14ac:dyDescent="0.35">
      <c r="A2654">
        <v>7111011</v>
      </c>
      <c r="B2654" s="1" t="s">
        <v>5766</v>
      </c>
      <c r="C2654">
        <v>2740.5</v>
      </c>
      <c r="D2654">
        <v>189</v>
      </c>
      <c r="E2654" s="1" t="s">
        <v>5773</v>
      </c>
      <c r="F2654" s="1" t="s">
        <v>15</v>
      </c>
      <c r="G2654" s="1" t="s">
        <v>22</v>
      </c>
      <c r="H2654">
        <v>50</v>
      </c>
      <c r="I2654">
        <v>13</v>
      </c>
      <c r="K2654" s="1" t="s">
        <v>17</v>
      </c>
      <c r="L2654" s="1" t="s">
        <v>24</v>
      </c>
      <c r="M2654" s="1" t="s">
        <v>5774</v>
      </c>
      <c r="N2654" s="1" t="s">
        <v>5775</v>
      </c>
    </row>
    <row r="2655" spans="1:14" x14ac:dyDescent="0.35">
      <c r="A2655">
        <v>7107014</v>
      </c>
      <c r="B2655" s="1" t="s">
        <v>5766</v>
      </c>
      <c r="C2655">
        <v>2740.5</v>
      </c>
      <c r="D2655">
        <v>189</v>
      </c>
      <c r="E2655" s="1" t="s">
        <v>5776</v>
      </c>
      <c r="F2655" s="1" t="s">
        <v>15</v>
      </c>
      <c r="G2655" s="1" t="s">
        <v>22</v>
      </c>
      <c r="H2655">
        <v>70</v>
      </c>
      <c r="I2655">
        <v>24</v>
      </c>
      <c r="K2655" s="1" t="s">
        <v>17</v>
      </c>
      <c r="L2655" s="1" t="s">
        <v>24</v>
      </c>
      <c r="M2655" s="1" t="s">
        <v>5777</v>
      </c>
      <c r="N2655" s="1" t="s">
        <v>5778</v>
      </c>
    </row>
    <row r="2656" spans="1:14" x14ac:dyDescent="0.35">
      <c r="A2656">
        <v>7107003</v>
      </c>
      <c r="B2656" s="1" t="s">
        <v>5766</v>
      </c>
      <c r="C2656">
        <v>2740.5</v>
      </c>
      <c r="D2656">
        <v>189</v>
      </c>
      <c r="E2656" s="1" t="s">
        <v>5779</v>
      </c>
      <c r="F2656" s="1" t="s">
        <v>15</v>
      </c>
      <c r="G2656" s="1" t="s">
        <v>22</v>
      </c>
      <c r="H2656">
        <v>108</v>
      </c>
      <c r="I2656">
        <v>29</v>
      </c>
      <c r="J2656">
        <v>132</v>
      </c>
      <c r="K2656" s="1" t="s">
        <v>17</v>
      </c>
      <c r="L2656" s="1" t="s">
        <v>24</v>
      </c>
      <c r="M2656" s="1" t="s">
        <v>5777</v>
      </c>
      <c r="N2656" s="1" t="s">
        <v>5780</v>
      </c>
    </row>
    <row r="2657" spans="1:14" x14ac:dyDescent="0.35">
      <c r="A2657">
        <v>7103015</v>
      </c>
      <c r="B2657" s="1" t="s">
        <v>5766</v>
      </c>
      <c r="C2657">
        <v>2740.5</v>
      </c>
      <c r="D2657">
        <v>189</v>
      </c>
      <c r="E2657" s="1" t="s">
        <v>5781</v>
      </c>
      <c r="F2657" s="1" t="s">
        <v>15</v>
      </c>
      <c r="G2657" s="1" t="s">
        <v>32</v>
      </c>
      <c r="H2657">
        <v>164</v>
      </c>
      <c r="I2657">
        <v>45</v>
      </c>
      <c r="J2657">
        <v>472</v>
      </c>
      <c r="K2657" s="1" t="s">
        <v>17</v>
      </c>
      <c r="L2657" s="1" t="s">
        <v>18</v>
      </c>
      <c r="M2657" s="1" t="s">
        <v>5782</v>
      </c>
      <c r="N2657" s="1" t="s">
        <v>5783</v>
      </c>
    </row>
    <row r="2658" spans="1:14" x14ac:dyDescent="0.35">
      <c r="A2658">
        <v>7103039</v>
      </c>
      <c r="B2658" s="1" t="s">
        <v>5766</v>
      </c>
      <c r="C2658">
        <v>2740.5</v>
      </c>
      <c r="D2658">
        <v>189</v>
      </c>
      <c r="E2658" s="1" t="s">
        <v>5784</v>
      </c>
      <c r="F2658" s="1" t="s">
        <v>15</v>
      </c>
      <c r="G2658" s="1" t="s">
        <v>22</v>
      </c>
      <c r="H2658">
        <v>64</v>
      </c>
      <c r="I2658">
        <v>19</v>
      </c>
      <c r="J2658">
        <v>46</v>
      </c>
      <c r="K2658" s="1" t="s">
        <v>17</v>
      </c>
      <c r="L2658" s="1" t="s">
        <v>24</v>
      </c>
      <c r="M2658" s="1" t="s">
        <v>5782</v>
      </c>
      <c r="N2658" s="1" t="s">
        <v>5785</v>
      </c>
    </row>
    <row r="2659" spans="1:14" x14ac:dyDescent="0.35">
      <c r="A2659">
        <v>7108037</v>
      </c>
      <c r="B2659" s="1" t="s">
        <v>5766</v>
      </c>
      <c r="C2659">
        <v>2740.5</v>
      </c>
      <c r="D2659">
        <v>189</v>
      </c>
      <c r="E2659" s="1" t="s">
        <v>5786</v>
      </c>
      <c r="F2659" s="1" t="s">
        <v>15</v>
      </c>
      <c r="G2659" s="1" t="s">
        <v>32</v>
      </c>
      <c r="H2659">
        <v>100</v>
      </c>
      <c r="I2659">
        <v>20</v>
      </c>
      <c r="J2659">
        <v>143</v>
      </c>
      <c r="K2659" s="1" t="s">
        <v>17</v>
      </c>
      <c r="L2659" s="1" t="s">
        <v>24</v>
      </c>
      <c r="M2659" s="1" t="s">
        <v>5787</v>
      </c>
      <c r="N2659" s="1" t="s">
        <v>5788</v>
      </c>
    </row>
    <row r="2660" spans="1:14" x14ac:dyDescent="0.35">
      <c r="A2660">
        <v>7103026</v>
      </c>
      <c r="B2660" s="1" t="s">
        <v>5766</v>
      </c>
      <c r="C2660">
        <v>2740.5</v>
      </c>
      <c r="D2660">
        <v>189</v>
      </c>
      <c r="E2660" s="1" t="s">
        <v>5789</v>
      </c>
      <c r="F2660" s="1" t="s">
        <v>15</v>
      </c>
      <c r="G2660" s="1" t="s">
        <v>32</v>
      </c>
      <c r="H2660">
        <v>93</v>
      </c>
      <c r="I2660">
        <v>30</v>
      </c>
      <c r="J2660">
        <v>161</v>
      </c>
      <c r="K2660" s="1" t="s">
        <v>17</v>
      </c>
      <c r="L2660" s="1" t="s">
        <v>24</v>
      </c>
      <c r="M2660" s="1" t="s">
        <v>5787</v>
      </c>
      <c r="N2660" s="1" t="s">
        <v>5790</v>
      </c>
    </row>
    <row r="2661" spans="1:14" x14ac:dyDescent="0.35">
      <c r="A2661">
        <v>7104038</v>
      </c>
      <c r="B2661" s="1" t="s">
        <v>5766</v>
      </c>
      <c r="C2661">
        <v>2740.5</v>
      </c>
      <c r="D2661">
        <v>189</v>
      </c>
      <c r="E2661" s="1" t="s">
        <v>5791</v>
      </c>
      <c r="F2661" s="1" t="s">
        <v>15</v>
      </c>
      <c r="G2661" s="1" t="s">
        <v>32</v>
      </c>
      <c r="H2661">
        <v>118</v>
      </c>
      <c r="I2661">
        <v>24</v>
      </c>
      <c r="J2661">
        <v>343</v>
      </c>
      <c r="K2661" s="1" t="s">
        <v>17</v>
      </c>
      <c r="L2661" s="1" t="s">
        <v>24</v>
      </c>
      <c r="M2661" s="1" t="s">
        <v>5792</v>
      </c>
      <c r="N2661" s="1" t="s">
        <v>5793</v>
      </c>
    </row>
    <row r="2662" spans="1:14" x14ac:dyDescent="0.35">
      <c r="A2662">
        <v>7104027</v>
      </c>
      <c r="B2662" s="1" t="s">
        <v>5766</v>
      </c>
      <c r="C2662">
        <v>2740.5</v>
      </c>
      <c r="D2662">
        <v>189</v>
      </c>
      <c r="E2662" s="1" t="s">
        <v>5794</v>
      </c>
      <c r="F2662" s="1" t="s">
        <v>15</v>
      </c>
      <c r="G2662" s="1" t="s">
        <v>22</v>
      </c>
      <c r="H2662">
        <v>66</v>
      </c>
      <c r="I2662">
        <v>12</v>
      </c>
      <c r="J2662">
        <v>2</v>
      </c>
      <c r="K2662" s="1" t="s">
        <v>17</v>
      </c>
      <c r="L2662" s="1" t="s">
        <v>24</v>
      </c>
      <c r="M2662" s="1" t="s">
        <v>5792</v>
      </c>
      <c r="N2662" s="1" t="s">
        <v>5795</v>
      </c>
    </row>
    <row r="2663" spans="1:14" x14ac:dyDescent="0.35">
      <c r="A2663">
        <v>7172036</v>
      </c>
      <c r="B2663" s="1" t="s">
        <v>5766</v>
      </c>
      <c r="C2663">
        <v>2740.5</v>
      </c>
      <c r="D2663">
        <v>189</v>
      </c>
      <c r="E2663" s="1" t="s">
        <v>5796</v>
      </c>
      <c r="F2663" s="1" t="s">
        <v>15</v>
      </c>
      <c r="G2663" s="1" t="s">
        <v>32</v>
      </c>
      <c r="H2663">
        <v>201</v>
      </c>
      <c r="I2663">
        <v>50</v>
      </c>
      <c r="J2663">
        <v>756</v>
      </c>
      <c r="K2663" s="1" t="s">
        <v>124</v>
      </c>
      <c r="L2663" s="1" t="s">
        <v>24</v>
      </c>
      <c r="M2663" s="1" t="s">
        <v>5797</v>
      </c>
      <c r="N2663" s="1" t="s">
        <v>5798</v>
      </c>
    </row>
    <row r="2664" spans="1:14" x14ac:dyDescent="0.35">
      <c r="A2664">
        <v>7172014</v>
      </c>
      <c r="B2664" s="1" t="s">
        <v>5766</v>
      </c>
      <c r="C2664">
        <v>2740.5</v>
      </c>
      <c r="D2664">
        <v>189</v>
      </c>
      <c r="E2664" s="1" t="s">
        <v>5799</v>
      </c>
      <c r="F2664" s="1" t="s">
        <v>15</v>
      </c>
      <c r="G2664" s="1" t="s">
        <v>32</v>
      </c>
      <c r="H2664">
        <v>116</v>
      </c>
      <c r="I2664">
        <v>26</v>
      </c>
      <c r="J2664">
        <v>187</v>
      </c>
      <c r="K2664" s="1" t="s">
        <v>572</v>
      </c>
      <c r="L2664" s="1" t="s">
        <v>24</v>
      </c>
      <c r="M2664" s="1" t="s">
        <v>5797</v>
      </c>
      <c r="N2664" s="1" t="s">
        <v>5800</v>
      </c>
    </row>
    <row r="2665" spans="1:14" x14ac:dyDescent="0.35">
      <c r="A2665">
        <v>7172048</v>
      </c>
      <c r="B2665" s="1" t="s">
        <v>5766</v>
      </c>
      <c r="C2665">
        <v>2740.5</v>
      </c>
      <c r="D2665">
        <v>189</v>
      </c>
      <c r="E2665" s="1" t="s">
        <v>5801</v>
      </c>
      <c r="F2665" s="1" t="s">
        <v>15</v>
      </c>
      <c r="G2665" s="1" t="s">
        <v>22</v>
      </c>
      <c r="H2665">
        <v>117</v>
      </c>
      <c r="I2665">
        <v>11</v>
      </c>
      <c r="K2665" s="1" t="s">
        <v>137</v>
      </c>
      <c r="L2665" s="1" t="s">
        <v>24</v>
      </c>
      <c r="M2665" s="1" t="s">
        <v>5797</v>
      </c>
      <c r="N2665" s="1" t="s">
        <v>5802</v>
      </c>
    </row>
    <row r="2666" spans="1:14" x14ac:dyDescent="0.35">
      <c r="A2666">
        <v>7172025</v>
      </c>
      <c r="B2666" s="1" t="s">
        <v>5766</v>
      </c>
      <c r="C2666">
        <v>2740.5</v>
      </c>
      <c r="D2666">
        <v>189</v>
      </c>
      <c r="E2666" s="1" t="s">
        <v>5803</v>
      </c>
      <c r="F2666" s="1" t="s">
        <v>15</v>
      </c>
      <c r="G2666" s="1" t="s">
        <v>22</v>
      </c>
      <c r="H2666">
        <v>92</v>
      </c>
      <c r="I2666">
        <v>14</v>
      </c>
      <c r="J2666">
        <v>71</v>
      </c>
      <c r="K2666" s="1" t="s">
        <v>191</v>
      </c>
      <c r="L2666" s="1" t="s">
        <v>24</v>
      </c>
      <c r="M2666" s="1" t="s">
        <v>5797</v>
      </c>
      <c r="N2666" s="1" t="s">
        <v>5804</v>
      </c>
    </row>
    <row r="2667" spans="1:14" x14ac:dyDescent="0.35">
      <c r="A2667">
        <v>7174004</v>
      </c>
      <c r="B2667" s="1" t="s">
        <v>5766</v>
      </c>
      <c r="C2667">
        <v>2740.5</v>
      </c>
      <c r="D2667">
        <v>189</v>
      </c>
      <c r="E2667" s="1" t="s">
        <v>5805</v>
      </c>
      <c r="F2667" s="1" t="s">
        <v>71</v>
      </c>
      <c r="G2667" s="1" t="s">
        <v>32</v>
      </c>
      <c r="H2667">
        <v>38</v>
      </c>
      <c r="I2667">
        <v>17</v>
      </c>
      <c r="J2667">
        <v>68</v>
      </c>
      <c r="K2667" s="1" t="s">
        <v>23</v>
      </c>
      <c r="L2667" s="1" t="s">
        <v>24</v>
      </c>
      <c r="M2667" s="1" t="s">
        <v>5806</v>
      </c>
      <c r="N2667" s="1" t="s">
        <v>5807</v>
      </c>
    </row>
    <row r="2668" spans="1:14" x14ac:dyDescent="0.35">
      <c r="A2668">
        <v>7101037</v>
      </c>
      <c r="B2668" s="1" t="s">
        <v>5766</v>
      </c>
      <c r="C2668">
        <v>2740.5</v>
      </c>
      <c r="D2668">
        <v>189</v>
      </c>
      <c r="E2668" s="1" t="s">
        <v>5808</v>
      </c>
      <c r="F2668" s="1" t="s">
        <v>15</v>
      </c>
      <c r="G2668" s="1" t="s">
        <v>32</v>
      </c>
      <c r="H2668">
        <v>88</v>
      </c>
      <c r="I2668">
        <v>26</v>
      </c>
      <c r="J2668">
        <v>116</v>
      </c>
      <c r="K2668" s="1" t="s">
        <v>90</v>
      </c>
      <c r="L2668" s="1" t="s">
        <v>24</v>
      </c>
      <c r="M2668" s="1" t="s">
        <v>5806</v>
      </c>
      <c r="N2668" s="1" t="s">
        <v>5809</v>
      </c>
    </row>
    <row r="2669" spans="1:14" x14ac:dyDescent="0.35">
      <c r="A2669">
        <v>7174035</v>
      </c>
      <c r="B2669" s="1" t="s">
        <v>5766</v>
      </c>
      <c r="C2669">
        <v>2740.5</v>
      </c>
      <c r="D2669">
        <v>189</v>
      </c>
      <c r="E2669" s="1" t="s">
        <v>5810</v>
      </c>
      <c r="F2669" s="1" t="s">
        <v>15</v>
      </c>
      <c r="G2669" s="1" t="s">
        <v>32</v>
      </c>
      <c r="H2669">
        <v>245</v>
      </c>
      <c r="I2669">
        <v>33</v>
      </c>
      <c r="J2669">
        <v>769</v>
      </c>
      <c r="K2669" s="1" t="s">
        <v>137</v>
      </c>
      <c r="L2669" s="1" t="s">
        <v>18</v>
      </c>
      <c r="M2669" s="1" t="s">
        <v>5806</v>
      </c>
      <c r="N2669" s="1" t="s">
        <v>5811</v>
      </c>
    </row>
    <row r="2670" spans="1:14" x14ac:dyDescent="0.35">
      <c r="A2670">
        <v>7174024</v>
      </c>
      <c r="B2670" s="1" t="s">
        <v>5766</v>
      </c>
      <c r="C2670">
        <v>2740.5</v>
      </c>
      <c r="D2670">
        <v>189</v>
      </c>
      <c r="E2670" s="1" t="s">
        <v>5812</v>
      </c>
      <c r="F2670" s="1" t="s">
        <v>15</v>
      </c>
      <c r="G2670" s="1" t="s">
        <v>22</v>
      </c>
      <c r="H2670">
        <v>110</v>
      </c>
      <c r="I2670">
        <v>20</v>
      </c>
      <c r="J2670">
        <v>180</v>
      </c>
      <c r="K2670" s="1" t="s">
        <v>819</v>
      </c>
      <c r="L2670" s="1" t="s">
        <v>24</v>
      </c>
      <c r="M2670" s="1" t="s">
        <v>5806</v>
      </c>
      <c r="N2670" s="1" t="s">
        <v>5813</v>
      </c>
    </row>
    <row r="2671" spans="1:14" x14ac:dyDescent="0.35">
      <c r="A2671">
        <v>7171108</v>
      </c>
      <c r="B2671" s="1" t="s">
        <v>5766</v>
      </c>
      <c r="C2671">
        <v>2740.5</v>
      </c>
      <c r="D2671">
        <v>189</v>
      </c>
      <c r="E2671" s="1" t="s">
        <v>5814</v>
      </c>
      <c r="F2671" s="1" t="s">
        <v>119</v>
      </c>
      <c r="G2671" s="1" t="s">
        <v>32</v>
      </c>
      <c r="H2671">
        <v>11</v>
      </c>
      <c r="I2671">
        <v>11</v>
      </c>
      <c r="J2671">
        <v>46</v>
      </c>
      <c r="K2671" s="1" t="s">
        <v>137</v>
      </c>
      <c r="L2671" s="1" t="s">
        <v>24</v>
      </c>
      <c r="M2671" s="1" t="s">
        <v>5815</v>
      </c>
      <c r="N2671" s="1" t="s">
        <v>5816</v>
      </c>
    </row>
    <row r="2672" spans="1:14" x14ac:dyDescent="0.35">
      <c r="A2672">
        <v>7171120</v>
      </c>
      <c r="B2672" s="1" t="s">
        <v>5766</v>
      </c>
      <c r="C2672">
        <v>2740.5</v>
      </c>
      <c r="D2672">
        <v>189</v>
      </c>
      <c r="E2672" s="1" t="s">
        <v>5817</v>
      </c>
      <c r="F2672" s="1" t="s">
        <v>119</v>
      </c>
      <c r="G2672" s="1" t="s">
        <v>32</v>
      </c>
      <c r="H2672">
        <v>10</v>
      </c>
      <c r="I2672">
        <v>18</v>
      </c>
      <c r="K2672" s="1" t="s">
        <v>49</v>
      </c>
      <c r="L2672" s="1" t="s">
        <v>24</v>
      </c>
      <c r="M2672" s="1" t="s">
        <v>5815</v>
      </c>
      <c r="N2672" s="1" t="s">
        <v>5818</v>
      </c>
    </row>
    <row r="2673" spans="1:14" x14ac:dyDescent="0.35">
      <c r="A2673">
        <v>7171095</v>
      </c>
      <c r="B2673" s="1" t="s">
        <v>5766</v>
      </c>
      <c r="C2673">
        <v>2740.5</v>
      </c>
      <c r="D2673">
        <v>189</v>
      </c>
      <c r="E2673" s="1" t="s">
        <v>5819</v>
      </c>
      <c r="F2673" s="1" t="s">
        <v>71</v>
      </c>
      <c r="G2673" s="1" t="s">
        <v>32</v>
      </c>
      <c r="H2673">
        <v>47</v>
      </c>
      <c r="I2673">
        <v>26</v>
      </c>
      <c r="J2673">
        <v>46</v>
      </c>
      <c r="K2673" s="1" t="s">
        <v>95</v>
      </c>
      <c r="L2673" s="1" t="s">
        <v>24</v>
      </c>
      <c r="M2673" s="1" t="s">
        <v>5815</v>
      </c>
      <c r="N2673" s="1" t="s">
        <v>5820</v>
      </c>
    </row>
    <row r="2674" spans="1:14" x14ac:dyDescent="0.35">
      <c r="A2674">
        <v>7171098</v>
      </c>
      <c r="B2674" s="1" t="s">
        <v>5766</v>
      </c>
      <c r="C2674">
        <v>2740.5</v>
      </c>
      <c r="D2674">
        <v>189</v>
      </c>
      <c r="E2674" s="1" t="s">
        <v>5821</v>
      </c>
      <c r="F2674" s="1" t="s">
        <v>71</v>
      </c>
      <c r="G2674" s="1" t="s">
        <v>32</v>
      </c>
      <c r="H2674">
        <v>58</v>
      </c>
      <c r="I2674">
        <v>10</v>
      </c>
      <c r="K2674" s="1" t="s">
        <v>23</v>
      </c>
      <c r="L2674" s="1" t="s">
        <v>24</v>
      </c>
      <c r="M2674" s="1" t="s">
        <v>5815</v>
      </c>
      <c r="N2674" s="1" t="s">
        <v>5822</v>
      </c>
    </row>
    <row r="2675" spans="1:14" x14ac:dyDescent="0.35">
      <c r="A2675">
        <v>7171122</v>
      </c>
      <c r="B2675" s="1" t="s">
        <v>5766</v>
      </c>
      <c r="C2675">
        <v>2740.5</v>
      </c>
      <c r="D2675">
        <v>189</v>
      </c>
      <c r="E2675" s="1" t="s">
        <v>5823</v>
      </c>
      <c r="F2675" s="1" t="s">
        <v>1065</v>
      </c>
      <c r="G2675" s="1" t="s">
        <v>16</v>
      </c>
      <c r="H2675">
        <v>79</v>
      </c>
      <c r="I2675">
        <v>28</v>
      </c>
      <c r="K2675" s="1" t="s">
        <v>124</v>
      </c>
      <c r="L2675" s="1" t="s">
        <v>24</v>
      </c>
      <c r="M2675" s="1" t="s">
        <v>5815</v>
      </c>
      <c r="N2675" s="1" t="s">
        <v>5824</v>
      </c>
    </row>
    <row r="2676" spans="1:14" x14ac:dyDescent="0.35">
      <c r="A2676">
        <v>7171104</v>
      </c>
      <c r="B2676" s="1" t="s">
        <v>5766</v>
      </c>
      <c r="C2676">
        <v>2740.5</v>
      </c>
      <c r="D2676">
        <v>189</v>
      </c>
      <c r="E2676" s="1" t="s">
        <v>5825</v>
      </c>
      <c r="F2676" s="1" t="s">
        <v>334</v>
      </c>
      <c r="G2676" s="1" t="s">
        <v>32</v>
      </c>
      <c r="H2676">
        <v>22</v>
      </c>
      <c r="I2676">
        <v>20</v>
      </c>
      <c r="J2676">
        <v>140</v>
      </c>
      <c r="K2676" s="1" t="s">
        <v>124</v>
      </c>
      <c r="L2676" s="1" t="s">
        <v>24</v>
      </c>
      <c r="M2676" s="1" t="s">
        <v>5815</v>
      </c>
      <c r="N2676" s="1" t="s">
        <v>5826</v>
      </c>
    </row>
    <row r="2677" spans="1:14" x14ac:dyDescent="0.35">
      <c r="A2677">
        <v>7171013</v>
      </c>
      <c r="B2677" s="1" t="s">
        <v>5766</v>
      </c>
      <c r="C2677">
        <v>2740.5</v>
      </c>
      <c r="D2677">
        <v>189</v>
      </c>
      <c r="E2677" s="1" t="s">
        <v>5827</v>
      </c>
      <c r="F2677" s="1" t="s">
        <v>15</v>
      </c>
      <c r="G2677" s="1" t="s">
        <v>130</v>
      </c>
      <c r="H2677">
        <v>729</v>
      </c>
      <c r="I2677">
        <v>95</v>
      </c>
      <c r="J2677">
        <v>2278</v>
      </c>
      <c r="K2677" s="1" t="s">
        <v>339</v>
      </c>
      <c r="L2677" s="1" t="s">
        <v>120</v>
      </c>
      <c r="M2677" s="1" t="s">
        <v>5815</v>
      </c>
      <c r="N2677" s="1" t="s">
        <v>5828</v>
      </c>
    </row>
    <row r="2678" spans="1:14" x14ac:dyDescent="0.35">
      <c r="A2678">
        <v>7171103</v>
      </c>
      <c r="B2678" s="1" t="s">
        <v>5766</v>
      </c>
      <c r="C2678">
        <v>2740.5</v>
      </c>
      <c r="D2678">
        <v>189</v>
      </c>
      <c r="E2678" s="1" t="s">
        <v>5829</v>
      </c>
      <c r="F2678" s="1" t="s">
        <v>15</v>
      </c>
      <c r="G2678" s="1" t="s">
        <v>16</v>
      </c>
      <c r="H2678">
        <v>287</v>
      </c>
      <c r="I2678">
        <v>22</v>
      </c>
      <c r="J2678">
        <v>99</v>
      </c>
      <c r="K2678" s="1" t="s">
        <v>124</v>
      </c>
      <c r="L2678" s="1" t="s">
        <v>24</v>
      </c>
      <c r="M2678" s="1" t="s">
        <v>5815</v>
      </c>
      <c r="N2678" s="1" t="s">
        <v>5830</v>
      </c>
    </row>
    <row r="2679" spans="1:14" x14ac:dyDescent="0.35">
      <c r="A2679">
        <v>7171099</v>
      </c>
      <c r="B2679" s="1" t="s">
        <v>5766</v>
      </c>
      <c r="C2679">
        <v>2740.5</v>
      </c>
      <c r="D2679">
        <v>189</v>
      </c>
      <c r="E2679" s="1" t="s">
        <v>5831</v>
      </c>
      <c r="F2679" s="1" t="s">
        <v>15</v>
      </c>
      <c r="G2679" s="1" t="s">
        <v>16</v>
      </c>
      <c r="H2679">
        <v>200</v>
      </c>
      <c r="I2679">
        <v>98</v>
      </c>
      <c r="J2679">
        <v>510</v>
      </c>
      <c r="K2679" s="1" t="s">
        <v>90</v>
      </c>
      <c r="L2679" s="1" t="s">
        <v>24</v>
      </c>
      <c r="M2679" s="1" t="s">
        <v>5815</v>
      </c>
      <c r="N2679" s="1" t="s">
        <v>5832</v>
      </c>
    </row>
    <row r="2680" spans="1:14" x14ac:dyDescent="0.35">
      <c r="A2680">
        <v>7171124</v>
      </c>
      <c r="B2680" s="1" t="s">
        <v>5766</v>
      </c>
      <c r="C2680">
        <v>2740.5</v>
      </c>
      <c r="D2680">
        <v>189</v>
      </c>
      <c r="E2680" s="1" t="s">
        <v>5833</v>
      </c>
      <c r="F2680" s="1" t="s">
        <v>15</v>
      </c>
      <c r="G2680" s="1" t="s">
        <v>32</v>
      </c>
      <c r="I2680">
        <v>1</v>
      </c>
      <c r="K2680" s="1" t="s">
        <v>23</v>
      </c>
      <c r="L2680" s="1" t="s">
        <v>24</v>
      </c>
      <c r="M2680" s="1" t="s">
        <v>5815</v>
      </c>
      <c r="N2680" s="1" t="s">
        <v>5834</v>
      </c>
    </row>
    <row r="2681" spans="1:14" x14ac:dyDescent="0.35">
      <c r="A2681">
        <v>7171061</v>
      </c>
      <c r="B2681" s="1" t="s">
        <v>5766</v>
      </c>
      <c r="C2681">
        <v>2740.5</v>
      </c>
      <c r="D2681">
        <v>189</v>
      </c>
      <c r="E2681" s="1" t="s">
        <v>5835</v>
      </c>
      <c r="F2681" s="1" t="s">
        <v>15</v>
      </c>
      <c r="G2681" s="1" t="s">
        <v>32</v>
      </c>
      <c r="H2681">
        <v>116</v>
      </c>
      <c r="I2681">
        <v>97</v>
      </c>
      <c r="J2681">
        <v>275</v>
      </c>
      <c r="K2681" s="1" t="s">
        <v>146</v>
      </c>
      <c r="L2681" s="1" t="s">
        <v>120</v>
      </c>
      <c r="M2681" s="1" t="s">
        <v>5815</v>
      </c>
      <c r="N2681" s="1" t="s">
        <v>5836</v>
      </c>
    </row>
    <row r="2682" spans="1:14" x14ac:dyDescent="0.35">
      <c r="A2682">
        <v>7171106</v>
      </c>
      <c r="B2682" s="1" t="s">
        <v>5766</v>
      </c>
      <c r="C2682">
        <v>2740.5</v>
      </c>
      <c r="D2682">
        <v>189</v>
      </c>
      <c r="E2682" s="1" t="s">
        <v>5837</v>
      </c>
      <c r="F2682" s="1" t="s">
        <v>15</v>
      </c>
      <c r="G2682" s="1" t="s">
        <v>32</v>
      </c>
      <c r="H2682">
        <v>115</v>
      </c>
      <c r="I2682">
        <v>76</v>
      </c>
      <c r="K2682" s="1" t="s">
        <v>90</v>
      </c>
      <c r="L2682" s="1" t="s">
        <v>24</v>
      </c>
      <c r="M2682" s="1" t="s">
        <v>5815</v>
      </c>
      <c r="N2682" s="1" t="s">
        <v>5838</v>
      </c>
    </row>
    <row r="2683" spans="1:14" x14ac:dyDescent="0.35">
      <c r="A2683">
        <v>7171083</v>
      </c>
      <c r="B2683" s="1" t="s">
        <v>5766</v>
      </c>
      <c r="C2683">
        <v>2740.5</v>
      </c>
      <c r="D2683">
        <v>189</v>
      </c>
      <c r="E2683" s="1" t="s">
        <v>5839</v>
      </c>
      <c r="F2683" s="1" t="s">
        <v>15</v>
      </c>
      <c r="G2683" s="1" t="s">
        <v>32</v>
      </c>
      <c r="H2683">
        <v>158</v>
      </c>
      <c r="I2683">
        <v>30</v>
      </c>
      <c r="J2683">
        <v>219</v>
      </c>
      <c r="K2683" s="1" t="s">
        <v>84</v>
      </c>
      <c r="L2683" s="1" t="s">
        <v>24</v>
      </c>
      <c r="M2683" s="1" t="s">
        <v>5815</v>
      </c>
      <c r="N2683" s="1" t="s">
        <v>5840</v>
      </c>
    </row>
    <row r="2684" spans="1:14" x14ac:dyDescent="0.35">
      <c r="A2684">
        <v>7171050</v>
      </c>
      <c r="B2684" s="1" t="s">
        <v>5766</v>
      </c>
      <c r="C2684">
        <v>2740.5</v>
      </c>
      <c r="D2684">
        <v>189</v>
      </c>
      <c r="E2684" s="1" t="s">
        <v>5841</v>
      </c>
      <c r="F2684" s="1" t="s">
        <v>15</v>
      </c>
      <c r="G2684" s="1" t="s">
        <v>32</v>
      </c>
      <c r="H2684">
        <v>163</v>
      </c>
      <c r="I2684">
        <v>27</v>
      </c>
      <c r="J2684">
        <v>527</v>
      </c>
      <c r="K2684" s="1" t="s">
        <v>819</v>
      </c>
      <c r="L2684" s="1" t="s">
        <v>24</v>
      </c>
      <c r="M2684" s="1" t="s">
        <v>5815</v>
      </c>
      <c r="N2684" s="1" t="s">
        <v>5842</v>
      </c>
    </row>
    <row r="2685" spans="1:14" x14ac:dyDescent="0.35">
      <c r="A2685">
        <v>7171102</v>
      </c>
      <c r="B2685" s="1" t="s">
        <v>5766</v>
      </c>
      <c r="C2685">
        <v>2740.5</v>
      </c>
      <c r="D2685">
        <v>189</v>
      </c>
      <c r="E2685" s="1" t="s">
        <v>5843</v>
      </c>
      <c r="F2685" s="1" t="s">
        <v>15</v>
      </c>
      <c r="G2685" s="1" t="s">
        <v>32</v>
      </c>
      <c r="H2685">
        <v>247</v>
      </c>
      <c r="I2685">
        <v>30</v>
      </c>
      <c r="J2685">
        <v>157</v>
      </c>
      <c r="K2685" s="1" t="s">
        <v>23</v>
      </c>
      <c r="L2685" s="1" t="s">
        <v>24</v>
      </c>
      <c r="M2685" s="1" t="s">
        <v>5815</v>
      </c>
      <c r="N2685" s="1" t="s">
        <v>5844</v>
      </c>
    </row>
    <row r="2686" spans="1:14" x14ac:dyDescent="0.35">
      <c r="A2686">
        <v>7171121</v>
      </c>
      <c r="B2686" s="1" t="s">
        <v>5766</v>
      </c>
      <c r="C2686">
        <v>2740.5</v>
      </c>
      <c r="D2686">
        <v>189</v>
      </c>
      <c r="E2686" s="1" t="s">
        <v>5845</v>
      </c>
      <c r="F2686" s="1" t="s">
        <v>15</v>
      </c>
      <c r="G2686" s="1" t="s">
        <v>32</v>
      </c>
      <c r="H2686">
        <v>105</v>
      </c>
      <c r="I2686">
        <v>27</v>
      </c>
      <c r="K2686" s="1" t="s">
        <v>137</v>
      </c>
      <c r="L2686" s="1" t="s">
        <v>24</v>
      </c>
      <c r="M2686" s="1" t="s">
        <v>5815</v>
      </c>
      <c r="N2686" s="1" t="s">
        <v>5846</v>
      </c>
    </row>
    <row r="2687" spans="1:14" x14ac:dyDescent="0.35">
      <c r="A2687">
        <v>7171024</v>
      </c>
      <c r="B2687" s="1" t="s">
        <v>5766</v>
      </c>
      <c r="C2687">
        <v>2740.5</v>
      </c>
      <c r="D2687">
        <v>189</v>
      </c>
      <c r="E2687" s="1" t="s">
        <v>5847</v>
      </c>
      <c r="F2687" s="1" t="s">
        <v>15</v>
      </c>
      <c r="G2687" s="1" t="s">
        <v>32</v>
      </c>
      <c r="H2687">
        <v>198</v>
      </c>
      <c r="I2687">
        <v>32</v>
      </c>
      <c r="J2687">
        <v>466</v>
      </c>
      <c r="K2687" s="1" t="s">
        <v>27</v>
      </c>
      <c r="L2687" s="1" t="s">
        <v>120</v>
      </c>
      <c r="M2687" s="1" t="s">
        <v>5815</v>
      </c>
      <c r="N2687" s="1" t="s">
        <v>5848</v>
      </c>
    </row>
    <row r="2688" spans="1:14" x14ac:dyDescent="0.35">
      <c r="A2688">
        <v>7171094</v>
      </c>
      <c r="B2688" s="1" t="s">
        <v>5766</v>
      </c>
      <c r="C2688">
        <v>2740.5</v>
      </c>
      <c r="D2688">
        <v>189</v>
      </c>
      <c r="E2688" s="1" t="s">
        <v>5849</v>
      </c>
      <c r="F2688" s="1" t="s">
        <v>15</v>
      </c>
      <c r="G2688" s="1" t="s">
        <v>32</v>
      </c>
      <c r="H2688">
        <v>75</v>
      </c>
      <c r="I2688">
        <v>15</v>
      </c>
      <c r="J2688">
        <v>39</v>
      </c>
      <c r="K2688" s="1" t="s">
        <v>84</v>
      </c>
      <c r="L2688" s="1" t="s">
        <v>24</v>
      </c>
      <c r="M2688" s="1" t="s">
        <v>5815</v>
      </c>
      <c r="N2688" s="1" t="s">
        <v>5850</v>
      </c>
    </row>
    <row r="2689" spans="1:14" x14ac:dyDescent="0.35">
      <c r="A2689">
        <v>7171105</v>
      </c>
      <c r="B2689" s="1" t="s">
        <v>5766</v>
      </c>
      <c r="C2689">
        <v>2740.5</v>
      </c>
      <c r="D2689">
        <v>189</v>
      </c>
      <c r="E2689" s="1" t="s">
        <v>5851</v>
      </c>
      <c r="F2689" s="1" t="s">
        <v>15</v>
      </c>
      <c r="G2689" s="1" t="s">
        <v>32</v>
      </c>
      <c r="H2689">
        <v>109</v>
      </c>
      <c r="I2689">
        <v>34</v>
      </c>
      <c r="J2689">
        <v>77</v>
      </c>
      <c r="K2689" s="1" t="s">
        <v>90</v>
      </c>
      <c r="L2689" s="1" t="s">
        <v>24</v>
      </c>
      <c r="M2689" s="1" t="s">
        <v>5815</v>
      </c>
      <c r="N2689" s="1" t="s">
        <v>5852</v>
      </c>
    </row>
    <row r="2690" spans="1:14" x14ac:dyDescent="0.35">
      <c r="A2690">
        <v>7171097</v>
      </c>
      <c r="B2690" s="1" t="s">
        <v>5766</v>
      </c>
      <c r="C2690">
        <v>2740.5</v>
      </c>
      <c r="D2690">
        <v>189</v>
      </c>
      <c r="E2690" s="1" t="s">
        <v>5853</v>
      </c>
      <c r="F2690" s="1" t="s">
        <v>15</v>
      </c>
      <c r="G2690" s="1" t="s">
        <v>22</v>
      </c>
      <c r="H2690">
        <v>53</v>
      </c>
      <c r="I2690">
        <v>16</v>
      </c>
      <c r="J2690">
        <v>62</v>
      </c>
      <c r="K2690" s="1" t="s">
        <v>974</v>
      </c>
      <c r="L2690" s="1" t="s">
        <v>24</v>
      </c>
      <c r="M2690" s="1" t="s">
        <v>5815</v>
      </c>
      <c r="N2690" s="1" t="s">
        <v>5854</v>
      </c>
    </row>
    <row r="2691" spans="1:14" x14ac:dyDescent="0.35">
      <c r="A2691">
        <v>7171072</v>
      </c>
      <c r="B2691" s="1" t="s">
        <v>5766</v>
      </c>
      <c r="C2691">
        <v>2740.5</v>
      </c>
      <c r="D2691">
        <v>189</v>
      </c>
      <c r="E2691" s="1" t="s">
        <v>1341</v>
      </c>
      <c r="F2691" s="1" t="s">
        <v>15</v>
      </c>
      <c r="G2691" s="1" t="s">
        <v>22</v>
      </c>
      <c r="H2691">
        <v>65</v>
      </c>
      <c r="I2691">
        <v>22</v>
      </c>
      <c r="J2691">
        <v>122</v>
      </c>
      <c r="K2691" s="1" t="s">
        <v>84</v>
      </c>
      <c r="L2691" s="1" t="s">
        <v>24</v>
      </c>
      <c r="M2691" s="1" t="s">
        <v>5815</v>
      </c>
      <c r="N2691" s="1" t="s">
        <v>5855</v>
      </c>
    </row>
    <row r="2692" spans="1:14" x14ac:dyDescent="0.35">
      <c r="A2692">
        <v>7173002</v>
      </c>
      <c r="B2692" s="1" t="s">
        <v>5766</v>
      </c>
      <c r="C2692">
        <v>2740.5</v>
      </c>
      <c r="D2692">
        <v>189</v>
      </c>
      <c r="E2692" s="1" t="s">
        <v>5856</v>
      </c>
      <c r="F2692" s="1" t="s">
        <v>15</v>
      </c>
      <c r="G2692" s="1" t="s">
        <v>32</v>
      </c>
      <c r="H2692">
        <v>106</v>
      </c>
      <c r="I2692">
        <v>22</v>
      </c>
      <c r="J2692">
        <v>394</v>
      </c>
      <c r="K2692" s="1" t="s">
        <v>137</v>
      </c>
      <c r="L2692" s="1" t="s">
        <v>18</v>
      </c>
      <c r="M2692" s="1" t="s">
        <v>5857</v>
      </c>
      <c r="N2692" s="1" t="s">
        <v>5858</v>
      </c>
    </row>
    <row r="2693" spans="1:14" x14ac:dyDescent="0.35">
      <c r="A2693">
        <v>7173051</v>
      </c>
      <c r="B2693" s="1" t="s">
        <v>5766</v>
      </c>
      <c r="C2693">
        <v>2740.5</v>
      </c>
      <c r="D2693">
        <v>189</v>
      </c>
      <c r="E2693" s="1" t="s">
        <v>5859</v>
      </c>
      <c r="F2693" s="1" t="s">
        <v>15</v>
      </c>
      <c r="G2693" s="1" t="s">
        <v>32</v>
      </c>
      <c r="H2693">
        <v>195</v>
      </c>
      <c r="I2693">
        <v>31</v>
      </c>
      <c r="J2693">
        <v>219</v>
      </c>
      <c r="K2693" s="1" t="s">
        <v>572</v>
      </c>
      <c r="L2693" s="1" t="s">
        <v>120</v>
      </c>
      <c r="M2693" s="1" t="s">
        <v>5857</v>
      </c>
      <c r="N2693" s="1" t="s">
        <v>5860</v>
      </c>
    </row>
    <row r="2694" spans="1:14" x14ac:dyDescent="0.35">
      <c r="A2694">
        <v>7173036</v>
      </c>
      <c r="B2694" s="1" t="s">
        <v>5766</v>
      </c>
      <c r="C2694">
        <v>2740.5</v>
      </c>
      <c r="D2694">
        <v>189</v>
      </c>
      <c r="E2694" s="1" t="s">
        <v>5861</v>
      </c>
      <c r="F2694" s="1" t="s">
        <v>15</v>
      </c>
      <c r="G2694" s="1" t="s">
        <v>32</v>
      </c>
      <c r="H2694">
        <v>238</v>
      </c>
      <c r="I2694">
        <v>77</v>
      </c>
      <c r="J2694">
        <v>572</v>
      </c>
      <c r="K2694" s="1" t="s">
        <v>819</v>
      </c>
      <c r="L2694" s="1" t="s">
        <v>24</v>
      </c>
      <c r="M2694" s="1" t="s">
        <v>5857</v>
      </c>
      <c r="N2694" s="1" t="s">
        <v>5862</v>
      </c>
    </row>
    <row r="2695" spans="1:14" x14ac:dyDescent="0.35">
      <c r="A2695">
        <v>7171035</v>
      </c>
      <c r="B2695" s="1" t="s">
        <v>5766</v>
      </c>
      <c r="C2695">
        <v>2740.5</v>
      </c>
      <c r="D2695">
        <v>189</v>
      </c>
      <c r="E2695" s="1" t="s">
        <v>5863</v>
      </c>
      <c r="F2695" s="1" t="s">
        <v>129</v>
      </c>
      <c r="G2695" s="1" t="s">
        <v>16</v>
      </c>
      <c r="H2695">
        <v>174</v>
      </c>
      <c r="I2695">
        <v>23</v>
      </c>
      <c r="J2695">
        <v>347</v>
      </c>
      <c r="K2695" s="1" t="s">
        <v>124</v>
      </c>
      <c r="L2695" s="1" t="s">
        <v>24</v>
      </c>
      <c r="M2695" s="1" t="s">
        <v>5864</v>
      </c>
      <c r="N2695" s="1" t="s">
        <v>5865</v>
      </c>
    </row>
    <row r="2696" spans="1:14" x14ac:dyDescent="0.35">
      <c r="A2696">
        <v>7102121</v>
      </c>
      <c r="B2696" s="1" t="s">
        <v>5766</v>
      </c>
      <c r="C2696">
        <v>2740.5</v>
      </c>
      <c r="D2696">
        <v>189</v>
      </c>
      <c r="E2696" s="1" t="s">
        <v>5866</v>
      </c>
      <c r="F2696" s="1" t="s">
        <v>15</v>
      </c>
      <c r="G2696" s="1" t="s">
        <v>16</v>
      </c>
      <c r="H2696">
        <v>200</v>
      </c>
      <c r="I2696">
        <v>91</v>
      </c>
      <c r="J2696">
        <v>87</v>
      </c>
      <c r="K2696" s="1" t="s">
        <v>90</v>
      </c>
      <c r="L2696" s="1" t="s">
        <v>24</v>
      </c>
      <c r="M2696" s="1" t="s">
        <v>5864</v>
      </c>
      <c r="N2696" s="1" t="s">
        <v>5867</v>
      </c>
    </row>
    <row r="2697" spans="1:14" x14ac:dyDescent="0.35">
      <c r="A2697">
        <v>7102073</v>
      </c>
      <c r="B2697" s="1" t="s">
        <v>5766</v>
      </c>
      <c r="C2697">
        <v>2740.5</v>
      </c>
      <c r="D2697">
        <v>189</v>
      </c>
      <c r="E2697" s="1" t="s">
        <v>5868</v>
      </c>
      <c r="F2697" s="1" t="s">
        <v>15</v>
      </c>
      <c r="G2697" s="1" t="s">
        <v>32</v>
      </c>
      <c r="H2697">
        <v>132</v>
      </c>
      <c r="I2697">
        <v>19</v>
      </c>
      <c r="J2697">
        <v>104</v>
      </c>
      <c r="K2697" s="1" t="s">
        <v>572</v>
      </c>
      <c r="L2697" s="1" t="s">
        <v>24</v>
      </c>
      <c r="M2697" s="1" t="s">
        <v>5864</v>
      </c>
      <c r="N2697" s="1" t="s">
        <v>5869</v>
      </c>
    </row>
    <row r="2698" spans="1:14" x14ac:dyDescent="0.35">
      <c r="A2698">
        <v>7102014</v>
      </c>
      <c r="B2698" s="1" t="s">
        <v>5766</v>
      </c>
      <c r="C2698">
        <v>2740.5</v>
      </c>
      <c r="D2698">
        <v>189</v>
      </c>
      <c r="E2698" s="1" t="s">
        <v>5870</v>
      </c>
      <c r="F2698" s="1" t="s">
        <v>15</v>
      </c>
      <c r="G2698" s="1" t="s">
        <v>32</v>
      </c>
      <c r="H2698">
        <v>151</v>
      </c>
      <c r="I2698">
        <v>38</v>
      </c>
      <c r="J2698">
        <v>55</v>
      </c>
      <c r="K2698" s="1" t="s">
        <v>17</v>
      </c>
      <c r="L2698" s="1" t="s">
        <v>18</v>
      </c>
      <c r="M2698" s="1" t="s">
        <v>5864</v>
      </c>
      <c r="N2698" s="1" t="s">
        <v>5871</v>
      </c>
    </row>
    <row r="2699" spans="1:14" x14ac:dyDescent="0.35">
      <c r="A2699">
        <v>7102120</v>
      </c>
      <c r="B2699" s="1" t="s">
        <v>5766</v>
      </c>
      <c r="C2699">
        <v>2740.5</v>
      </c>
      <c r="D2699">
        <v>189</v>
      </c>
      <c r="E2699" s="1" t="s">
        <v>5872</v>
      </c>
      <c r="F2699" s="1" t="s">
        <v>15</v>
      </c>
      <c r="G2699" s="1" t="s">
        <v>32</v>
      </c>
      <c r="H2699">
        <v>130</v>
      </c>
      <c r="I2699">
        <v>72</v>
      </c>
      <c r="J2699">
        <v>352</v>
      </c>
      <c r="K2699" s="1" t="s">
        <v>124</v>
      </c>
      <c r="L2699" s="1" t="s">
        <v>24</v>
      </c>
      <c r="M2699" s="1" t="s">
        <v>5864</v>
      </c>
      <c r="N2699" s="1" t="s">
        <v>5873</v>
      </c>
    </row>
    <row r="2700" spans="1:14" x14ac:dyDescent="0.35">
      <c r="A2700">
        <v>7102040</v>
      </c>
      <c r="B2700" s="1" t="s">
        <v>5766</v>
      </c>
      <c r="C2700">
        <v>2740.5</v>
      </c>
      <c r="D2700">
        <v>189</v>
      </c>
      <c r="E2700" s="1" t="s">
        <v>5874</v>
      </c>
      <c r="F2700" s="1" t="s">
        <v>15</v>
      </c>
      <c r="G2700" s="1" t="s">
        <v>22</v>
      </c>
      <c r="H2700">
        <v>131</v>
      </c>
      <c r="I2700">
        <v>90</v>
      </c>
      <c r="J2700">
        <v>58</v>
      </c>
      <c r="K2700" s="1" t="s">
        <v>819</v>
      </c>
      <c r="L2700" s="1" t="s">
        <v>24</v>
      </c>
      <c r="M2700" s="1" t="s">
        <v>5864</v>
      </c>
      <c r="N2700" s="1" t="s">
        <v>5875</v>
      </c>
    </row>
    <row r="2701" spans="1:14" x14ac:dyDescent="0.35">
      <c r="A2701">
        <v>7105116</v>
      </c>
      <c r="B2701" s="1" t="s">
        <v>5766</v>
      </c>
      <c r="C2701">
        <v>2740.5</v>
      </c>
      <c r="D2701">
        <v>189</v>
      </c>
      <c r="E2701" s="1" t="s">
        <v>5876</v>
      </c>
      <c r="F2701" s="1" t="s">
        <v>15</v>
      </c>
      <c r="G2701" s="1" t="s">
        <v>32</v>
      </c>
      <c r="H2701">
        <v>173</v>
      </c>
      <c r="I2701">
        <v>32</v>
      </c>
      <c r="J2701">
        <v>368</v>
      </c>
      <c r="K2701" s="1" t="s">
        <v>819</v>
      </c>
      <c r="L2701" s="1" t="s">
        <v>24</v>
      </c>
      <c r="M2701" s="1" t="s">
        <v>5877</v>
      </c>
      <c r="N2701" s="1" t="s">
        <v>5878</v>
      </c>
    </row>
    <row r="2702" spans="1:14" x14ac:dyDescent="0.35">
      <c r="A2702">
        <v>7105030</v>
      </c>
      <c r="B2702" s="1" t="s">
        <v>5766</v>
      </c>
      <c r="C2702">
        <v>2740.5</v>
      </c>
      <c r="D2702">
        <v>189</v>
      </c>
      <c r="E2702" s="1" t="s">
        <v>5879</v>
      </c>
      <c r="F2702" s="1" t="s">
        <v>15</v>
      </c>
      <c r="G2702" s="1" t="s">
        <v>32</v>
      </c>
      <c r="H2702">
        <v>92</v>
      </c>
      <c r="I2702">
        <v>18</v>
      </c>
      <c r="J2702">
        <v>21</v>
      </c>
      <c r="K2702" s="1" t="s">
        <v>17</v>
      </c>
      <c r="L2702" s="1" t="s">
        <v>24</v>
      </c>
      <c r="M2702" s="1" t="s">
        <v>5877</v>
      </c>
      <c r="N2702" s="1" t="s">
        <v>5880</v>
      </c>
    </row>
    <row r="2703" spans="1:14" x14ac:dyDescent="0.35">
      <c r="A2703">
        <v>7105084</v>
      </c>
      <c r="B2703" s="1" t="s">
        <v>5766</v>
      </c>
      <c r="C2703">
        <v>2740.5</v>
      </c>
      <c r="D2703">
        <v>189</v>
      </c>
      <c r="E2703" s="1" t="s">
        <v>5881</v>
      </c>
      <c r="F2703" s="1" t="s">
        <v>15</v>
      </c>
      <c r="G2703" s="1" t="s">
        <v>22</v>
      </c>
      <c r="H2703">
        <v>68</v>
      </c>
      <c r="I2703">
        <v>10</v>
      </c>
      <c r="J2703">
        <v>44</v>
      </c>
      <c r="K2703" s="1" t="s">
        <v>572</v>
      </c>
      <c r="L2703" s="1" t="s">
        <v>24</v>
      </c>
      <c r="M2703" s="1" t="s">
        <v>5877</v>
      </c>
      <c r="N2703" s="1" t="s">
        <v>5882</v>
      </c>
    </row>
    <row r="2704" spans="1:14" x14ac:dyDescent="0.35">
      <c r="A2704">
        <v>7109028</v>
      </c>
      <c r="B2704" s="1" t="s">
        <v>5766</v>
      </c>
      <c r="C2704">
        <v>2740.5</v>
      </c>
      <c r="D2704">
        <v>189</v>
      </c>
      <c r="E2704" s="1" t="s">
        <v>5883</v>
      </c>
      <c r="F2704" s="1" t="s">
        <v>15</v>
      </c>
      <c r="G2704" s="1" t="s">
        <v>32</v>
      </c>
      <c r="H2704">
        <v>100</v>
      </c>
      <c r="I2704">
        <v>22</v>
      </c>
      <c r="J2704">
        <v>109</v>
      </c>
      <c r="K2704" s="1" t="s">
        <v>339</v>
      </c>
      <c r="L2704" s="1" t="s">
        <v>24</v>
      </c>
      <c r="M2704" s="1" t="s">
        <v>5884</v>
      </c>
      <c r="N2704" s="1" t="s">
        <v>5885</v>
      </c>
    </row>
    <row r="2705" spans="1:14" x14ac:dyDescent="0.35">
      <c r="A2705">
        <v>7109002</v>
      </c>
      <c r="B2705" s="1" t="s">
        <v>5766</v>
      </c>
      <c r="C2705">
        <v>2740.5</v>
      </c>
      <c r="D2705">
        <v>189</v>
      </c>
      <c r="E2705" s="1" t="s">
        <v>5886</v>
      </c>
      <c r="F2705" s="1" t="s">
        <v>15</v>
      </c>
      <c r="G2705" s="1" t="s">
        <v>22</v>
      </c>
      <c r="H2705">
        <v>50</v>
      </c>
      <c r="I2705">
        <v>20</v>
      </c>
      <c r="J2705">
        <v>99</v>
      </c>
      <c r="K2705" s="1" t="s">
        <v>17</v>
      </c>
      <c r="L2705" s="1" t="s">
        <v>24</v>
      </c>
      <c r="M2705" s="1" t="s">
        <v>5884</v>
      </c>
      <c r="N2705" s="1" t="s">
        <v>5887</v>
      </c>
    </row>
    <row r="2706" spans="1:14" x14ac:dyDescent="0.35">
      <c r="A2706">
        <v>7106020</v>
      </c>
      <c r="B2706" s="1" t="s">
        <v>5766</v>
      </c>
      <c r="C2706">
        <v>2740.5</v>
      </c>
      <c r="D2706">
        <v>189</v>
      </c>
      <c r="E2706" s="1" t="s">
        <v>5888</v>
      </c>
      <c r="F2706" s="1" t="s">
        <v>15</v>
      </c>
      <c r="G2706" s="1" t="s">
        <v>16</v>
      </c>
      <c r="H2706">
        <v>202</v>
      </c>
      <c r="I2706">
        <v>82</v>
      </c>
      <c r="J2706">
        <v>152</v>
      </c>
      <c r="K2706" s="1" t="s">
        <v>23</v>
      </c>
      <c r="L2706" s="1" t="s">
        <v>120</v>
      </c>
      <c r="M2706" s="1" t="s">
        <v>5889</v>
      </c>
      <c r="N2706" s="1" t="s">
        <v>5890</v>
      </c>
    </row>
    <row r="2707" spans="1:14" x14ac:dyDescent="0.35">
      <c r="A2707">
        <v>7102062</v>
      </c>
      <c r="B2707" s="1" t="s">
        <v>5766</v>
      </c>
      <c r="C2707">
        <v>2740.5</v>
      </c>
      <c r="D2707">
        <v>189</v>
      </c>
      <c r="E2707" s="1" t="s">
        <v>5891</v>
      </c>
      <c r="F2707" s="1" t="s">
        <v>15</v>
      </c>
      <c r="G2707" s="1" t="s">
        <v>32</v>
      </c>
      <c r="H2707">
        <v>116</v>
      </c>
      <c r="I2707">
        <v>20</v>
      </c>
      <c r="J2707">
        <v>148</v>
      </c>
      <c r="K2707" s="1" t="s">
        <v>572</v>
      </c>
      <c r="L2707" s="1" t="s">
        <v>24</v>
      </c>
      <c r="M2707" s="1" t="s">
        <v>5889</v>
      </c>
      <c r="N2707" s="1" t="s">
        <v>5892</v>
      </c>
    </row>
    <row r="2708" spans="1:14" x14ac:dyDescent="0.35">
      <c r="A2708">
        <v>7106018</v>
      </c>
      <c r="B2708" s="1" t="s">
        <v>5766</v>
      </c>
      <c r="C2708">
        <v>2740.5</v>
      </c>
      <c r="D2708">
        <v>189</v>
      </c>
      <c r="E2708" s="1" t="s">
        <v>5893</v>
      </c>
      <c r="F2708" s="1" t="s">
        <v>15</v>
      </c>
      <c r="G2708" s="1" t="s">
        <v>32</v>
      </c>
      <c r="H2708">
        <v>109</v>
      </c>
      <c r="I2708">
        <v>32</v>
      </c>
      <c r="J2708">
        <v>346</v>
      </c>
      <c r="K2708" s="1" t="s">
        <v>17</v>
      </c>
      <c r="L2708" s="1" t="s">
        <v>18</v>
      </c>
      <c r="M2708" s="1" t="s">
        <v>5889</v>
      </c>
      <c r="N2708" s="1" t="s">
        <v>5894</v>
      </c>
    </row>
    <row r="2709" spans="1:14" x14ac:dyDescent="0.35">
      <c r="A2709">
        <v>7102095</v>
      </c>
      <c r="B2709" s="1" t="s">
        <v>5766</v>
      </c>
      <c r="C2709">
        <v>2740.5</v>
      </c>
      <c r="D2709">
        <v>189</v>
      </c>
      <c r="E2709" s="1" t="s">
        <v>5895</v>
      </c>
      <c r="F2709" s="1" t="s">
        <v>15</v>
      </c>
      <c r="G2709" s="1" t="s">
        <v>22</v>
      </c>
      <c r="H2709">
        <v>103</v>
      </c>
      <c r="I2709">
        <v>19</v>
      </c>
      <c r="J2709">
        <v>45</v>
      </c>
      <c r="K2709" s="1" t="s">
        <v>819</v>
      </c>
      <c r="L2709" s="1" t="s">
        <v>24</v>
      </c>
      <c r="M2709" s="1" t="s">
        <v>5889</v>
      </c>
      <c r="N2709" s="1" t="s">
        <v>5896</v>
      </c>
    </row>
    <row r="2710" spans="1:14" x14ac:dyDescent="0.35">
      <c r="A2710">
        <v>1307017</v>
      </c>
      <c r="B2710" s="1" t="s">
        <v>5897</v>
      </c>
      <c r="C2710">
        <v>5991.6</v>
      </c>
      <c r="D2710">
        <v>142</v>
      </c>
      <c r="E2710" s="1" t="s">
        <v>5898</v>
      </c>
      <c r="F2710" s="1" t="s">
        <v>71</v>
      </c>
      <c r="G2710" s="1" t="s">
        <v>32</v>
      </c>
      <c r="H2710">
        <v>40</v>
      </c>
      <c r="I2710">
        <v>21</v>
      </c>
      <c r="J2710">
        <v>110</v>
      </c>
      <c r="K2710" s="1" t="s">
        <v>95</v>
      </c>
      <c r="L2710" s="1" t="s">
        <v>24</v>
      </c>
      <c r="M2710" s="1" t="s">
        <v>5899</v>
      </c>
      <c r="N2710" s="1" t="s">
        <v>5900</v>
      </c>
    </row>
    <row r="2711" spans="1:14" x14ac:dyDescent="0.35">
      <c r="A2711">
        <v>1308016</v>
      </c>
      <c r="B2711" s="1" t="s">
        <v>5897</v>
      </c>
      <c r="C2711">
        <v>5991.6</v>
      </c>
      <c r="D2711">
        <v>142</v>
      </c>
      <c r="E2711" s="1" t="s">
        <v>5901</v>
      </c>
      <c r="F2711" s="1" t="s">
        <v>15</v>
      </c>
      <c r="G2711" s="1" t="s">
        <v>32</v>
      </c>
      <c r="H2711">
        <v>144</v>
      </c>
      <c r="I2711">
        <v>45</v>
      </c>
      <c r="J2711">
        <v>371</v>
      </c>
      <c r="K2711" s="1" t="s">
        <v>17</v>
      </c>
      <c r="L2711" s="1" t="s">
        <v>18</v>
      </c>
      <c r="M2711" s="1" t="s">
        <v>5899</v>
      </c>
      <c r="N2711" s="1" t="s">
        <v>5902</v>
      </c>
    </row>
    <row r="2712" spans="1:14" x14ac:dyDescent="0.35">
      <c r="A2712">
        <v>1311013</v>
      </c>
      <c r="B2712" s="1" t="s">
        <v>5897</v>
      </c>
      <c r="C2712">
        <v>5991.6</v>
      </c>
      <c r="D2712">
        <v>142</v>
      </c>
      <c r="E2712" s="1" t="s">
        <v>5903</v>
      </c>
      <c r="F2712" s="1" t="s">
        <v>15</v>
      </c>
      <c r="G2712" s="1" t="s">
        <v>32</v>
      </c>
      <c r="H2712">
        <v>166</v>
      </c>
      <c r="I2712">
        <v>72</v>
      </c>
      <c r="J2712">
        <v>541</v>
      </c>
      <c r="K2712" s="1" t="s">
        <v>17</v>
      </c>
      <c r="L2712" s="1" t="s">
        <v>18</v>
      </c>
      <c r="M2712" s="1" t="s">
        <v>5904</v>
      </c>
      <c r="N2712" s="1" t="s">
        <v>5905</v>
      </c>
    </row>
    <row r="2713" spans="1:14" x14ac:dyDescent="0.35">
      <c r="A2713">
        <v>1311002</v>
      </c>
      <c r="B2713" s="1" t="s">
        <v>5897</v>
      </c>
      <c r="C2713">
        <v>5991.6</v>
      </c>
      <c r="D2713">
        <v>142</v>
      </c>
      <c r="E2713" s="1" t="s">
        <v>5906</v>
      </c>
      <c r="F2713" s="1" t="s">
        <v>15</v>
      </c>
      <c r="G2713" s="1" t="s">
        <v>22</v>
      </c>
      <c r="H2713">
        <v>63</v>
      </c>
      <c r="I2713">
        <v>12</v>
      </c>
      <c r="J2713">
        <v>96</v>
      </c>
      <c r="K2713" s="1" t="s">
        <v>17</v>
      </c>
      <c r="L2713" s="1" t="s">
        <v>18</v>
      </c>
      <c r="M2713" s="1" t="s">
        <v>5904</v>
      </c>
      <c r="N2713" s="1" t="s">
        <v>5907</v>
      </c>
    </row>
    <row r="2714" spans="1:14" x14ac:dyDescent="0.35">
      <c r="A2714">
        <v>1301010</v>
      </c>
      <c r="B2714" s="1" t="s">
        <v>5897</v>
      </c>
      <c r="C2714">
        <v>5991.6</v>
      </c>
      <c r="D2714">
        <v>142</v>
      </c>
      <c r="E2714" s="1" t="s">
        <v>5908</v>
      </c>
      <c r="F2714" s="1" t="s">
        <v>15</v>
      </c>
      <c r="G2714" s="1" t="s">
        <v>22</v>
      </c>
      <c r="H2714">
        <v>51</v>
      </c>
      <c r="I2714">
        <v>28</v>
      </c>
      <c r="J2714">
        <v>70</v>
      </c>
      <c r="K2714" s="1" t="s">
        <v>17</v>
      </c>
      <c r="L2714" s="1" t="s">
        <v>24</v>
      </c>
      <c r="M2714" s="1" t="s">
        <v>5909</v>
      </c>
      <c r="N2714" s="1" t="s">
        <v>5910</v>
      </c>
    </row>
    <row r="2715" spans="1:14" x14ac:dyDescent="0.35">
      <c r="A2715">
        <v>1375036</v>
      </c>
      <c r="B2715" s="1" t="s">
        <v>5897</v>
      </c>
      <c r="C2715">
        <v>5991.6</v>
      </c>
      <c r="D2715">
        <v>142</v>
      </c>
      <c r="E2715" s="1" t="s">
        <v>5911</v>
      </c>
      <c r="F2715" s="1" t="s">
        <v>5912</v>
      </c>
      <c r="G2715" s="1" t="s">
        <v>130</v>
      </c>
      <c r="H2715">
        <v>151</v>
      </c>
      <c r="I2715">
        <v>27</v>
      </c>
      <c r="J2715">
        <v>660</v>
      </c>
      <c r="K2715" s="1" t="s">
        <v>339</v>
      </c>
      <c r="L2715" s="1" t="s">
        <v>120</v>
      </c>
      <c r="M2715" s="1" t="s">
        <v>5913</v>
      </c>
      <c r="N2715" s="1" t="s">
        <v>5914</v>
      </c>
    </row>
    <row r="2716" spans="1:14" x14ac:dyDescent="0.35">
      <c r="A2716">
        <v>1375014</v>
      </c>
      <c r="B2716" s="1" t="s">
        <v>5897</v>
      </c>
      <c r="C2716">
        <v>5991.6</v>
      </c>
      <c r="D2716">
        <v>142</v>
      </c>
      <c r="E2716" s="1" t="s">
        <v>5915</v>
      </c>
      <c r="F2716" s="1" t="s">
        <v>15</v>
      </c>
      <c r="G2716" s="1" t="s">
        <v>16</v>
      </c>
      <c r="H2716">
        <v>311</v>
      </c>
      <c r="I2716">
        <v>107</v>
      </c>
      <c r="J2716">
        <v>583</v>
      </c>
      <c r="K2716" s="1" t="s">
        <v>124</v>
      </c>
      <c r="L2716" s="1" t="s">
        <v>18</v>
      </c>
      <c r="M2716" s="1" t="s">
        <v>5913</v>
      </c>
      <c r="N2716" s="1" t="s">
        <v>5916</v>
      </c>
    </row>
    <row r="2717" spans="1:14" x14ac:dyDescent="0.35">
      <c r="A2717">
        <v>1375053</v>
      </c>
      <c r="B2717" s="1" t="s">
        <v>5897</v>
      </c>
      <c r="C2717">
        <v>5991.6</v>
      </c>
      <c r="D2717">
        <v>142</v>
      </c>
      <c r="E2717" s="1" t="s">
        <v>5917</v>
      </c>
      <c r="F2717" s="1" t="s">
        <v>15</v>
      </c>
      <c r="G2717" s="1" t="s">
        <v>32</v>
      </c>
      <c r="H2717">
        <v>100</v>
      </c>
      <c r="I2717">
        <v>82</v>
      </c>
      <c r="J2717">
        <v>215</v>
      </c>
      <c r="K2717" s="1" t="s">
        <v>137</v>
      </c>
      <c r="L2717" s="1" t="s">
        <v>18</v>
      </c>
      <c r="M2717" s="1" t="s">
        <v>5913</v>
      </c>
      <c r="N2717" s="1" t="s">
        <v>5918</v>
      </c>
    </row>
    <row r="2718" spans="1:14" x14ac:dyDescent="0.35">
      <c r="A2718">
        <v>1375040</v>
      </c>
      <c r="B2718" s="1" t="s">
        <v>5897</v>
      </c>
      <c r="C2718">
        <v>5991.6</v>
      </c>
      <c r="D2718">
        <v>142</v>
      </c>
      <c r="E2718" s="1" t="s">
        <v>5919</v>
      </c>
      <c r="F2718" s="1" t="s">
        <v>15</v>
      </c>
      <c r="G2718" s="1" t="s">
        <v>32</v>
      </c>
      <c r="H2718">
        <v>131</v>
      </c>
      <c r="I2718">
        <v>57</v>
      </c>
      <c r="J2718">
        <v>482</v>
      </c>
      <c r="K2718" s="1" t="s">
        <v>444</v>
      </c>
      <c r="L2718" s="1" t="s">
        <v>24</v>
      </c>
      <c r="M2718" s="1" t="s">
        <v>5913</v>
      </c>
      <c r="N2718" s="1" t="s">
        <v>5920</v>
      </c>
    </row>
    <row r="2719" spans="1:14" x14ac:dyDescent="0.35">
      <c r="A2719">
        <v>1375051</v>
      </c>
      <c r="B2719" s="1" t="s">
        <v>5897</v>
      </c>
      <c r="C2719">
        <v>5991.6</v>
      </c>
      <c r="D2719">
        <v>142</v>
      </c>
      <c r="E2719" s="1" t="s">
        <v>5921</v>
      </c>
      <c r="F2719" s="1" t="s">
        <v>15</v>
      </c>
      <c r="G2719" s="1" t="s">
        <v>22</v>
      </c>
      <c r="H2719">
        <v>61</v>
      </c>
      <c r="I2719">
        <v>27</v>
      </c>
      <c r="J2719">
        <v>229</v>
      </c>
      <c r="K2719" s="1" t="s">
        <v>444</v>
      </c>
      <c r="L2719" s="1" t="s">
        <v>24</v>
      </c>
      <c r="M2719" s="1" t="s">
        <v>5913</v>
      </c>
      <c r="N2719" s="1" t="s">
        <v>5922</v>
      </c>
    </row>
    <row r="2720" spans="1:14" x14ac:dyDescent="0.35">
      <c r="A2720">
        <v>1375025</v>
      </c>
      <c r="B2720" s="1" t="s">
        <v>5897</v>
      </c>
      <c r="C2720">
        <v>5991.6</v>
      </c>
      <c r="D2720">
        <v>142</v>
      </c>
      <c r="E2720" s="1" t="s">
        <v>5923</v>
      </c>
      <c r="F2720" s="1" t="s">
        <v>15</v>
      </c>
      <c r="G2720" s="1" t="s">
        <v>22</v>
      </c>
      <c r="H2720">
        <v>61</v>
      </c>
      <c r="I2720">
        <v>32</v>
      </c>
      <c r="J2720">
        <v>73</v>
      </c>
      <c r="K2720" s="1" t="s">
        <v>27</v>
      </c>
      <c r="L2720" s="1" t="s">
        <v>24</v>
      </c>
      <c r="M2720" s="1" t="s">
        <v>5913</v>
      </c>
      <c r="N2720" s="1" t="s">
        <v>5924</v>
      </c>
    </row>
    <row r="2721" spans="1:14" x14ac:dyDescent="0.35">
      <c r="A2721">
        <v>1371463</v>
      </c>
      <c r="B2721" s="1" t="s">
        <v>5897</v>
      </c>
      <c r="C2721">
        <v>5991.6</v>
      </c>
      <c r="D2721">
        <v>142</v>
      </c>
      <c r="E2721" s="1" t="s">
        <v>5925</v>
      </c>
      <c r="F2721" s="1" t="s">
        <v>220</v>
      </c>
      <c r="G2721" s="1" t="s">
        <v>32</v>
      </c>
      <c r="H2721">
        <v>25</v>
      </c>
      <c r="I2721">
        <v>16</v>
      </c>
      <c r="J2721">
        <v>53</v>
      </c>
      <c r="K2721" s="1" t="s">
        <v>23</v>
      </c>
      <c r="L2721" s="1" t="s">
        <v>24</v>
      </c>
      <c r="M2721" s="1" t="s">
        <v>5926</v>
      </c>
      <c r="N2721" s="1" t="s">
        <v>5927</v>
      </c>
    </row>
    <row r="2722" spans="1:14" x14ac:dyDescent="0.35">
      <c r="A2722">
        <v>1371422</v>
      </c>
      <c r="B2722" s="1" t="s">
        <v>5897</v>
      </c>
      <c r="C2722">
        <v>5991.6</v>
      </c>
      <c r="D2722">
        <v>142</v>
      </c>
      <c r="E2722" s="1" t="s">
        <v>5928</v>
      </c>
      <c r="F2722" s="1" t="s">
        <v>220</v>
      </c>
      <c r="G2722" s="1" t="s">
        <v>32</v>
      </c>
      <c r="H2722">
        <v>29</v>
      </c>
      <c r="I2722">
        <v>26</v>
      </c>
      <c r="J2722">
        <v>165</v>
      </c>
      <c r="K2722" s="1" t="s">
        <v>84</v>
      </c>
      <c r="L2722" s="1" t="s">
        <v>24</v>
      </c>
      <c r="M2722" s="1" t="s">
        <v>5926</v>
      </c>
      <c r="N2722" s="1" t="s">
        <v>5929</v>
      </c>
    </row>
    <row r="2723" spans="1:14" x14ac:dyDescent="0.35">
      <c r="A2723">
        <v>1371454</v>
      </c>
      <c r="B2723" s="1" t="s">
        <v>5897</v>
      </c>
      <c r="C2723">
        <v>5991.6</v>
      </c>
      <c r="D2723">
        <v>142</v>
      </c>
      <c r="E2723" s="1" t="s">
        <v>5930</v>
      </c>
      <c r="F2723" s="1" t="s">
        <v>119</v>
      </c>
      <c r="G2723" s="1" t="s">
        <v>16</v>
      </c>
      <c r="H2723">
        <v>12</v>
      </c>
      <c r="I2723">
        <v>9</v>
      </c>
      <c r="J2723">
        <v>37</v>
      </c>
      <c r="K2723" s="1" t="s">
        <v>444</v>
      </c>
      <c r="L2723" s="1" t="s">
        <v>24</v>
      </c>
      <c r="M2723" s="1" t="s">
        <v>5926</v>
      </c>
      <c r="N2723" s="1" t="s">
        <v>5931</v>
      </c>
    </row>
    <row r="2724" spans="1:14" x14ac:dyDescent="0.35">
      <c r="A2724">
        <v>1371478</v>
      </c>
      <c r="B2724" s="1" t="s">
        <v>5897</v>
      </c>
      <c r="C2724">
        <v>5991.6</v>
      </c>
      <c r="D2724">
        <v>142</v>
      </c>
      <c r="E2724" s="1" t="s">
        <v>5932</v>
      </c>
      <c r="F2724" s="1" t="s">
        <v>119</v>
      </c>
      <c r="G2724" s="1" t="s">
        <v>16</v>
      </c>
      <c r="H2724">
        <v>14</v>
      </c>
      <c r="I2724">
        <v>21</v>
      </c>
      <c r="K2724" s="1" t="s">
        <v>49</v>
      </c>
      <c r="L2724" s="1" t="s">
        <v>24</v>
      </c>
      <c r="M2724" s="1" t="s">
        <v>5926</v>
      </c>
      <c r="N2724" s="1" t="s">
        <v>5933</v>
      </c>
    </row>
    <row r="2725" spans="1:14" x14ac:dyDescent="0.35">
      <c r="A2725">
        <v>1371455</v>
      </c>
      <c r="B2725" s="1" t="s">
        <v>5897</v>
      </c>
      <c r="C2725">
        <v>5991.6</v>
      </c>
      <c r="D2725">
        <v>142</v>
      </c>
      <c r="E2725" s="1" t="s">
        <v>5934</v>
      </c>
      <c r="F2725" s="1" t="s">
        <v>71</v>
      </c>
      <c r="G2725" s="1" t="s">
        <v>32</v>
      </c>
      <c r="H2725">
        <v>45</v>
      </c>
      <c r="I2725">
        <v>16</v>
      </c>
      <c r="J2725">
        <v>73</v>
      </c>
      <c r="K2725" s="1" t="s">
        <v>95</v>
      </c>
      <c r="L2725" s="1" t="s">
        <v>24</v>
      </c>
      <c r="M2725" s="1" t="s">
        <v>5926</v>
      </c>
      <c r="N2725" s="1" t="s">
        <v>5935</v>
      </c>
    </row>
    <row r="2726" spans="1:14" x14ac:dyDescent="0.35">
      <c r="A2726">
        <v>1371460</v>
      </c>
      <c r="B2726" s="1" t="s">
        <v>5897</v>
      </c>
      <c r="C2726">
        <v>5991.6</v>
      </c>
      <c r="D2726">
        <v>142</v>
      </c>
      <c r="E2726" s="1" t="s">
        <v>390</v>
      </c>
      <c r="F2726" s="1" t="s">
        <v>71</v>
      </c>
      <c r="G2726" s="1" t="s">
        <v>32</v>
      </c>
      <c r="H2726">
        <v>27</v>
      </c>
      <c r="I2726">
        <v>14</v>
      </c>
      <c r="J2726">
        <v>40</v>
      </c>
      <c r="K2726" s="1" t="s">
        <v>90</v>
      </c>
      <c r="L2726" s="1" t="s">
        <v>24</v>
      </c>
      <c r="M2726" s="1" t="s">
        <v>5926</v>
      </c>
      <c r="N2726" s="1" t="s">
        <v>5936</v>
      </c>
    </row>
    <row r="2727" spans="1:14" x14ac:dyDescent="0.35">
      <c r="A2727">
        <v>1371451</v>
      </c>
      <c r="B2727" s="1" t="s">
        <v>5897</v>
      </c>
      <c r="C2727">
        <v>5991.6</v>
      </c>
      <c r="D2727">
        <v>142</v>
      </c>
      <c r="E2727" s="1" t="s">
        <v>5937</v>
      </c>
      <c r="F2727" s="1" t="s">
        <v>71</v>
      </c>
      <c r="G2727" s="1" t="s">
        <v>32</v>
      </c>
      <c r="H2727">
        <v>32</v>
      </c>
      <c r="I2727">
        <v>26</v>
      </c>
      <c r="J2727">
        <v>136</v>
      </c>
      <c r="K2727" s="1" t="s">
        <v>23</v>
      </c>
      <c r="L2727" s="1" t="s">
        <v>24</v>
      </c>
      <c r="M2727" s="1" t="s">
        <v>5926</v>
      </c>
      <c r="N2727" s="1" t="s">
        <v>5938</v>
      </c>
    </row>
    <row r="2728" spans="1:14" x14ac:dyDescent="0.35">
      <c r="A2728">
        <v>1371400</v>
      </c>
      <c r="B2728" s="1" t="s">
        <v>5897</v>
      </c>
      <c r="C2728">
        <v>5991.6</v>
      </c>
      <c r="D2728">
        <v>142</v>
      </c>
      <c r="E2728" s="1" t="s">
        <v>5939</v>
      </c>
      <c r="F2728" s="1" t="s">
        <v>71</v>
      </c>
      <c r="G2728" s="1" t="s">
        <v>32</v>
      </c>
      <c r="H2728">
        <v>28</v>
      </c>
      <c r="I2728">
        <v>12</v>
      </c>
      <c r="J2728">
        <v>31</v>
      </c>
      <c r="K2728" s="1" t="s">
        <v>84</v>
      </c>
      <c r="L2728" s="1" t="s">
        <v>120</v>
      </c>
      <c r="M2728" s="1" t="s">
        <v>5926</v>
      </c>
      <c r="N2728" s="1" t="s">
        <v>5940</v>
      </c>
    </row>
    <row r="2729" spans="1:14" x14ac:dyDescent="0.35">
      <c r="A2729">
        <v>1371465</v>
      </c>
      <c r="B2729" s="1" t="s">
        <v>5897</v>
      </c>
      <c r="C2729">
        <v>5991.6</v>
      </c>
      <c r="D2729">
        <v>142</v>
      </c>
      <c r="E2729" s="1" t="s">
        <v>2746</v>
      </c>
      <c r="F2729" s="1" t="s">
        <v>71</v>
      </c>
      <c r="G2729" s="1" t="s">
        <v>32</v>
      </c>
      <c r="H2729">
        <v>29</v>
      </c>
      <c r="I2729">
        <v>15</v>
      </c>
      <c r="J2729">
        <v>126</v>
      </c>
      <c r="K2729" s="1" t="s">
        <v>23</v>
      </c>
      <c r="L2729" s="1" t="s">
        <v>24</v>
      </c>
      <c r="M2729" s="1" t="s">
        <v>5926</v>
      </c>
      <c r="N2729" s="1" t="s">
        <v>5941</v>
      </c>
    </row>
    <row r="2730" spans="1:14" x14ac:dyDescent="0.35">
      <c r="A2730">
        <v>1371316</v>
      </c>
      <c r="B2730" s="1" t="s">
        <v>5897</v>
      </c>
      <c r="C2730">
        <v>5991.6</v>
      </c>
      <c r="D2730">
        <v>142</v>
      </c>
      <c r="E2730" s="1" t="s">
        <v>5942</v>
      </c>
      <c r="F2730" s="1" t="s">
        <v>129</v>
      </c>
      <c r="G2730" s="1" t="s">
        <v>130</v>
      </c>
      <c r="H2730">
        <v>268</v>
      </c>
      <c r="I2730">
        <v>43</v>
      </c>
      <c r="J2730">
        <v>321</v>
      </c>
      <c r="K2730" s="1" t="s">
        <v>124</v>
      </c>
      <c r="L2730" s="1" t="s">
        <v>18</v>
      </c>
      <c r="M2730" s="1" t="s">
        <v>5926</v>
      </c>
      <c r="N2730" s="1" t="s">
        <v>5943</v>
      </c>
    </row>
    <row r="2731" spans="1:14" x14ac:dyDescent="0.35">
      <c r="A2731">
        <v>1371251</v>
      </c>
      <c r="B2731" s="1" t="s">
        <v>5897</v>
      </c>
      <c r="C2731">
        <v>5991.6</v>
      </c>
      <c r="D2731">
        <v>142</v>
      </c>
      <c r="E2731" s="1" t="s">
        <v>5944</v>
      </c>
      <c r="F2731" s="1" t="s">
        <v>129</v>
      </c>
      <c r="G2731" s="1" t="s">
        <v>32</v>
      </c>
      <c r="H2731">
        <v>37</v>
      </c>
      <c r="I2731">
        <v>24</v>
      </c>
      <c r="J2731">
        <v>42</v>
      </c>
      <c r="K2731" s="1" t="s">
        <v>84</v>
      </c>
      <c r="L2731" s="1" t="s">
        <v>24</v>
      </c>
      <c r="M2731" s="1" t="s">
        <v>5926</v>
      </c>
      <c r="N2731" s="1" t="s">
        <v>5945</v>
      </c>
    </row>
    <row r="2732" spans="1:14" x14ac:dyDescent="0.35">
      <c r="A2732">
        <v>1371459</v>
      </c>
      <c r="B2732" s="1" t="s">
        <v>5897</v>
      </c>
      <c r="C2732">
        <v>5991.6</v>
      </c>
      <c r="D2732">
        <v>142</v>
      </c>
      <c r="E2732" s="1" t="s">
        <v>5946</v>
      </c>
      <c r="F2732" s="1" t="s">
        <v>334</v>
      </c>
      <c r="G2732" s="1" t="s">
        <v>32</v>
      </c>
      <c r="H2732">
        <v>16</v>
      </c>
      <c r="I2732">
        <v>16</v>
      </c>
      <c r="J2732">
        <v>86</v>
      </c>
      <c r="K2732" s="1" t="s">
        <v>90</v>
      </c>
      <c r="L2732" s="1" t="s">
        <v>24</v>
      </c>
      <c r="M2732" s="1" t="s">
        <v>5926</v>
      </c>
      <c r="N2732" s="1" t="s">
        <v>5947</v>
      </c>
    </row>
    <row r="2733" spans="1:14" x14ac:dyDescent="0.35">
      <c r="A2733">
        <v>1371457</v>
      </c>
      <c r="B2733" s="1" t="s">
        <v>5897</v>
      </c>
      <c r="C2733">
        <v>5991.6</v>
      </c>
      <c r="D2733">
        <v>142</v>
      </c>
      <c r="E2733" s="1" t="s">
        <v>5948</v>
      </c>
      <c r="F2733" s="1" t="s">
        <v>334</v>
      </c>
      <c r="G2733" s="1" t="s">
        <v>32</v>
      </c>
      <c r="H2733">
        <v>23</v>
      </c>
      <c r="I2733">
        <v>15</v>
      </c>
      <c r="J2733">
        <v>110</v>
      </c>
      <c r="K2733" s="1" t="s">
        <v>23</v>
      </c>
      <c r="L2733" s="1" t="s">
        <v>24</v>
      </c>
      <c r="M2733" s="1" t="s">
        <v>5926</v>
      </c>
      <c r="N2733" s="1" t="s">
        <v>5949</v>
      </c>
    </row>
    <row r="2734" spans="1:14" x14ac:dyDescent="0.35">
      <c r="A2734">
        <v>1371010</v>
      </c>
      <c r="B2734" s="1" t="s">
        <v>5897</v>
      </c>
      <c r="C2734">
        <v>5991.6</v>
      </c>
      <c r="D2734">
        <v>142</v>
      </c>
      <c r="E2734" s="1" t="s">
        <v>5950</v>
      </c>
      <c r="F2734" s="1" t="s">
        <v>15</v>
      </c>
      <c r="G2734" s="1" t="s">
        <v>130</v>
      </c>
      <c r="H2734">
        <v>800</v>
      </c>
      <c r="I2734">
        <v>81</v>
      </c>
      <c r="J2734">
        <v>2152</v>
      </c>
      <c r="K2734" s="1" t="s">
        <v>339</v>
      </c>
      <c r="L2734" s="1" t="s">
        <v>120</v>
      </c>
      <c r="M2734" s="1" t="s">
        <v>5926</v>
      </c>
      <c r="N2734" s="1" t="s">
        <v>5951</v>
      </c>
    </row>
    <row r="2735" spans="1:14" x14ac:dyDescent="0.35">
      <c r="A2735">
        <v>1371464</v>
      </c>
      <c r="B2735" s="1" t="s">
        <v>5897</v>
      </c>
      <c r="C2735">
        <v>5991.6</v>
      </c>
      <c r="D2735">
        <v>142</v>
      </c>
      <c r="E2735" s="1" t="s">
        <v>5952</v>
      </c>
      <c r="F2735" s="1" t="s">
        <v>15</v>
      </c>
      <c r="G2735" s="1" t="s">
        <v>16</v>
      </c>
      <c r="H2735">
        <v>202</v>
      </c>
      <c r="I2735">
        <v>63</v>
      </c>
      <c r="J2735">
        <v>390</v>
      </c>
      <c r="K2735" s="1" t="s">
        <v>49</v>
      </c>
      <c r="L2735" s="1" t="s">
        <v>24</v>
      </c>
      <c r="M2735" s="1" t="s">
        <v>5926</v>
      </c>
      <c r="N2735" s="1" t="s">
        <v>5953</v>
      </c>
    </row>
    <row r="2736" spans="1:14" x14ac:dyDescent="0.35">
      <c r="A2736">
        <v>1371456</v>
      </c>
      <c r="B2736" s="1" t="s">
        <v>5897</v>
      </c>
      <c r="C2736">
        <v>5991.6</v>
      </c>
      <c r="D2736">
        <v>142</v>
      </c>
      <c r="E2736" s="1" t="s">
        <v>5954</v>
      </c>
      <c r="F2736" s="1" t="s">
        <v>15</v>
      </c>
      <c r="G2736" s="1" t="s">
        <v>32</v>
      </c>
      <c r="H2736">
        <v>133</v>
      </c>
      <c r="I2736">
        <v>61</v>
      </c>
      <c r="J2736">
        <v>353</v>
      </c>
      <c r="K2736" s="1" t="s">
        <v>444</v>
      </c>
      <c r="L2736" s="1" t="s">
        <v>24</v>
      </c>
      <c r="M2736" s="1" t="s">
        <v>5926</v>
      </c>
      <c r="N2736" s="1" t="s">
        <v>5955</v>
      </c>
    </row>
    <row r="2737" spans="1:14" x14ac:dyDescent="0.35">
      <c r="A2737">
        <v>1371032</v>
      </c>
      <c r="B2737" s="1" t="s">
        <v>5897</v>
      </c>
      <c r="C2737">
        <v>5991.6</v>
      </c>
      <c r="D2737">
        <v>142</v>
      </c>
      <c r="E2737" s="1" t="s">
        <v>5956</v>
      </c>
      <c r="F2737" s="1" t="s">
        <v>15</v>
      </c>
      <c r="G2737" s="1" t="s">
        <v>32</v>
      </c>
      <c r="H2737">
        <v>151</v>
      </c>
      <c r="I2737">
        <v>47</v>
      </c>
      <c r="J2737">
        <v>459</v>
      </c>
      <c r="K2737" s="1" t="s">
        <v>572</v>
      </c>
      <c r="L2737" s="1" t="s">
        <v>24</v>
      </c>
      <c r="M2737" s="1" t="s">
        <v>5926</v>
      </c>
      <c r="N2737" s="1" t="s">
        <v>5957</v>
      </c>
    </row>
    <row r="2738" spans="1:14" x14ac:dyDescent="0.35">
      <c r="A2738">
        <v>1371021</v>
      </c>
      <c r="B2738" s="1" t="s">
        <v>5897</v>
      </c>
      <c r="C2738">
        <v>5991.6</v>
      </c>
      <c r="D2738">
        <v>142</v>
      </c>
      <c r="E2738" s="1" t="s">
        <v>5958</v>
      </c>
      <c r="F2738" s="1" t="s">
        <v>15</v>
      </c>
      <c r="G2738" s="1" t="s">
        <v>32</v>
      </c>
      <c r="H2738">
        <v>251</v>
      </c>
      <c r="I2738">
        <v>52</v>
      </c>
      <c r="J2738">
        <v>568</v>
      </c>
      <c r="K2738" s="1" t="s">
        <v>27</v>
      </c>
      <c r="L2738" s="1" t="s">
        <v>24</v>
      </c>
      <c r="M2738" s="1" t="s">
        <v>5926</v>
      </c>
      <c r="N2738" s="1" t="s">
        <v>5959</v>
      </c>
    </row>
    <row r="2739" spans="1:14" x14ac:dyDescent="0.35">
      <c r="A2739">
        <v>1371444</v>
      </c>
      <c r="B2739" s="1" t="s">
        <v>5897</v>
      </c>
      <c r="C2739">
        <v>5991.6</v>
      </c>
      <c r="D2739">
        <v>142</v>
      </c>
      <c r="E2739" s="1" t="s">
        <v>5960</v>
      </c>
      <c r="F2739" s="1" t="s">
        <v>15</v>
      </c>
      <c r="G2739" s="1" t="s">
        <v>32</v>
      </c>
      <c r="H2739">
        <v>111</v>
      </c>
      <c r="I2739">
        <v>4</v>
      </c>
      <c r="J2739">
        <v>372</v>
      </c>
      <c r="K2739" s="1" t="s">
        <v>137</v>
      </c>
      <c r="L2739" s="1" t="s">
        <v>18</v>
      </c>
      <c r="M2739" s="1" t="s">
        <v>5926</v>
      </c>
      <c r="N2739" s="1" t="s">
        <v>5961</v>
      </c>
    </row>
    <row r="2740" spans="1:14" x14ac:dyDescent="0.35">
      <c r="A2740">
        <v>1371446</v>
      </c>
      <c r="B2740" s="1" t="s">
        <v>5897</v>
      </c>
      <c r="C2740">
        <v>5991.6</v>
      </c>
      <c r="D2740">
        <v>142</v>
      </c>
      <c r="E2740" s="1" t="s">
        <v>5962</v>
      </c>
      <c r="F2740" s="1" t="s">
        <v>15</v>
      </c>
      <c r="G2740" s="1" t="s">
        <v>32</v>
      </c>
      <c r="H2740">
        <v>126</v>
      </c>
      <c r="I2740">
        <v>112</v>
      </c>
      <c r="J2740">
        <v>310</v>
      </c>
      <c r="K2740" s="1" t="s">
        <v>95</v>
      </c>
      <c r="L2740" s="1" t="s">
        <v>24</v>
      </c>
      <c r="M2740" s="1" t="s">
        <v>5926</v>
      </c>
      <c r="N2740" s="1" t="s">
        <v>5963</v>
      </c>
    </row>
    <row r="2741" spans="1:14" x14ac:dyDescent="0.35">
      <c r="A2741">
        <v>1371305</v>
      </c>
      <c r="B2741" s="1" t="s">
        <v>5897</v>
      </c>
      <c r="C2741">
        <v>5991.6</v>
      </c>
      <c r="D2741">
        <v>142</v>
      </c>
      <c r="E2741" s="1" t="s">
        <v>5964</v>
      </c>
      <c r="F2741" s="1" t="s">
        <v>15</v>
      </c>
      <c r="G2741" s="1" t="s">
        <v>32</v>
      </c>
      <c r="H2741">
        <v>144</v>
      </c>
      <c r="I2741">
        <v>115</v>
      </c>
      <c r="J2741">
        <v>535</v>
      </c>
      <c r="K2741" s="1" t="s">
        <v>23</v>
      </c>
      <c r="L2741" s="1" t="s">
        <v>24</v>
      </c>
      <c r="M2741" s="1" t="s">
        <v>5926</v>
      </c>
      <c r="N2741" s="1" t="s">
        <v>5965</v>
      </c>
    </row>
    <row r="2742" spans="1:14" x14ac:dyDescent="0.35">
      <c r="A2742">
        <v>1371112</v>
      </c>
      <c r="B2742" s="1" t="s">
        <v>5897</v>
      </c>
      <c r="C2742">
        <v>5991.6</v>
      </c>
      <c r="D2742">
        <v>142</v>
      </c>
      <c r="E2742" s="1" t="s">
        <v>5966</v>
      </c>
      <c r="F2742" s="1" t="s">
        <v>15</v>
      </c>
      <c r="G2742" s="1" t="s">
        <v>32</v>
      </c>
      <c r="H2742">
        <v>100</v>
      </c>
      <c r="I2742">
        <v>34</v>
      </c>
      <c r="J2742">
        <v>144</v>
      </c>
      <c r="K2742" s="1" t="s">
        <v>84</v>
      </c>
      <c r="L2742" s="1" t="s">
        <v>24</v>
      </c>
      <c r="M2742" s="1" t="s">
        <v>5926</v>
      </c>
      <c r="N2742" s="1" t="s">
        <v>5967</v>
      </c>
    </row>
    <row r="2743" spans="1:14" x14ac:dyDescent="0.35">
      <c r="A2743">
        <v>1371462</v>
      </c>
      <c r="B2743" s="1" t="s">
        <v>5897</v>
      </c>
      <c r="C2743">
        <v>5991.6</v>
      </c>
      <c r="D2743">
        <v>142</v>
      </c>
      <c r="E2743" s="1" t="s">
        <v>5968</v>
      </c>
      <c r="F2743" s="1" t="s">
        <v>15</v>
      </c>
      <c r="G2743" s="1" t="s">
        <v>32</v>
      </c>
      <c r="H2743">
        <v>100</v>
      </c>
      <c r="I2743">
        <v>39</v>
      </c>
      <c r="J2743">
        <v>134</v>
      </c>
      <c r="K2743" s="1" t="s">
        <v>23</v>
      </c>
      <c r="L2743" s="1" t="s">
        <v>24</v>
      </c>
      <c r="M2743" s="1" t="s">
        <v>5926</v>
      </c>
      <c r="N2743" s="1" t="s">
        <v>5969</v>
      </c>
    </row>
    <row r="2744" spans="1:14" x14ac:dyDescent="0.35">
      <c r="A2744">
        <v>1371091</v>
      </c>
      <c r="B2744" s="1" t="s">
        <v>5897</v>
      </c>
      <c r="C2744">
        <v>5991.6</v>
      </c>
      <c r="D2744">
        <v>142</v>
      </c>
      <c r="E2744" s="1" t="s">
        <v>5970</v>
      </c>
      <c r="F2744" s="1" t="s">
        <v>15</v>
      </c>
      <c r="G2744" s="1" t="s">
        <v>32</v>
      </c>
      <c r="H2744">
        <v>100</v>
      </c>
      <c r="I2744">
        <v>87</v>
      </c>
      <c r="J2744">
        <v>273</v>
      </c>
      <c r="K2744" s="1" t="s">
        <v>444</v>
      </c>
      <c r="L2744" s="1" t="s">
        <v>24</v>
      </c>
      <c r="M2744" s="1" t="s">
        <v>5926</v>
      </c>
      <c r="N2744" s="1" t="s">
        <v>5971</v>
      </c>
    </row>
    <row r="2745" spans="1:14" x14ac:dyDescent="0.35">
      <c r="A2745">
        <v>1371466</v>
      </c>
      <c r="B2745" s="1" t="s">
        <v>5897</v>
      </c>
      <c r="C2745">
        <v>5991.6</v>
      </c>
      <c r="D2745">
        <v>142</v>
      </c>
      <c r="E2745" s="1" t="s">
        <v>5972</v>
      </c>
      <c r="F2745" s="1" t="s">
        <v>15</v>
      </c>
      <c r="G2745" s="1" t="s">
        <v>32</v>
      </c>
      <c r="H2745">
        <v>116</v>
      </c>
      <c r="I2745">
        <v>81</v>
      </c>
      <c r="J2745">
        <v>244</v>
      </c>
      <c r="K2745" s="1" t="s">
        <v>23</v>
      </c>
      <c r="L2745" s="1" t="s">
        <v>24</v>
      </c>
      <c r="M2745" s="1" t="s">
        <v>5926</v>
      </c>
      <c r="N2745" s="1" t="s">
        <v>5973</v>
      </c>
    </row>
    <row r="2746" spans="1:14" x14ac:dyDescent="0.35">
      <c r="A2746">
        <v>1371123</v>
      </c>
      <c r="B2746" s="1" t="s">
        <v>5897</v>
      </c>
      <c r="C2746">
        <v>5991.6</v>
      </c>
      <c r="D2746">
        <v>142</v>
      </c>
      <c r="E2746" s="1" t="s">
        <v>5974</v>
      </c>
      <c r="F2746" s="1" t="s">
        <v>15</v>
      </c>
      <c r="G2746" s="1" t="s">
        <v>32</v>
      </c>
      <c r="H2746">
        <v>102</v>
      </c>
      <c r="I2746">
        <v>32</v>
      </c>
      <c r="J2746">
        <v>197</v>
      </c>
      <c r="K2746" s="1" t="s">
        <v>146</v>
      </c>
      <c r="L2746" s="1" t="s">
        <v>120</v>
      </c>
      <c r="M2746" s="1" t="s">
        <v>5926</v>
      </c>
      <c r="N2746" s="1" t="s">
        <v>5975</v>
      </c>
    </row>
    <row r="2747" spans="1:14" x14ac:dyDescent="0.35">
      <c r="A2747">
        <v>1374013</v>
      </c>
      <c r="B2747" s="1" t="s">
        <v>5897</v>
      </c>
      <c r="C2747">
        <v>5991.6</v>
      </c>
      <c r="D2747">
        <v>142</v>
      </c>
      <c r="E2747" s="1" t="s">
        <v>5976</v>
      </c>
      <c r="F2747" s="1" t="s">
        <v>15</v>
      </c>
      <c r="G2747" s="1" t="s">
        <v>32</v>
      </c>
      <c r="H2747">
        <v>162</v>
      </c>
      <c r="I2747">
        <v>93</v>
      </c>
      <c r="J2747">
        <v>494</v>
      </c>
      <c r="K2747" s="1" t="s">
        <v>137</v>
      </c>
      <c r="L2747" s="1" t="s">
        <v>18</v>
      </c>
      <c r="M2747" s="1" t="s">
        <v>5977</v>
      </c>
      <c r="N2747" s="1" t="s">
        <v>5978</v>
      </c>
    </row>
    <row r="2748" spans="1:14" x14ac:dyDescent="0.35">
      <c r="A2748">
        <v>1374024</v>
      </c>
      <c r="B2748" s="1" t="s">
        <v>5897</v>
      </c>
      <c r="C2748">
        <v>5991.6</v>
      </c>
      <c r="D2748">
        <v>142</v>
      </c>
      <c r="E2748" s="1" t="s">
        <v>5979</v>
      </c>
      <c r="F2748" s="1" t="s">
        <v>15</v>
      </c>
      <c r="G2748" s="1" t="s">
        <v>22</v>
      </c>
      <c r="H2748">
        <v>50</v>
      </c>
      <c r="I2748">
        <v>31</v>
      </c>
      <c r="J2748">
        <v>153</v>
      </c>
      <c r="K2748" s="1" t="s">
        <v>444</v>
      </c>
      <c r="L2748" s="1" t="s">
        <v>24</v>
      </c>
      <c r="M2748" s="1" t="s">
        <v>5977</v>
      </c>
      <c r="N2748" s="1" t="s">
        <v>5980</v>
      </c>
    </row>
    <row r="2749" spans="1:14" x14ac:dyDescent="0.35">
      <c r="A2749">
        <v>1377008</v>
      </c>
      <c r="B2749" s="1" t="s">
        <v>5897</v>
      </c>
      <c r="C2749">
        <v>5991.6</v>
      </c>
      <c r="D2749">
        <v>142</v>
      </c>
      <c r="E2749" s="1" t="s">
        <v>5981</v>
      </c>
      <c r="F2749" s="1" t="s">
        <v>71</v>
      </c>
      <c r="G2749" s="1" t="s">
        <v>32</v>
      </c>
      <c r="H2749">
        <v>32</v>
      </c>
      <c r="I2749">
        <v>16</v>
      </c>
      <c r="J2749">
        <v>37</v>
      </c>
      <c r="K2749" s="1" t="s">
        <v>23</v>
      </c>
      <c r="L2749" s="1" t="s">
        <v>24</v>
      </c>
      <c r="M2749" s="1" t="s">
        <v>5982</v>
      </c>
      <c r="N2749" s="1" t="s">
        <v>5983</v>
      </c>
    </row>
    <row r="2750" spans="1:14" x14ac:dyDescent="0.35">
      <c r="A2750">
        <v>1306015</v>
      </c>
      <c r="B2750" s="1" t="s">
        <v>5897</v>
      </c>
      <c r="C2750">
        <v>5991.6</v>
      </c>
      <c r="D2750">
        <v>142</v>
      </c>
      <c r="E2750" s="1" t="s">
        <v>5984</v>
      </c>
      <c r="F2750" s="1" t="s">
        <v>15</v>
      </c>
      <c r="G2750" s="1" t="s">
        <v>16</v>
      </c>
      <c r="H2750">
        <v>206</v>
      </c>
      <c r="I2750">
        <v>81</v>
      </c>
      <c r="J2750">
        <v>600</v>
      </c>
      <c r="K2750" s="1" t="s">
        <v>124</v>
      </c>
      <c r="L2750" s="1" t="s">
        <v>120</v>
      </c>
      <c r="M2750" s="1" t="s">
        <v>5982</v>
      </c>
      <c r="N2750" s="1" t="s">
        <v>5985</v>
      </c>
    </row>
    <row r="2751" spans="1:14" x14ac:dyDescent="0.35">
      <c r="A2751">
        <v>1377007</v>
      </c>
      <c r="B2751" s="1" t="s">
        <v>5897</v>
      </c>
      <c r="C2751">
        <v>5991.6</v>
      </c>
      <c r="D2751">
        <v>142</v>
      </c>
      <c r="E2751" s="1" t="s">
        <v>5986</v>
      </c>
      <c r="F2751" s="1" t="s">
        <v>15</v>
      </c>
      <c r="G2751" s="1" t="s">
        <v>22</v>
      </c>
      <c r="H2751">
        <v>74</v>
      </c>
      <c r="I2751">
        <v>25</v>
      </c>
      <c r="J2751">
        <v>176</v>
      </c>
      <c r="K2751" s="1" t="s">
        <v>137</v>
      </c>
      <c r="L2751" s="1" t="s">
        <v>18</v>
      </c>
      <c r="M2751" s="1" t="s">
        <v>5982</v>
      </c>
      <c r="N2751" s="1" t="s">
        <v>5987</v>
      </c>
    </row>
    <row r="2752" spans="1:14" x14ac:dyDescent="0.35">
      <c r="A2752">
        <v>1377005</v>
      </c>
      <c r="B2752" s="1" t="s">
        <v>5897</v>
      </c>
      <c r="C2752">
        <v>5991.6</v>
      </c>
      <c r="D2752">
        <v>142</v>
      </c>
      <c r="E2752" s="1" t="s">
        <v>5988</v>
      </c>
      <c r="F2752" s="1" t="s">
        <v>15</v>
      </c>
      <c r="G2752" s="1" t="s">
        <v>22</v>
      </c>
      <c r="H2752">
        <v>68</v>
      </c>
      <c r="I2752">
        <v>26</v>
      </c>
      <c r="J2752">
        <v>101</v>
      </c>
      <c r="K2752" s="1" t="s">
        <v>23</v>
      </c>
      <c r="L2752" s="1" t="s">
        <v>24</v>
      </c>
      <c r="M2752" s="1" t="s">
        <v>5982</v>
      </c>
      <c r="N2752" s="1" t="s">
        <v>5989</v>
      </c>
    </row>
    <row r="2753" spans="1:14" x14ac:dyDescent="0.35">
      <c r="A2753">
        <v>1377003</v>
      </c>
      <c r="B2753" s="1" t="s">
        <v>5897</v>
      </c>
      <c r="C2753">
        <v>5991.6</v>
      </c>
      <c r="D2753">
        <v>142</v>
      </c>
      <c r="E2753" s="1" t="s">
        <v>5990</v>
      </c>
      <c r="F2753" s="1" t="s">
        <v>15</v>
      </c>
      <c r="G2753" s="1" t="s">
        <v>22</v>
      </c>
      <c r="H2753">
        <v>100</v>
      </c>
      <c r="I2753">
        <v>27</v>
      </c>
      <c r="J2753">
        <v>128</v>
      </c>
      <c r="K2753" s="1" t="s">
        <v>84</v>
      </c>
      <c r="L2753" s="1" t="s">
        <v>24</v>
      </c>
      <c r="M2753" s="1" t="s">
        <v>5982</v>
      </c>
      <c r="N2753" s="1" t="s">
        <v>5991</v>
      </c>
    </row>
    <row r="2754" spans="1:14" x14ac:dyDescent="0.35">
      <c r="A2754">
        <v>1376017</v>
      </c>
      <c r="B2754" s="1" t="s">
        <v>5897</v>
      </c>
      <c r="C2754">
        <v>5991.6</v>
      </c>
      <c r="D2754">
        <v>142</v>
      </c>
      <c r="E2754" s="1" t="s">
        <v>5992</v>
      </c>
      <c r="F2754" s="1" t="s">
        <v>71</v>
      </c>
      <c r="G2754" s="1" t="s">
        <v>32</v>
      </c>
      <c r="H2754">
        <v>43</v>
      </c>
      <c r="I2754">
        <v>23</v>
      </c>
      <c r="J2754">
        <v>97</v>
      </c>
      <c r="K2754" s="1" t="s">
        <v>95</v>
      </c>
      <c r="L2754" s="1" t="s">
        <v>24</v>
      </c>
      <c r="M2754" s="1" t="s">
        <v>5993</v>
      </c>
      <c r="N2754" s="1" t="s">
        <v>5994</v>
      </c>
    </row>
    <row r="2755" spans="1:14" x14ac:dyDescent="0.35">
      <c r="A2755">
        <v>1376016</v>
      </c>
      <c r="B2755" s="1" t="s">
        <v>5897</v>
      </c>
      <c r="C2755">
        <v>5991.6</v>
      </c>
      <c r="D2755">
        <v>142</v>
      </c>
      <c r="E2755" s="1" t="s">
        <v>5995</v>
      </c>
      <c r="F2755" s="1" t="s">
        <v>71</v>
      </c>
      <c r="G2755" s="1" t="s">
        <v>32</v>
      </c>
      <c r="H2755">
        <v>38</v>
      </c>
      <c r="I2755">
        <v>15</v>
      </c>
      <c r="J2755">
        <v>48</v>
      </c>
      <c r="K2755" s="1" t="s">
        <v>90</v>
      </c>
      <c r="L2755" s="1" t="s">
        <v>24</v>
      </c>
      <c r="M2755" s="1" t="s">
        <v>5993</v>
      </c>
      <c r="N2755" s="1" t="s">
        <v>5996</v>
      </c>
    </row>
    <row r="2756" spans="1:14" x14ac:dyDescent="0.35">
      <c r="A2756">
        <v>1376011</v>
      </c>
      <c r="B2756" s="1" t="s">
        <v>5897</v>
      </c>
      <c r="C2756">
        <v>5991.6</v>
      </c>
      <c r="D2756">
        <v>142</v>
      </c>
      <c r="E2756" s="1" t="s">
        <v>5997</v>
      </c>
      <c r="F2756" s="1" t="s">
        <v>15</v>
      </c>
      <c r="G2756" s="1" t="s">
        <v>32</v>
      </c>
      <c r="H2756">
        <v>100</v>
      </c>
      <c r="I2756">
        <v>29</v>
      </c>
      <c r="J2756">
        <v>223</v>
      </c>
      <c r="K2756" s="1" t="s">
        <v>444</v>
      </c>
      <c r="L2756" s="1" t="s">
        <v>24</v>
      </c>
      <c r="M2756" s="1" t="s">
        <v>5993</v>
      </c>
      <c r="N2756" s="1" t="s">
        <v>5998</v>
      </c>
    </row>
    <row r="2757" spans="1:14" x14ac:dyDescent="0.35">
      <c r="A2757">
        <v>1376015</v>
      </c>
      <c r="B2757" s="1" t="s">
        <v>5897</v>
      </c>
      <c r="C2757">
        <v>5991.6</v>
      </c>
      <c r="D2757">
        <v>142</v>
      </c>
      <c r="E2757" s="1" t="s">
        <v>5999</v>
      </c>
      <c r="F2757" s="1" t="s">
        <v>15</v>
      </c>
      <c r="G2757" s="1" t="s">
        <v>32</v>
      </c>
      <c r="H2757">
        <v>179</v>
      </c>
      <c r="I2757">
        <v>71</v>
      </c>
      <c r="J2757">
        <v>596</v>
      </c>
      <c r="K2757" s="1" t="s">
        <v>137</v>
      </c>
      <c r="L2757" s="1" t="s">
        <v>18</v>
      </c>
      <c r="M2757" s="1" t="s">
        <v>5993</v>
      </c>
      <c r="N2757" s="1" t="s">
        <v>6000</v>
      </c>
    </row>
    <row r="2758" spans="1:14" x14ac:dyDescent="0.35">
      <c r="A2758">
        <v>1373012</v>
      </c>
      <c r="B2758" s="1" t="s">
        <v>5897</v>
      </c>
      <c r="C2758">
        <v>5991.6</v>
      </c>
      <c r="D2758">
        <v>142</v>
      </c>
      <c r="E2758" s="1" t="s">
        <v>6001</v>
      </c>
      <c r="F2758" s="1" t="s">
        <v>15</v>
      </c>
      <c r="G2758" s="1" t="s">
        <v>32</v>
      </c>
      <c r="H2758">
        <v>104</v>
      </c>
      <c r="I2758">
        <v>33</v>
      </c>
      <c r="J2758">
        <v>488</v>
      </c>
      <c r="K2758" s="1" t="s">
        <v>137</v>
      </c>
      <c r="L2758" s="1" t="s">
        <v>18</v>
      </c>
      <c r="M2758" s="1" t="s">
        <v>6002</v>
      </c>
      <c r="N2758" s="1" t="s">
        <v>6003</v>
      </c>
    </row>
    <row r="2759" spans="1:14" x14ac:dyDescent="0.35">
      <c r="A2759">
        <v>1372014</v>
      </c>
      <c r="B2759" s="1" t="s">
        <v>5897</v>
      </c>
      <c r="C2759">
        <v>5991.6</v>
      </c>
      <c r="D2759">
        <v>142</v>
      </c>
      <c r="E2759" s="1" t="s">
        <v>6004</v>
      </c>
      <c r="F2759" s="1" t="s">
        <v>71</v>
      </c>
      <c r="G2759" s="1" t="s">
        <v>32</v>
      </c>
      <c r="H2759">
        <v>42</v>
      </c>
      <c r="I2759">
        <v>13</v>
      </c>
      <c r="K2759" s="1" t="s">
        <v>23</v>
      </c>
      <c r="L2759" s="1" t="s">
        <v>24</v>
      </c>
      <c r="M2759" s="1" t="s">
        <v>6005</v>
      </c>
      <c r="N2759" s="1" t="s">
        <v>6006</v>
      </c>
    </row>
    <row r="2760" spans="1:14" x14ac:dyDescent="0.35">
      <c r="A2760">
        <v>1372013</v>
      </c>
      <c r="B2760" s="1" t="s">
        <v>5897</v>
      </c>
      <c r="C2760">
        <v>5991.6</v>
      </c>
      <c r="D2760">
        <v>142</v>
      </c>
      <c r="E2760" s="1" t="s">
        <v>6007</v>
      </c>
      <c r="F2760" s="1" t="s">
        <v>71</v>
      </c>
      <c r="G2760" s="1" t="s">
        <v>32</v>
      </c>
      <c r="H2760">
        <v>59</v>
      </c>
      <c r="I2760">
        <v>20</v>
      </c>
      <c r="J2760">
        <v>85</v>
      </c>
      <c r="K2760" s="1" t="s">
        <v>90</v>
      </c>
      <c r="L2760" s="1" t="s">
        <v>24</v>
      </c>
      <c r="M2760" s="1" t="s">
        <v>6005</v>
      </c>
      <c r="N2760" s="1" t="s">
        <v>6008</v>
      </c>
    </row>
    <row r="2761" spans="1:14" x14ac:dyDescent="0.35">
      <c r="A2761">
        <v>1372011</v>
      </c>
      <c r="B2761" s="1" t="s">
        <v>5897</v>
      </c>
      <c r="C2761">
        <v>5991.6</v>
      </c>
      <c r="D2761">
        <v>142</v>
      </c>
      <c r="E2761" s="1" t="s">
        <v>6009</v>
      </c>
      <c r="F2761" s="1" t="s">
        <v>15</v>
      </c>
      <c r="G2761" s="1" t="s">
        <v>16</v>
      </c>
      <c r="H2761">
        <v>251</v>
      </c>
      <c r="I2761">
        <v>99</v>
      </c>
      <c r="J2761">
        <v>513</v>
      </c>
      <c r="K2761" s="1" t="s">
        <v>124</v>
      </c>
      <c r="L2761" s="1" t="s">
        <v>18</v>
      </c>
      <c r="M2761" s="1" t="s">
        <v>6005</v>
      </c>
      <c r="N2761" s="1" t="s">
        <v>6010</v>
      </c>
    </row>
    <row r="2762" spans="1:14" x14ac:dyDescent="0.35">
      <c r="A2762">
        <v>1372016</v>
      </c>
      <c r="B2762" s="1" t="s">
        <v>5897</v>
      </c>
      <c r="C2762">
        <v>5991.6</v>
      </c>
      <c r="D2762">
        <v>142</v>
      </c>
      <c r="E2762" s="1" t="s">
        <v>6011</v>
      </c>
      <c r="F2762" s="1" t="s">
        <v>15</v>
      </c>
      <c r="G2762" s="1" t="s">
        <v>32</v>
      </c>
      <c r="H2762">
        <v>139</v>
      </c>
      <c r="I2762">
        <v>18</v>
      </c>
      <c r="J2762">
        <v>30</v>
      </c>
      <c r="K2762" s="1" t="s">
        <v>137</v>
      </c>
      <c r="L2762" s="1" t="s">
        <v>24</v>
      </c>
      <c r="M2762" s="1" t="s">
        <v>6005</v>
      </c>
      <c r="N2762" s="1" t="s">
        <v>6012</v>
      </c>
    </row>
    <row r="2763" spans="1:14" x14ac:dyDescent="0.35">
      <c r="A2763">
        <v>1372012</v>
      </c>
      <c r="B2763" s="1" t="s">
        <v>5897</v>
      </c>
      <c r="C2763">
        <v>5991.6</v>
      </c>
      <c r="D2763">
        <v>142</v>
      </c>
      <c r="E2763" s="1" t="s">
        <v>6013</v>
      </c>
      <c r="F2763" s="1" t="s">
        <v>15</v>
      </c>
      <c r="G2763" s="1" t="s">
        <v>22</v>
      </c>
      <c r="H2763">
        <v>97</v>
      </c>
      <c r="I2763">
        <v>28</v>
      </c>
      <c r="J2763">
        <v>165</v>
      </c>
      <c r="K2763" s="1" t="s">
        <v>27</v>
      </c>
      <c r="L2763" s="1" t="s">
        <v>24</v>
      </c>
      <c r="M2763" s="1" t="s">
        <v>6005</v>
      </c>
      <c r="N2763" s="1" t="s">
        <v>6014</v>
      </c>
    </row>
    <row r="2764" spans="1:14" x14ac:dyDescent="0.35">
      <c r="A2764">
        <v>1308010</v>
      </c>
      <c r="B2764" s="1" t="s">
        <v>5897</v>
      </c>
      <c r="C2764">
        <v>5991.6</v>
      </c>
      <c r="D2764">
        <v>142</v>
      </c>
      <c r="E2764" s="1" t="s">
        <v>6015</v>
      </c>
      <c r="F2764" s="1" t="s">
        <v>15</v>
      </c>
      <c r="G2764" s="1" t="s">
        <v>32</v>
      </c>
      <c r="H2764">
        <v>100</v>
      </c>
      <c r="I2764">
        <v>39</v>
      </c>
      <c r="J2764">
        <v>366</v>
      </c>
      <c r="K2764" s="1" t="s">
        <v>17</v>
      </c>
      <c r="L2764" s="1" t="s">
        <v>18</v>
      </c>
      <c r="M2764" s="1" t="s">
        <v>6016</v>
      </c>
      <c r="N2764" s="1" t="s">
        <v>6017</v>
      </c>
    </row>
    <row r="2765" spans="1:14" x14ac:dyDescent="0.35">
      <c r="A2765">
        <v>1306057</v>
      </c>
      <c r="B2765" s="1" t="s">
        <v>5897</v>
      </c>
      <c r="C2765">
        <v>5991.6</v>
      </c>
      <c r="D2765">
        <v>142</v>
      </c>
      <c r="E2765" s="1" t="s">
        <v>6018</v>
      </c>
      <c r="F2765" s="1" t="s">
        <v>1431</v>
      </c>
      <c r="G2765" s="1" t="s">
        <v>16</v>
      </c>
      <c r="H2765">
        <v>76</v>
      </c>
      <c r="I2765">
        <v>51</v>
      </c>
      <c r="J2765">
        <v>116</v>
      </c>
      <c r="K2765" s="1" t="s">
        <v>124</v>
      </c>
      <c r="L2765" s="1" t="s">
        <v>24</v>
      </c>
      <c r="M2765" s="1" t="s">
        <v>6019</v>
      </c>
      <c r="N2765" s="1" t="s">
        <v>6020</v>
      </c>
    </row>
    <row r="2766" spans="1:14" x14ac:dyDescent="0.35">
      <c r="A2766">
        <v>1306056</v>
      </c>
      <c r="B2766" s="1" t="s">
        <v>5897</v>
      </c>
      <c r="C2766">
        <v>5991.6</v>
      </c>
      <c r="D2766">
        <v>142</v>
      </c>
      <c r="E2766" s="1" t="s">
        <v>6021</v>
      </c>
      <c r="F2766" s="1" t="s">
        <v>15</v>
      </c>
      <c r="G2766" s="1" t="s">
        <v>32</v>
      </c>
      <c r="H2766">
        <v>181</v>
      </c>
      <c r="I2766">
        <v>42</v>
      </c>
      <c r="J2766">
        <v>269</v>
      </c>
      <c r="K2766" s="1" t="s">
        <v>17</v>
      </c>
      <c r="L2766" s="1" t="s">
        <v>18</v>
      </c>
      <c r="M2766" s="1" t="s">
        <v>6019</v>
      </c>
      <c r="N2766" s="1" t="s">
        <v>6022</v>
      </c>
    </row>
    <row r="2767" spans="1:14" x14ac:dyDescent="0.35">
      <c r="A2767">
        <v>1309011</v>
      </c>
      <c r="B2767" s="1" t="s">
        <v>5897</v>
      </c>
      <c r="C2767">
        <v>5991.6</v>
      </c>
      <c r="D2767">
        <v>142</v>
      </c>
      <c r="E2767" s="1" t="s">
        <v>6023</v>
      </c>
      <c r="F2767" s="1" t="s">
        <v>15</v>
      </c>
      <c r="G2767" s="1" t="s">
        <v>32</v>
      </c>
      <c r="H2767">
        <v>184</v>
      </c>
      <c r="I2767">
        <v>101</v>
      </c>
      <c r="J2767">
        <v>322</v>
      </c>
      <c r="K2767" s="1" t="s">
        <v>17</v>
      </c>
      <c r="L2767" s="1" t="s">
        <v>18</v>
      </c>
      <c r="M2767" s="1" t="s">
        <v>6024</v>
      </c>
      <c r="N2767" s="1" t="s">
        <v>6025</v>
      </c>
    </row>
    <row r="2768" spans="1:14" x14ac:dyDescent="0.35">
      <c r="A2768">
        <v>1309024</v>
      </c>
      <c r="B2768" s="1" t="s">
        <v>5897</v>
      </c>
      <c r="C2768">
        <v>5991.6</v>
      </c>
      <c r="D2768">
        <v>142</v>
      </c>
      <c r="E2768" s="1" t="s">
        <v>6026</v>
      </c>
      <c r="F2768" s="1" t="s">
        <v>15</v>
      </c>
      <c r="G2768" s="1" t="s">
        <v>22</v>
      </c>
      <c r="H2768">
        <v>55</v>
      </c>
      <c r="I2768">
        <v>28</v>
      </c>
      <c r="J2768">
        <v>42</v>
      </c>
      <c r="K2768" s="1" t="s">
        <v>17</v>
      </c>
      <c r="L2768" s="1" t="s">
        <v>18</v>
      </c>
      <c r="M2768" s="1" t="s">
        <v>6024</v>
      </c>
      <c r="N2768" s="1" t="s">
        <v>6027</v>
      </c>
    </row>
    <row r="2769" spans="1:14" x14ac:dyDescent="0.35">
      <c r="A2769">
        <v>1309023</v>
      </c>
      <c r="B2769" s="1" t="s">
        <v>5897</v>
      </c>
      <c r="C2769">
        <v>5991.6</v>
      </c>
      <c r="D2769">
        <v>142</v>
      </c>
      <c r="E2769" s="1" t="s">
        <v>6028</v>
      </c>
      <c r="F2769" s="1" t="s">
        <v>15</v>
      </c>
      <c r="G2769" s="1" t="s">
        <v>22</v>
      </c>
      <c r="H2769">
        <v>67</v>
      </c>
      <c r="I2769">
        <v>28</v>
      </c>
      <c r="J2769">
        <v>87</v>
      </c>
      <c r="K2769" s="1" t="s">
        <v>23</v>
      </c>
      <c r="L2769" s="1" t="s">
        <v>24</v>
      </c>
      <c r="M2769" s="1" t="s">
        <v>6024</v>
      </c>
      <c r="N2769" s="1" t="s">
        <v>6029</v>
      </c>
    </row>
    <row r="2770" spans="1:14" x14ac:dyDescent="0.35">
      <c r="A2770">
        <v>1312025</v>
      </c>
      <c r="B2770" s="1" t="s">
        <v>5897</v>
      </c>
      <c r="C2770">
        <v>5991.6</v>
      </c>
      <c r="D2770">
        <v>142</v>
      </c>
      <c r="E2770" s="1" t="s">
        <v>6030</v>
      </c>
      <c r="F2770" s="1" t="s">
        <v>71</v>
      </c>
      <c r="G2770" s="1" t="s">
        <v>32</v>
      </c>
      <c r="H2770">
        <v>26</v>
      </c>
      <c r="I2770">
        <v>21</v>
      </c>
      <c r="J2770">
        <v>45</v>
      </c>
      <c r="K2770" s="1" t="s">
        <v>95</v>
      </c>
      <c r="L2770" s="1" t="s">
        <v>24</v>
      </c>
      <c r="M2770" s="1" t="s">
        <v>6031</v>
      </c>
      <c r="N2770" s="1" t="s">
        <v>6032</v>
      </c>
    </row>
    <row r="2771" spans="1:14" x14ac:dyDescent="0.35">
      <c r="A2771">
        <v>1312024</v>
      </c>
      <c r="B2771" s="1" t="s">
        <v>5897</v>
      </c>
      <c r="C2771">
        <v>5991.6</v>
      </c>
      <c r="D2771">
        <v>142</v>
      </c>
      <c r="E2771" s="1" t="s">
        <v>6033</v>
      </c>
      <c r="F2771" s="1" t="s">
        <v>15</v>
      </c>
      <c r="G2771" s="1" t="s">
        <v>32</v>
      </c>
      <c r="H2771">
        <v>156</v>
      </c>
      <c r="I2771">
        <v>75</v>
      </c>
      <c r="J2771">
        <v>394</v>
      </c>
      <c r="K2771" s="1" t="s">
        <v>17</v>
      </c>
      <c r="L2771" s="1" t="s">
        <v>18</v>
      </c>
      <c r="M2771" s="1" t="s">
        <v>6031</v>
      </c>
      <c r="N2771" s="1" t="s">
        <v>6034</v>
      </c>
    </row>
    <row r="2772" spans="1:14" x14ac:dyDescent="0.35">
      <c r="A2772">
        <v>1309022</v>
      </c>
      <c r="B2772" s="1" t="s">
        <v>5897</v>
      </c>
      <c r="C2772">
        <v>5991.6</v>
      </c>
      <c r="D2772">
        <v>142</v>
      </c>
      <c r="E2772" s="1" t="s">
        <v>5970</v>
      </c>
      <c r="F2772" s="1" t="s">
        <v>15</v>
      </c>
      <c r="G2772" s="1" t="s">
        <v>32</v>
      </c>
      <c r="H2772">
        <v>110</v>
      </c>
      <c r="I2772">
        <v>27</v>
      </c>
      <c r="J2772">
        <v>265</v>
      </c>
      <c r="K2772" s="1" t="s">
        <v>444</v>
      </c>
      <c r="L2772" s="1" t="s">
        <v>24</v>
      </c>
      <c r="M2772" s="1" t="s">
        <v>6031</v>
      </c>
      <c r="N2772" s="1" t="s">
        <v>6035</v>
      </c>
    </row>
    <row r="2773" spans="1:14" x14ac:dyDescent="0.35">
      <c r="A2773">
        <v>1312036</v>
      </c>
      <c r="B2773" s="1" t="s">
        <v>5897</v>
      </c>
      <c r="C2773">
        <v>5991.6</v>
      </c>
      <c r="D2773">
        <v>142</v>
      </c>
      <c r="E2773" s="1" t="s">
        <v>6036</v>
      </c>
      <c r="F2773" s="1" t="s">
        <v>15</v>
      </c>
      <c r="G2773" s="1" t="s">
        <v>52</v>
      </c>
      <c r="H2773">
        <v>16</v>
      </c>
      <c r="I2773">
        <v>10</v>
      </c>
      <c r="K2773" s="1" t="s">
        <v>17</v>
      </c>
      <c r="L2773" s="1" t="s">
        <v>24</v>
      </c>
      <c r="M2773" s="1" t="s">
        <v>6031</v>
      </c>
      <c r="N2773" s="1" t="s">
        <v>6037</v>
      </c>
    </row>
    <row r="2774" spans="1:14" x14ac:dyDescent="0.35">
      <c r="A2774">
        <v>1302015</v>
      </c>
      <c r="B2774" s="1" t="s">
        <v>5897</v>
      </c>
      <c r="C2774">
        <v>5991.6</v>
      </c>
      <c r="D2774">
        <v>142</v>
      </c>
      <c r="E2774" s="1" t="s">
        <v>6038</v>
      </c>
      <c r="F2774" s="1" t="s">
        <v>71</v>
      </c>
      <c r="G2774" s="1" t="s">
        <v>32</v>
      </c>
      <c r="H2774">
        <v>30</v>
      </c>
      <c r="I2774">
        <v>20</v>
      </c>
      <c r="J2774">
        <v>1</v>
      </c>
      <c r="K2774" s="1" t="s">
        <v>23</v>
      </c>
      <c r="L2774" s="1" t="s">
        <v>24</v>
      </c>
      <c r="M2774" s="1" t="s">
        <v>6039</v>
      </c>
      <c r="N2774" s="1" t="s">
        <v>6040</v>
      </c>
    </row>
    <row r="2775" spans="1:14" x14ac:dyDescent="0.35">
      <c r="A2775">
        <v>1302012</v>
      </c>
      <c r="B2775" s="1" t="s">
        <v>5897</v>
      </c>
      <c r="C2775">
        <v>5991.6</v>
      </c>
      <c r="D2775">
        <v>142</v>
      </c>
      <c r="E2775" s="1" t="s">
        <v>6041</v>
      </c>
      <c r="F2775" s="1" t="s">
        <v>15</v>
      </c>
      <c r="G2775" s="1" t="s">
        <v>32</v>
      </c>
      <c r="H2775">
        <v>130</v>
      </c>
      <c r="I2775">
        <v>30</v>
      </c>
      <c r="J2775">
        <v>258</v>
      </c>
      <c r="K2775" s="1" t="s">
        <v>90</v>
      </c>
      <c r="L2775" s="1" t="s">
        <v>24</v>
      </c>
      <c r="M2775" s="1" t="s">
        <v>6039</v>
      </c>
      <c r="N2775" s="1" t="s">
        <v>6042</v>
      </c>
    </row>
    <row r="2776" spans="1:14" x14ac:dyDescent="0.35">
      <c r="A2776">
        <v>1302011</v>
      </c>
      <c r="B2776" s="1" t="s">
        <v>5897</v>
      </c>
      <c r="C2776">
        <v>5991.6</v>
      </c>
      <c r="D2776">
        <v>142</v>
      </c>
      <c r="E2776" s="1" t="s">
        <v>6043</v>
      </c>
      <c r="F2776" s="1" t="s">
        <v>15</v>
      </c>
      <c r="G2776" s="1" t="s">
        <v>32</v>
      </c>
      <c r="H2776">
        <v>186</v>
      </c>
      <c r="I2776">
        <v>63</v>
      </c>
      <c r="J2776">
        <v>90</v>
      </c>
      <c r="K2776" s="1" t="s">
        <v>17</v>
      </c>
      <c r="L2776" s="1" t="s">
        <v>18</v>
      </c>
      <c r="M2776" s="1" t="s">
        <v>6039</v>
      </c>
      <c r="N2776" s="1" t="s">
        <v>6044</v>
      </c>
    </row>
    <row r="2777" spans="1:14" x14ac:dyDescent="0.35">
      <c r="A2777">
        <v>1302013</v>
      </c>
      <c r="B2777" s="1" t="s">
        <v>5897</v>
      </c>
      <c r="C2777">
        <v>5991.6</v>
      </c>
      <c r="D2777">
        <v>142</v>
      </c>
      <c r="E2777" s="1" t="s">
        <v>6045</v>
      </c>
      <c r="F2777" s="1" t="s">
        <v>15</v>
      </c>
      <c r="G2777" s="1" t="s">
        <v>22</v>
      </c>
      <c r="H2777">
        <v>62</v>
      </c>
      <c r="I2777">
        <v>18</v>
      </c>
      <c r="J2777">
        <v>247</v>
      </c>
      <c r="K2777" s="1" t="s">
        <v>17</v>
      </c>
      <c r="L2777" s="1" t="s">
        <v>24</v>
      </c>
      <c r="M2777" s="1" t="s">
        <v>6039</v>
      </c>
      <c r="N2777" s="1" t="s">
        <v>6046</v>
      </c>
    </row>
    <row r="2778" spans="1:14" x14ac:dyDescent="0.35">
      <c r="A2778">
        <v>1304017</v>
      </c>
      <c r="B2778" s="1" t="s">
        <v>5897</v>
      </c>
      <c r="C2778">
        <v>5991.6</v>
      </c>
      <c r="D2778">
        <v>142</v>
      </c>
      <c r="E2778" s="1" t="s">
        <v>6047</v>
      </c>
      <c r="F2778" s="1" t="s">
        <v>71</v>
      </c>
      <c r="G2778" s="1" t="s">
        <v>32</v>
      </c>
      <c r="H2778">
        <v>27</v>
      </c>
      <c r="I2778">
        <v>8</v>
      </c>
      <c r="J2778">
        <v>40</v>
      </c>
      <c r="K2778" s="1" t="s">
        <v>95</v>
      </c>
      <c r="L2778" s="1" t="s">
        <v>24</v>
      </c>
      <c r="M2778" s="1" t="s">
        <v>6048</v>
      </c>
      <c r="N2778" s="1" t="s">
        <v>6049</v>
      </c>
    </row>
    <row r="2779" spans="1:14" x14ac:dyDescent="0.35">
      <c r="A2779">
        <v>1304014</v>
      </c>
      <c r="B2779" s="1" t="s">
        <v>5897</v>
      </c>
      <c r="C2779">
        <v>5991.6</v>
      </c>
      <c r="D2779">
        <v>142</v>
      </c>
      <c r="E2779" s="1" t="s">
        <v>6050</v>
      </c>
      <c r="F2779" s="1" t="s">
        <v>15</v>
      </c>
      <c r="G2779" s="1" t="s">
        <v>32</v>
      </c>
      <c r="H2779">
        <v>130</v>
      </c>
      <c r="I2779">
        <v>35</v>
      </c>
      <c r="J2779">
        <v>384</v>
      </c>
      <c r="K2779" s="1" t="s">
        <v>17</v>
      </c>
      <c r="L2779" s="1" t="s">
        <v>18</v>
      </c>
      <c r="M2779" s="1" t="s">
        <v>6048</v>
      </c>
      <c r="N2779" s="1" t="s">
        <v>6051</v>
      </c>
    </row>
    <row r="2780" spans="1:14" x14ac:dyDescent="0.35">
      <c r="A2780">
        <v>1304031</v>
      </c>
      <c r="B2780" s="1" t="s">
        <v>5897</v>
      </c>
      <c r="C2780">
        <v>5991.6</v>
      </c>
      <c r="D2780">
        <v>142</v>
      </c>
      <c r="E2780" s="1" t="s">
        <v>6052</v>
      </c>
      <c r="F2780" s="1" t="s">
        <v>15</v>
      </c>
      <c r="G2780" s="1" t="s">
        <v>52</v>
      </c>
      <c r="H2780">
        <v>50</v>
      </c>
      <c r="I2780">
        <v>19</v>
      </c>
      <c r="K2780" s="1" t="s">
        <v>17</v>
      </c>
      <c r="L2780" s="1" t="s">
        <v>18</v>
      </c>
      <c r="M2780" s="1" t="s">
        <v>6048</v>
      </c>
      <c r="N2780" s="1" t="s">
        <v>6053</v>
      </c>
    </row>
    <row r="2781" spans="1:14" x14ac:dyDescent="0.35">
      <c r="A2781">
        <v>1303023</v>
      </c>
      <c r="B2781" s="1" t="s">
        <v>5897</v>
      </c>
      <c r="C2781">
        <v>5991.6</v>
      </c>
      <c r="D2781">
        <v>142</v>
      </c>
      <c r="E2781" s="1" t="s">
        <v>6054</v>
      </c>
      <c r="F2781" s="1" t="s">
        <v>15</v>
      </c>
      <c r="G2781" s="1" t="s">
        <v>32</v>
      </c>
      <c r="H2781">
        <v>101</v>
      </c>
      <c r="I2781">
        <v>31</v>
      </c>
      <c r="J2781">
        <v>359</v>
      </c>
      <c r="K2781" s="1" t="s">
        <v>17</v>
      </c>
      <c r="L2781" s="1" t="s">
        <v>24</v>
      </c>
      <c r="M2781" s="1" t="s">
        <v>6055</v>
      </c>
      <c r="N2781" s="1" t="s">
        <v>6056</v>
      </c>
    </row>
    <row r="2782" spans="1:14" x14ac:dyDescent="0.35">
      <c r="A2782">
        <v>1303012</v>
      </c>
      <c r="B2782" s="1" t="s">
        <v>5897</v>
      </c>
      <c r="C2782">
        <v>5991.6</v>
      </c>
      <c r="D2782">
        <v>142</v>
      </c>
      <c r="E2782" s="1" t="s">
        <v>6057</v>
      </c>
      <c r="F2782" s="1" t="s">
        <v>15</v>
      </c>
      <c r="G2782" s="1" t="s">
        <v>32</v>
      </c>
      <c r="H2782">
        <v>112</v>
      </c>
      <c r="I2782">
        <v>44</v>
      </c>
      <c r="J2782">
        <v>275</v>
      </c>
      <c r="K2782" s="1" t="s">
        <v>17</v>
      </c>
      <c r="L2782" s="1" t="s">
        <v>18</v>
      </c>
      <c r="M2782" s="1" t="s">
        <v>6058</v>
      </c>
      <c r="N2782" s="1" t="s">
        <v>6059</v>
      </c>
    </row>
    <row r="2783" spans="1:14" x14ac:dyDescent="0.35">
      <c r="A2783">
        <v>1310011</v>
      </c>
      <c r="B2783" s="1" t="s">
        <v>5897</v>
      </c>
      <c r="C2783">
        <v>5991.6</v>
      </c>
      <c r="D2783">
        <v>142</v>
      </c>
      <c r="E2783" s="1" t="s">
        <v>6060</v>
      </c>
      <c r="F2783" s="1" t="s">
        <v>15</v>
      </c>
      <c r="G2783" s="1" t="s">
        <v>22</v>
      </c>
      <c r="H2783">
        <v>55</v>
      </c>
      <c r="I2783">
        <v>46</v>
      </c>
      <c r="K2783" s="1" t="s">
        <v>17</v>
      </c>
      <c r="L2783" s="1" t="s">
        <v>18</v>
      </c>
      <c r="M2783" s="1" t="s">
        <v>6058</v>
      </c>
      <c r="N2783" s="1" t="s">
        <v>6061</v>
      </c>
    </row>
    <row r="2784" spans="1:14" x14ac:dyDescent="0.35">
      <c r="A2784">
        <v>1305016</v>
      </c>
      <c r="B2784" s="1" t="s">
        <v>5897</v>
      </c>
      <c r="C2784">
        <v>5991.6</v>
      </c>
      <c r="D2784">
        <v>142</v>
      </c>
      <c r="E2784" s="1" t="s">
        <v>6062</v>
      </c>
      <c r="F2784" s="1" t="s">
        <v>71</v>
      </c>
      <c r="G2784" s="1" t="s">
        <v>32</v>
      </c>
      <c r="H2784">
        <v>62</v>
      </c>
      <c r="I2784">
        <v>19</v>
      </c>
      <c r="J2784">
        <v>55</v>
      </c>
      <c r="K2784" s="1" t="s">
        <v>90</v>
      </c>
      <c r="L2784" s="1" t="s">
        <v>24</v>
      </c>
      <c r="M2784" s="1" t="s">
        <v>6063</v>
      </c>
      <c r="N2784" s="1" t="s">
        <v>6064</v>
      </c>
    </row>
    <row r="2785" spans="1:14" x14ac:dyDescent="0.35">
      <c r="A2785">
        <v>1305015</v>
      </c>
      <c r="B2785" s="1" t="s">
        <v>5897</v>
      </c>
      <c r="C2785">
        <v>5991.6</v>
      </c>
      <c r="D2785">
        <v>142</v>
      </c>
      <c r="E2785" s="1" t="s">
        <v>4079</v>
      </c>
      <c r="F2785" s="1" t="s">
        <v>71</v>
      </c>
      <c r="G2785" s="1" t="s">
        <v>32</v>
      </c>
      <c r="H2785">
        <v>32</v>
      </c>
      <c r="I2785">
        <v>19</v>
      </c>
      <c r="J2785">
        <v>71</v>
      </c>
      <c r="K2785" s="1" t="s">
        <v>23</v>
      </c>
      <c r="L2785" s="1" t="s">
        <v>24</v>
      </c>
      <c r="M2785" s="1" t="s">
        <v>6063</v>
      </c>
      <c r="N2785" s="1" t="s">
        <v>6065</v>
      </c>
    </row>
    <row r="2786" spans="1:14" x14ac:dyDescent="0.35">
      <c r="A2786">
        <v>1305014</v>
      </c>
      <c r="B2786" s="1" t="s">
        <v>5897</v>
      </c>
      <c r="C2786">
        <v>5991.6</v>
      </c>
      <c r="D2786">
        <v>142</v>
      </c>
      <c r="E2786" s="1" t="s">
        <v>6066</v>
      </c>
      <c r="F2786" s="1" t="s">
        <v>15</v>
      </c>
      <c r="G2786" s="1" t="s">
        <v>32</v>
      </c>
      <c r="H2786">
        <v>176</v>
      </c>
      <c r="I2786">
        <v>39</v>
      </c>
      <c r="J2786">
        <v>450</v>
      </c>
      <c r="K2786" s="1" t="s">
        <v>17</v>
      </c>
      <c r="L2786" s="1" t="s">
        <v>18</v>
      </c>
      <c r="M2786" s="1" t="s">
        <v>6063</v>
      </c>
      <c r="N2786" s="1" t="s">
        <v>6067</v>
      </c>
    </row>
    <row r="2787" spans="1:14" x14ac:dyDescent="0.35">
      <c r="A2787">
        <v>1305017</v>
      </c>
      <c r="B2787" s="1" t="s">
        <v>5897</v>
      </c>
      <c r="C2787">
        <v>5991.6</v>
      </c>
      <c r="D2787">
        <v>142</v>
      </c>
      <c r="E2787" s="1" t="s">
        <v>6068</v>
      </c>
      <c r="F2787" s="1" t="s">
        <v>15</v>
      </c>
      <c r="G2787" s="1" t="s">
        <v>22</v>
      </c>
      <c r="H2787">
        <v>51</v>
      </c>
      <c r="I2787">
        <v>20</v>
      </c>
      <c r="J2787">
        <v>74</v>
      </c>
      <c r="K2787" s="1" t="s">
        <v>23</v>
      </c>
      <c r="L2787" s="1" t="s">
        <v>24</v>
      </c>
      <c r="M2787" s="1" t="s">
        <v>6063</v>
      </c>
      <c r="N2787" s="1" t="s">
        <v>6069</v>
      </c>
    </row>
    <row r="2788" spans="1:14" x14ac:dyDescent="0.35">
      <c r="A2788">
        <v>1607017</v>
      </c>
      <c r="B2788" s="1" t="s">
        <v>6070</v>
      </c>
      <c r="C2788">
        <v>9017.1</v>
      </c>
      <c r="D2788">
        <v>104</v>
      </c>
      <c r="E2788" s="1" t="s">
        <v>6071</v>
      </c>
      <c r="F2788" s="1" t="s">
        <v>15</v>
      </c>
      <c r="G2788" s="1" t="s">
        <v>32</v>
      </c>
      <c r="H2788">
        <v>164</v>
      </c>
      <c r="I2788">
        <v>25</v>
      </c>
      <c r="J2788">
        <v>55</v>
      </c>
      <c r="K2788" s="1" t="s">
        <v>90</v>
      </c>
      <c r="L2788" s="1" t="s">
        <v>24</v>
      </c>
      <c r="M2788" s="1" t="s">
        <v>6072</v>
      </c>
      <c r="N2788" s="1" t="s">
        <v>6073</v>
      </c>
    </row>
    <row r="2789" spans="1:14" x14ac:dyDescent="0.35">
      <c r="A2789">
        <v>1607014</v>
      </c>
      <c r="B2789" s="1" t="s">
        <v>6070</v>
      </c>
      <c r="C2789">
        <v>9017.1</v>
      </c>
      <c r="D2789">
        <v>104</v>
      </c>
      <c r="E2789" s="1" t="s">
        <v>6074</v>
      </c>
      <c r="F2789" s="1" t="s">
        <v>15</v>
      </c>
      <c r="G2789" s="1" t="s">
        <v>32</v>
      </c>
      <c r="H2789">
        <v>153</v>
      </c>
      <c r="I2789">
        <v>124</v>
      </c>
      <c r="J2789">
        <v>210</v>
      </c>
      <c r="K2789" s="1" t="s">
        <v>90</v>
      </c>
      <c r="L2789" s="1" t="s">
        <v>24</v>
      </c>
      <c r="M2789" s="1" t="s">
        <v>6072</v>
      </c>
      <c r="N2789" s="1" t="s">
        <v>6075</v>
      </c>
    </row>
    <row r="2790" spans="1:14" x14ac:dyDescent="0.35">
      <c r="A2790">
        <v>1607012</v>
      </c>
      <c r="B2790" s="1" t="s">
        <v>6070</v>
      </c>
      <c r="C2790">
        <v>9017.1</v>
      </c>
      <c r="D2790">
        <v>104</v>
      </c>
      <c r="E2790" s="1" t="s">
        <v>6076</v>
      </c>
      <c r="F2790" s="1" t="s">
        <v>15</v>
      </c>
      <c r="G2790" s="1" t="s">
        <v>32</v>
      </c>
      <c r="H2790">
        <v>119</v>
      </c>
      <c r="I2790">
        <v>60</v>
      </c>
      <c r="J2790">
        <v>177</v>
      </c>
      <c r="K2790" s="1" t="s">
        <v>17</v>
      </c>
      <c r="L2790" s="1" t="s">
        <v>18</v>
      </c>
      <c r="M2790" s="1" t="s">
        <v>6072</v>
      </c>
      <c r="N2790" s="1" t="s">
        <v>6077</v>
      </c>
    </row>
    <row r="2791" spans="1:14" x14ac:dyDescent="0.35">
      <c r="A2791">
        <v>1671072</v>
      </c>
      <c r="B2791" s="1" t="s">
        <v>6070</v>
      </c>
      <c r="C2791">
        <v>9017.1</v>
      </c>
      <c r="D2791">
        <v>104</v>
      </c>
      <c r="E2791" s="1" t="s">
        <v>6078</v>
      </c>
      <c r="F2791" s="1" t="s">
        <v>15</v>
      </c>
      <c r="G2791" s="1" t="s">
        <v>32</v>
      </c>
      <c r="H2791">
        <v>103</v>
      </c>
      <c r="I2791">
        <v>48</v>
      </c>
      <c r="J2791">
        <v>219</v>
      </c>
      <c r="K2791" s="1" t="s">
        <v>339</v>
      </c>
      <c r="L2791" s="1" t="s">
        <v>120</v>
      </c>
      <c r="M2791" s="1" t="s">
        <v>6072</v>
      </c>
      <c r="N2791" s="1" t="s">
        <v>6079</v>
      </c>
    </row>
    <row r="2792" spans="1:14" x14ac:dyDescent="0.35">
      <c r="A2792">
        <v>1607016</v>
      </c>
      <c r="B2792" s="1" t="s">
        <v>6070</v>
      </c>
      <c r="C2792">
        <v>9017.1</v>
      </c>
      <c r="D2792">
        <v>104</v>
      </c>
      <c r="E2792" s="1" t="s">
        <v>6080</v>
      </c>
      <c r="F2792" s="1" t="s">
        <v>15</v>
      </c>
      <c r="G2792" s="1" t="s">
        <v>22</v>
      </c>
      <c r="H2792">
        <v>50</v>
      </c>
      <c r="I2792">
        <v>20</v>
      </c>
      <c r="J2792">
        <v>8</v>
      </c>
      <c r="K2792" s="1" t="s">
        <v>17</v>
      </c>
      <c r="L2792" s="1" t="s">
        <v>18</v>
      </c>
      <c r="M2792" s="1" t="s">
        <v>6072</v>
      </c>
      <c r="N2792" s="1" t="s">
        <v>6081</v>
      </c>
    </row>
    <row r="2793" spans="1:14" x14ac:dyDescent="0.35">
      <c r="A2793">
        <v>1607015</v>
      </c>
      <c r="B2793" s="1" t="s">
        <v>6070</v>
      </c>
      <c r="C2793">
        <v>9017.1</v>
      </c>
      <c r="D2793">
        <v>104</v>
      </c>
      <c r="E2793" s="1" t="s">
        <v>6082</v>
      </c>
      <c r="F2793" s="1" t="s">
        <v>15</v>
      </c>
      <c r="G2793" s="1" t="s">
        <v>52</v>
      </c>
      <c r="H2793">
        <v>30</v>
      </c>
      <c r="I2793">
        <v>13</v>
      </c>
      <c r="J2793">
        <v>58</v>
      </c>
      <c r="K2793" s="1" t="s">
        <v>17</v>
      </c>
      <c r="L2793" s="1" t="s">
        <v>24</v>
      </c>
      <c r="M2793" s="1" t="s">
        <v>6072</v>
      </c>
      <c r="N2793" s="1" t="s">
        <v>6083</v>
      </c>
    </row>
    <row r="2794" spans="1:14" x14ac:dyDescent="0.35">
      <c r="A2794">
        <v>1611042</v>
      </c>
      <c r="B2794" s="1" t="s">
        <v>6070</v>
      </c>
      <c r="C2794">
        <v>9017.1</v>
      </c>
      <c r="D2794">
        <v>104</v>
      </c>
      <c r="E2794" s="1" t="s">
        <v>6084</v>
      </c>
      <c r="F2794" s="1" t="s">
        <v>15</v>
      </c>
      <c r="G2794" s="1" t="s">
        <v>32</v>
      </c>
      <c r="H2794">
        <v>123</v>
      </c>
      <c r="I2794">
        <v>53</v>
      </c>
      <c r="J2794">
        <v>313</v>
      </c>
      <c r="K2794" s="1" t="s">
        <v>17</v>
      </c>
      <c r="L2794" s="1" t="s">
        <v>18</v>
      </c>
      <c r="M2794" s="1" t="s">
        <v>6085</v>
      </c>
      <c r="N2794" s="1" t="s">
        <v>6086</v>
      </c>
    </row>
    <row r="2795" spans="1:14" x14ac:dyDescent="0.35">
      <c r="A2795">
        <v>1611002</v>
      </c>
      <c r="B2795" s="1" t="s">
        <v>6070</v>
      </c>
      <c r="C2795">
        <v>9017.1</v>
      </c>
      <c r="D2795">
        <v>104</v>
      </c>
      <c r="E2795" s="1" t="s">
        <v>6087</v>
      </c>
      <c r="F2795" s="1" t="s">
        <v>15</v>
      </c>
      <c r="G2795" s="1" t="s">
        <v>52</v>
      </c>
      <c r="H2795">
        <v>58</v>
      </c>
      <c r="I2795">
        <v>12</v>
      </c>
      <c r="J2795">
        <v>116</v>
      </c>
      <c r="K2795" s="1" t="s">
        <v>17</v>
      </c>
      <c r="L2795" s="1" t="s">
        <v>24</v>
      </c>
      <c r="M2795" s="1" t="s">
        <v>6085</v>
      </c>
      <c r="N2795" s="1" t="s">
        <v>6088</v>
      </c>
    </row>
    <row r="2796" spans="1:14" x14ac:dyDescent="0.35">
      <c r="A2796">
        <v>1674007</v>
      </c>
      <c r="B2796" s="1" t="s">
        <v>6070</v>
      </c>
      <c r="C2796">
        <v>9017.1</v>
      </c>
      <c r="D2796">
        <v>104</v>
      </c>
      <c r="E2796" s="1" t="s">
        <v>6089</v>
      </c>
      <c r="F2796" s="1" t="s">
        <v>71</v>
      </c>
      <c r="G2796" s="1" t="s">
        <v>32</v>
      </c>
      <c r="H2796">
        <v>34</v>
      </c>
      <c r="I2796">
        <v>15</v>
      </c>
      <c r="J2796">
        <v>45</v>
      </c>
      <c r="K2796" s="1" t="s">
        <v>95</v>
      </c>
      <c r="L2796" s="1" t="s">
        <v>24</v>
      </c>
      <c r="M2796" s="1" t="s">
        <v>6090</v>
      </c>
      <c r="N2796" s="1" t="s">
        <v>6091</v>
      </c>
    </row>
    <row r="2797" spans="1:14" x14ac:dyDescent="0.35">
      <c r="A2797">
        <v>1674005</v>
      </c>
      <c r="B2797" s="1" t="s">
        <v>6070</v>
      </c>
      <c r="C2797">
        <v>9017.1</v>
      </c>
      <c r="D2797">
        <v>104</v>
      </c>
      <c r="E2797" s="1" t="s">
        <v>6092</v>
      </c>
      <c r="F2797" s="1" t="s">
        <v>71</v>
      </c>
      <c r="G2797" s="1" t="s">
        <v>32</v>
      </c>
      <c r="H2797">
        <v>93</v>
      </c>
      <c r="I2797">
        <v>16</v>
      </c>
      <c r="J2797">
        <v>129</v>
      </c>
      <c r="K2797" s="1" t="s">
        <v>95</v>
      </c>
      <c r="L2797" s="1" t="s">
        <v>24</v>
      </c>
      <c r="M2797" s="1" t="s">
        <v>6090</v>
      </c>
      <c r="N2797" s="1" t="s">
        <v>6093</v>
      </c>
    </row>
    <row r="2798" spans="1:14" x14ac:dyDescent="0.35">
      <c r="A2798">
        <v>1674002</v>
      </c>
      <c r="B2798" s="1" t="s">
        <v>6070</v>
      </c>
      <c r="C2798">
        <v>9017.1</v>
      </c>
      <c r="D2798">
        <v>104</v>
      </c>
      <c r="E2798" s="1" t="s">
        <v>6094</v>
      </c>
      <c r="F2798" s="1" t="s">
        <v>15</v>
      </c>
      <c r="G2798" s="1" t="s">
        <v>32</v>
      </c>
      <c r="H2798">
        <v>280</v>
      </c>
      <c r="I2798">
        <v>34</v>
      </c>
      <c r="J2798">
        <v>206</v>
      </c>
      <c r="K2798" s="1" t="s">
        <v>23</v>
      </c>
      <c r="L2798" s="1" t="s">
        <v>24</v>
      </c>
      <c r="M2798" s="1" t="s">
        <v>6090</v>
      </c>
      <c r="N2798" s="1" t="s">
        <v>6095</v>
      </c>
    </row>
    <row r="2799" spans="1:14" x14ac:dyDescent="0.35">
      <c r="A2799">
        <v>1674032</v>
      </c>
      <c r="B2799" s="1" t="s">
        <v>6070</v>
      </c>
      <c r="C2799">
        <v>9017.1</v>
      </c>
      <c r="D2799">
        <v>104</v>
      </c>
      <c r="E2799" s="1" t="s">
        <v>6096</v>
      </c>
      <c r="F2799" s="1" t="s">
        <v>15</v>
      </c>
      <c r="G2799" s="1" t="s">
        <v>32</v>
      </c>
      <c r="H2799">
        <v>121</v>
      </c>
      <c r="I2799">
        <v>24</v>
      </c>
      <c r="J2799">
        <v>348</v>
      </c>
      <c r="K2799" s="1" t="s">
        <v>137</v>
      </c>
      <c r="L2799" s="1" t="s">
        <v>18</v>
      </c>
      <c r="M2799" s="1" t="s">
        <v>6090</v>
      </c>
      <c r="N2799" s="1" t="s">
        <v>6097</v>
      </c>
    </row>
    <row r="2800" spans="1:14" x14ac:dyDescent="0.35">
      <c r="A2800">
        <v>1674003</v>
      </c>
      <c r="B2800" s="1" t="s">
        <v>6070</v>
      </c>
      <c r="C2800">
        <v>9017.1</v>
      </c>
      <c r="D2800">
        <v>104</v>
      </c>
      <c r="E2800" s="1" t="s">
        <v>6098</v>
      </c>
      <c r="F2800" s="1" t="s">
        <v>15</v>
      </c>
      <c r="G2800" s="1" t="s">
        <v>32</v>
      </c>
      <c r="H2800">
        <v>100</v>
      </c>
      <c r="I2800">
        <v>25</v>
      </c>
      <c r="J2800">
        <v>170</v>
      </c>
      <c r="K2800" s="1" t="s">
        <v>23</v>
      </c>
      <c r="L2800" s="1" t="s">
        <v>24</v>
      </c>
      <c r="M2800" s="1" t="s">
        <v>6090</v>
      </c>
      <c r="N2800" s="1" t="s">
        <v>6099</v>
      </c>
    </row>
    <row r="2801" spans="1:14" x14ac:dyDescent="0.35">
      <c r="A2801">
        <v>1674008</v>
      </c>
      <c r="B2801" s="1" t="s">
        <v>6070</v>
      </c>
      <c r="C2801">
        <v>9017.1</v>
      </c>
      <c r="D2801">
        <v>104</v>
      </c>
      <c r="E2801" s="1" t="s">
        <v>6100</v>
      </c>
      <c r="F2801" s="1" t="s">
        <v>15</v>
      </c>
      <c r="G2801" s="1" t="s">
        <v>22</v>
      </c>
      <c r="H2801">
        <v>50</v>
      </c>
      <c r="I2801">
        <v>14</v>
      </c>
      <c r="J2801">
        <v>30</v>
      </c>
      <c r="K2801" s="1" t="s">
        <v>137</v>
      </c>
      <c r="L2801" s="1" t="s">
        <v>18</v>
      </c>
      <c r="M2801" s="1" t="s">
        <v>6090</v>
      </c>
      <c r="N2801" s="1" t="s">
        <v>6101</v>
      </c>
    </row>
    <row r="2802" spans="1:14" x14ac:dyDescent="0.35">
      <c r="A2802">
        <v>1673031</v>
      </c>
      <c r="B2802" s="1" t="s">
        <v>6070</v>
      </c>
      <c r="C2802">
        <v>9017.1</v>
      </c>
      <c r="D2802">
        <v>104</v>
      </c>
      <c r="E2802" s="1" t="s">
        <v>6102</v>
      </c>
      <c r="F2802" s="1" t="s">
        <v>15</v>
      </c>
      <c r="G2802" s="1" t="s">
        <v>32</v>
      </c>
      <c r="H2802">
        <v>170</v>
      </c>
      <c r="I2802">
        <v>27</v>
      </c>
      <c r="J2802">
        <v>399</v>
      </c>
      <c r="K2802" s="1" t="s">
        <v>137</v>
      </c>
      <c r="L2802" s="1" t="s">
        <v>18</v>
      </c>
      <c r="M2802" s="1" t="s">
        <v>6103</v>
      </c>
      <c r="N2802" s="1" t="s">
        <v>6104</v>
      </c>
    </row>
    <row r="2803" spans="1:14" x14ac:dyDescent="0.35">
      <c r="A2803">
        <v>1671328</v>
      </c>
      <c r="B2803" s="1" t="s">
        <v>6070</v>
      </c>
      <c r="C2803">
        <v>9017.1</v>
      </c>
      <c r="D2803">
        <v>104</v>
      </c>
      <c r="E2803" s="1" t="s">
        <v>6105</v>
      </c>
      <c r="F2803" s="1" t="s">
        <v>119</v>
      </c>
      <c r="G2803" s="1" t="s">
        <v>32</v>
      </c>
      <c r="H2803">
        <v>21</v>
      </c>
      <c r="I2803">
        <v>17</v>
      </c>
      <c r="J2803">
        <v>141</v>
      </c>
      <c r="K2803" s="1" t="s">
        <v>124</v>
      </c>
      <c r="L2803" s="1" t="s">
        <v>18</v>
      </c>
      <c r="M2803" s="1" t="s">
        <v>6106</v>
      </c>
      <c r="N2803" s="1" t="s">
        <v>6107</v>
      </c>
    </row>
    <row r="2804" spans="1:14" x14ac:dyDescent="0.35">
      <c r="A2804">
        <v>1671341</v>
      </c>
      <c r="B2804" s="1" t="s">
        <v>6070</v>
      </c>
      <c r="C2804">
        <v>9017.1</v>
      </c>
      <c r="D2804">
        <v>104</v>
      </c>
      <c r="E2804" s="1" t="s">
        <v>6108</v>
      </c>
      <c r="F2804" s="1" t="s">
        <v>71</v>
      </c>
      <c r="G2804" s="1" t="s">
        <v>32</v>
      </c>
      <c r="H2804">
        <v>25</v>
      </c>
      <c r="I2804">
        <v>13</v>
      </c>
      <c r="J2804">
        <v>29</v>
      </c>
      <c r="K2804" s="1" t="s">
        <v>84</v>
      </c>
      <c r="L2804" s="1" t="s">
        <v>24</v>
      </c>
      <c r="M2804" s="1" t="s">
        <v>6106</v>
      </c>
      <c r="N2804" s="1" t="s">
        <v>6109</v>
      </c>
    </row>
    <row r="2805" spans="1:14" x14ac:dyDescent="0.35">
      <c r="A2805">
        <v>1671324</v>
      </c>
      <c r="B2805" s="1" t="s">
        <v>6070</v>
      </c>
      <c r="C2805">
        <v>9017.1</v>
      </c>
      <c r="D2805">
        <v>104</v>
      </c>
      <c r="E2805" s="1" t="s">
        <v>6110</v>
      </c>
      <c r="F2805" s="1" t="s">
        <v>71</v>
      </c>
      <c r="G2805" s="1" t="s">
        <v>32</v>
      </c>
      <c r="H2805">
        <v>43</v>
      </c>
      <c r="I2805">
        <v>18</v>
      </c>
      <c r="J2805">
        <v>152</v>
      </c>
      <c r="K2805" s="1" t="s">
        <v>84</v>
      </c>
      <c r="L2805" s="1" t="s">
        <v>24</v>
      </c>
      <c r="M2805" s="1" t="s">
        <v>6106</v>
      </c>
      <c r="N2805" s="1" t="s">
        <v>6111</v>
      </c>
    </row>
    <row r="2806" spans="1:14" x14ac:dyDescent="0.35">
      <c r="A2806">
        <v>1671337</v>
      </c>
      <c r="B2806" s="1" t="s">
        <v>6070</v>
      </c>
      <c r="C2806">
        <v>9017.1</v>
      </c>
      <c r="D2806">
        <v>104</v>
      </c>
      <c r="E2806" s="1" t="s">
        <v>6112</v>
      </c>
      <c r="F2806" s="1" t="s">
        <v>71</v>
      </c>
      <c r="G2806" s="1" t="s">
        <v>32</v>
      </c>
      <c r="H2806">
        <v>25</v>
      </c>
      <c r="I2806">
        <v>9</v>
      </c>
      <c r="J2806">
        <v>25</v>
      </c>
      <c r="K2806" s="1" t="s">
        <v>23</v>
      </c>
      <c r="L2806" s="1" t="s">
        <v>24</v>
      </c>
      <c r="M2806" s="1" t="s">
        <v>6106</v>
      </c>
      <c r="N2806" s="1" t="s">
        <v>6113</v>
      </c>
    </row>
    <row r="2807" spans="1:14" x14ac:dyDescent="0.35">
      <c r="A2807">
        <v>1671348</v>
      </c>
      <c r="B2807" s="1" t="s">
        <v>6070</v>
      </c>
      <c r="C2807">
        <v>9017.1</v>
      </c>
      <c r="D2807">
        <v>104</v>
      </c>
      <c r="E2807" s="1" t="s">
        <v>6114</v>
      </c>
      <c r="F2807" s="1" t="s">
        <v>71</v>
      </c>
      <c r="G2807" s="1" t="s">
        <v>32</v>
      </c>
      <c r="H2807">
        <v>25</v>
      </c>
      <c r="I2807">
        <v>8</v>
      </c>
      <c r="J2807">
        <v>46</v>
      </c>
      <c r="K2807" s="1" t="s">
        <v>90</v>
      </c>
      <c r="L2807" s="1" t="s">
        <v>24</v>
      </c>
      <c r="M2807" s="1" t="s">
        <v>6106</v>
      </c>
      <c r="N2807" s="1" t="s">
        <v>6115</v>
      </c>
    </row>
    <row r="2808" spans="1:14" x14ac:dyDescent="0.35">
      <c r="A2808">
        <v>1671339</v>
      </c>
      <c r="B2808" s="1" t="s">
        <v>6070</v>
      </c>
      <c r="C2808">
        <v>9017.1</v>
      </c>
      <c r="D2808">
        <v>104</v>
      </c>
      <c r="E2808" s="1" t="s">
        <v>6116</v>
      </c>
      <c r="F2808" s="1" t="s">
        <v>71</v>
      </c>
      <c r="G2808" s="1" t="s">
        <v>32</v>
      </c>
      <c r="H2808">
        <v>25</v>
      </c>
      <c r="I2808">
        <v>17</v>
      </c>
      <c r="J2808">
        <v>46</v>
      </c>
      <c r="K2808" s="1" t="s">
        <v>90</v>
      </c>
      <c r="L2808" s="1" t="s">
        <v>24</v>
      </c>
      <c r="M2808" s="1" t="s">
        <v>6106</v>
      </c>
      <c r="N2808" s="1" t="s">
        <v>6117</v>
      </c>
    </row>
    <row r="2809" spans="1:14" x14ac:dyDescent="0.35">
      <c r="A2809">
        <v>1671340</v>
      </c>
      <c r="B2809" s="1" t="s">
        <v>6070</v>
      </c>
      <c r="C2809">
        <v>9017.1</v>
      </c>
      <c r="D2809">
        <v>104</v>
      </c>
      <c r="E2809" s="1" t="s">
        <v>6118</v>
      </c>
      <c r="F2809" s="1" t="s">
        <v>71</v>
      </c>
      <c r="G2809" s="1" t="s">
        <v>32</v>
      </c>
      <c r="H2809">
        <v>34</v>
      </c>
      <c r="I2809">
        <v>20</v>
      </c>
      <c r="J2809">
        <v>114</v>
      </c>
      <c r="K2809" s="1" t="s">
        <v>84</v>
      </c>
      <c r="L2809" s="1" t="s">
        <v>24</v>
      </c>
      <c r="M2809" s="1" t="s">
        <v>6106</v>
      </c>
      <c r="N2809" s="1" t="s">
        <v>6119</v>
      </c>
    </row>
    <row r="2810" spans="1:14" x14ac:dyDescent="0.35">
      <c r="A2810">
        <v>1671061</v>
      </c>
      <c r="B2810" s="1" t="s">
        <v>6070</v>
      </c>
      <c r="C2810">
        <v>9017.1</v>
      </c>
      <c r="D2810">
        <v>104</v>
      </c>
      <c r="E2810" s="1" t="s">
        <v>6120</v>
      </c>
      <c r="F2810" s="1" t="s">
        <v>129</v>
      </c>
      <c r="G2810" s="1" t="s">
        <v>130</v>
      </c>
      <c r="H2810">
        <v>182</v>
      </c>
      <c r="I2810">
        <v>35</v>
      </c>
      <c r="J2810">
        <v>421</v>
      </c>
      <c r="K2810" s="1" t="s">
        <v>124</v>
      </c>
      <c r="L2810" s="1" t="s">
        <v>18</v>
      </c>
      <c r="M2810" s="1" t="s">
        <v>6106</v>
      </c>
      <c r="N2810" s="1" t="s">
        <v>6121</v>
      </c>
    </row>
    <row r="2811" spans="1:14" x14ac:dyDescent="0.35">
      <c r="A2811">
        <v>1671323</v>
      </c>
      <c r="B2811" s="1" t="s">
        <v>6070</v>
      </c>
      <c r="C2811">
        <v>9017.1</v>
      </c>
      <c r="D2811">
        <v>104</v>
      </c>
      <c r="E2811" s="1" t="s">
        <v>6122</v>
      </c>
      <c r="F2811" s="1" t="s">
        <v>334</v>
      </c>
      <c r="G2811" s="1" t="s">
        <v>16</v>
      </c>
      <c r="H2811">
        <v>37</v>
      </c>
      <c r="I2811">
        <v>23</v>
      </c>
      <c r="J2811">
        <v>193</v>
      </c>
      <c r="K2811" s="1" t="s">
        <v>124</v>
      </c>
      <c r="L2811" s="1" t="s">
        <v>18</v>
      </c>
      <c r="M2811" s="1" t="s">
        <v>6106</v>
      </c>
      <c r="N2811" s="1" t="s">
        <v>6123</v>
      </c>
    </row>
    <row r="2812" spans="1:14" x14ac:dyDescent="0.35">
      <c r="A2812">
        <v>1671013</v>
      </c>
      <c r="B2812" s="1" t="s">
        <v>6070</v>
      </c>
      <c r="C2812">
        <v>9017.1</v>
      </c>
      <c r="D2812">
        <v>104</v>
      </c>
      <c r="E2812" s="1" t="s">
        <v>6124</v>
      </c>
      <c r="F2812" s="1" t="s">
        <v>15</v>
      </c>
      <c r="G2812" s="1" t="s">
        <v>130</v>
      </c>
      <c r="H2812">
        <v>926</v>
      </c>
      <c r="I2812">
        <v>155</v>
      </c>
      <c r="J2812">
        <v>3030</v>
      </c>
      <c r="K2812" s="1" t="s">
        <v>339</v>
      </c>
      <c r="L2812" s="1" t="s">
        <v>120</v>
      </c>
      <c r="M2812" s="1" t="s">
        <v>6106</v>
      </c>
      <c r="N2812" s="1" t="s">
        <v>6125</v>
      </c>
    </row>
    <row r="2813" spans="1:14" x14ac:dyDescent="0.35">
      <c r="A2813">
        <v>1671083</v>
      </c>
      <c r="B2813" s="1" t="s">
        <v>6070</v>
      </c>
      <c r="C2813">
        <v>9017.1</v>
      </c>
      <c r="D2813">
        <v>104</v>
      </c>
      <c r="E2813" s="1" t="s">
        <v>6126</v>
      </c>
      <c r="F2813" s="1" t="s">
        <v>15</v>
      </c>
      <c r="G2813" s="1" t="s">
        <v>16</v>
      </c>
      <c r="H2813">
        <v>200</v>
      </c>
      <c r="I2813">
        <v>97</v>
      </c>
      <c r="J2813">
        <v>620</v>
      </c>
      <c r="K2813" s="1" t="s">
        <v>84</v>
      </c>
      <c r="L2813" s="1" t="s">
        <v>24</v>
      </c>
      <c r="M2813" s="1" t="s">
        <v>6106</v>
      </c>
      <c r="N2813" s="1" t="s">
        <v>6127</v>
      </c>
    </row>
    <row r="2814" spans="1:14" x14ac:dyDescent="0.35">
      <c r="A2814">
        <v>1671265</v>
      </c>
      <c r="B2814" s="1" t="s">
        <v>6070</v>
      </c>
      <c r="C2814">
        <v>9017.1</v>
      </c>
      <c r="D2814">
        <v>104</v>
      </c>
      <c r="E2814" s="1" t="s">
        <v>6128</v>
      </c>
      <c r="F2814" s="1" t="s">
        <v>15</v>
      </c>
      <c r="G2814" s="1" t="s">
        <v>16</v>
      </c>
      <c r="H2814">
        <v>253</v>
      </c>
      <c r="I2814">
        <v>92</v>
      </c>
      <c r="J2814">
        <v>780</v>
      </c>
      <c r="K2814" s="1" t="s">
        <v>137</v>
      </c>
      <c r="L2814" s="1" t="s">
        <v>18</v>
      </c>
      <c r="M2814" s="1" t="s">
        <v>6106</v>
      </c>
      <c r="N2814" s="1" t="s">
        <v>6129</v>
      </c>
    </row>
    <row r="2815" spans="1:14" x14ac:dyDescent="0.35">
      <c r="A2815">
        <v>1671347</v>
      </c>
      <c r="B2815" s="1" t="s">
        <v>6070</v>
      </c>
      <c r="C2815">
        <v>9017.1</v>
      </c>
      <c r="D2815">
        <v>104</v>
      </c>
      <c r="E2815" s="1" t="s">
        <v>6130</v>
      </c>
      <c r="F2815" s="1" t="s">
        <v>15</v>
      </c>
      <c r="G2815" s="1" t="s">
        <v>16</v>
      </c>
      <c r="H2815">
        <v>306</v>
      </c>
      <c r="I2815">
        <v>81</v>
      </c>
      <c r="J2815">
        <v>519</v>
      </c>
      <c r="K2815" s="1" t="s">
        <v>124</v>
      </c>
      <c r="L2815" s="1" t="s">
        <v>18</v>
      </c>
      <c r="M2815" s="1" t="s">
        <v>6106</v>
      </c>
      <c r="N2815" s="1" t="s">
        <v>6131</v>
      </c>
    </row>
    <row r="2816" spans="1:14" x14ac:dyDescent="0.35">
      <c r="A2816">
        <v>1671050</v>
      </c>
      <c r="B2816" s="1" t="s">
        <v>6070</v>
      </c>
      <c r="C2816">
        <v>9017.1</v>
      </c>
      <c r="D2816">
        <v>104</v>
      </c>
      <c r="E2816" s="1" t="s">
        <v>6132</v>
      </c>
      <c r="F2816" s="1" t="s">
        <v>15</v>
      </c>
      <c r="G2816" s="1" t="s">
        <v>16</v>
      </c>
      <c r="H2816">
        <v>311</v>
      </c>
      <c r="I2816">
        <v>61</v>
      </c>
      <c r="J2816">
        <v>841</v>
      </c>
      <c r="K2816" s="1" t="s">
        <v>84</v>
      </c>
      <c r="L2816" s="1" t="s">
        <v>24</v>
      </c>
      <c r="M2816" s="1" t="s">
        <v>6106</v>
      </c>
      <c r="N2816" s="1" t="s">
        <v>6133</v>
      </c>
    </row>
    <row r="2817" spans="1:14" x14ac:dyDescent="0.35">
      <c r="A2817">
        <v>1671325</v>
      </c>
      <c r="B2817" s="1" t="s">
        <v>6070</v>
      </c>
      <c r="C2817">
        <v>9017.1</v>
      </c>
      <c r="D2817">
        <v>104</v>
      </c>
      <c r="E2817" s="1" t="s">
        <v>6134</v>
      </c>
      <c r="F2817" s="1" t="s">
        <v>15</v>
      </c>
      <c r="G2817" s="1" t="s">
        <v>32</v>
      </c>
      <c r="H2817">
        <v>250</v>
      </c>
      <c r="I2817">
        <v>105</v>
      </c>
      <c r="J2817">
        <v>421</v>
      </c>
      <c r="K2817" s="1" t="s">
        <v>90</v>
      </c>
      <c r="L2817" s="1" t="s">
        <v>24</v>
      </c>
      <c r="M2817" s="1" t="s">
        <v>6106</v>
      </c>
      <c r="N2817" s="1" t="s">
        <v>6135</v>
      </c>
    </row>
    <row r="2818" spans="1:14" x14ac:dyDescent="0.35">
      <c r="A2818">
        <v>1671335</v>
      </c>
      <c r="B2818" s="1" t="s">
        <v>6070</v>
      </c>
      <c r="C2818">
        <v>9017.1</v>
      </c>
      <c r="D2818">
        <v>104</v>
      </c>
      <c r="E2818" s="1" t="s">
        <v>6136</v>
      </c>
      <c r="F2818" s="1" t="s">
        <v>15</v>
      </c>
      <c r="G2818" s="1" t="s">
        <v>32</v>
      </c>
      <c r="H2818">
        <v>112</v>
      </c>
      <c r="I2818">
        <v>100</v>
      </c>
      <c r="J2818">
        <v>548</v>
      </c>
      <c r="K2818" s="1" t="s">
        <v>90</v>
      </c>
      <c r="L2818" s="1" t="s">
        <v>24</v>
      </c>
      <c r="M2818" s="1" t="s">
        <v>6106</v>
      </c>
      <c r="N2818" s="1" t="s">
        <v>6137</v>
      </c>
    </row>
    <row r="2819" spans="1:14" x14ac:dyDescent="0.35">
      <c r="A2819">
        <v>1671331</v>
      </c>
      <c r="B2819" s="1" t="s">
        <v>6070</v>
      </c>
      <c r="C2819">
        <v>9017.1</v>
      </c>
      <c r="D2819">
        <v>104</v>
      </c>
      <c r="E2819" s="1" t="s">
        <v>6138</v>
      </c>
      <c r="F2819" s="1" t="s">
        <v>15</v>
      </c>
      <c r="G2819" s="1" t="s">
        <v>32</v>
      </c>
      <c r="H2819">
        <v>185</v>
      </c>
      <c r="I2819">
        <v>43</v>
      </c>
      <c r="J2819">
        <v>345</v>
      </c>
      <c r="K2819" s="1" t="s">
        <v>146</v>
      </c>
      <c r="L2819" s="1" t="s">
        <v>120</v>
      </c>
      <c r="M2819" s="1" t="s">
        <v>6106</v>
      </c>
      <c r="N2819" s="1" t="s">
        <v>6139</v>
      </c>
    </row>
    <row r="2820" spans="1:14" x14ac:dyDescent="0.35">
      <c r="A2820">
        <v>1671343</v>
      </c>
      <c r="B2820" s="1" t="s">
        <v>6070</v>
      </c>
      <c r="C2820">
        <v>9017.1</v>
      </c>
      <c r="D2820">
        <v>104</v>
      </c>
      <c r="E2820" s="1" t="s">
        <v>6140</v>
      </c>
      <c r="F2820" s="1" t="s">
        <v>15</v>
      </c>
      <c r="G2820" s="1" t="s">
        <v>32</v>
      </c>
      <c r="H2820">
        <v>100</v>
      </c>
      <c r="I2820">
        <v>29</v>
      </c>
      <c r="J2820">
        <v>336</v>
      </c>
      <c r="K2820" s="1" t="s">
        <v>23</v>
      </c>
      <c r="L2820" s="1" t="s">
        <v>24</v>
      </c>
      <c r="M2820" s="1" t="s">
        <v>6106</v>
      </c>
      <c r="N2820" s="1" t="s">
        <v>6141</v>
      </c>
    </row>
    <row r="2821" spans="1:14" x14ac:dyDescent="0.35">
      <c r="A2821">
        <v>1671342</v>
      </c>
      <c r="B2821" s="1" t="s">
        <v>6070</v>
      </c>
      <c r="C2821">
        <v>9017.1</v>
      </c>
      <c r="D2821">
        <v>104</v>
      </c>
      <c r="E2821" s="1" t="s">
        <v>6142</v>
      </c>
      <c r="F2821" s="1" t="s">
        <v>15</v>
      </c>
      <c r="G2821" s="1" t="s">
        <v>32</v>
      </c>
      <c r="H2821">
        <v>107</v>
      </c>
      <c r="I2821">
        <v>25</v>
      </c>
      <c r="J2821">
        <v>119</v>
      </c>
      <c r="K2821" s="1" t="s">
        <v>90</v>
      </c>
      <c r="L2821" s="1" t="s">
        <v>24</v>
      </c>
      <c r="M2821" s="1" t="s">
        <v>6106</v>
      </c>
      <c r="N2821" s="1" t="s">
        <v>6143</v>
      </c>
    </row>
    <row r="2822" spans="1:14" x14ac:dyDescent="0.35">
      <c r="A2822">
        <v>1671333</v>
      </c>
      <c r="B2822" s="1" t="s">
        <v>6070</v>
      </c>
      <c r="C2822">
        <v>9017.1</v>
      </c>
      <c r="D2822">
        <v>104</v>
      </c>
      <c r="E2822" s="1" t="s">
        <v>6144</v>
      </c>
      <c r="F2822" s="1" t="s">
        <v>15</v>
      </c>
      <c r="G2822" s="1" t="s">
        <v>32</v>
      </c>
      <c r="H2822">
        <v>140</v>
      </c>
      <c r="I2822">
        <v>29</v>
      </c>
      <c r="J2822">
        <v>212</v>
      </c>
      <c r="K2822" s="1" t="s">
        <v>90</v>
      </c>
      <c r="L2822" s="1" t="s">
        <v>24</v>
      </c>
      <c r="M2822" s="1" t="s">
        <v>6106</v>
      </c>
      <c r="N2822" s="1" t="s">
        <v>6145</v>
      </c>
    </row>
    <row r="2823" spans="1:14" x14ac:dyDescent="0.35">
      <c r="A2823">
        <v>1671276</v>
      </c>
      <c r="B2823" s="1" t="s">
        <v>6070</v>
      </c>
      <c r="C2823">
        <v>9017.1</v>
      </c>
      <c r="D2823">
        <v>104</v>
      </c>
      <c r="E2823" s="1" t="s">
        <v>6146</v>
      </c>
      <c r="F2823" s="1" t="s">
        <v>15</v>
      </c>
      <c r="G2823" s="1" t="s">
        <v>32</v>
      </c>
      <c r="H2823">
        <v>103</v>
      </c>
      <c r="I2823">
        <v>37</v>
      </c>
      <c r="J2823">
        <v>421</v>
      </c>
      <c r="K2823" s="1" t="s">
        <v>572</v>
      </c>
      <c r="L2823" s="1" t="s">
        <v>24</v>
      </c>
      <c r="M2823" s="1" t="s">
        <v>6106</v>
      </c>
      <c r="N2823" s="1" t="s">
        <v>6147</v>
      </c>
    </row>
    <row r="2824" spans="1:14" x14ac:dyDescent="0.35">
      <c r="A2824">
        <v>1671332</v>
      </c>
      <c r="B2824" s="1" t="s">
        <v>6070</v>
      </c>
      <c r="C2824">
        <v>9017.1</v>
      </c>
      <c r="D2824">
        <v>104</v>
      </c>
      <c r="E2824" s="1" t="s">
        <v>6148</v>
      </c>
      <c r="F2824" s="1" t="s">
        <v>15</v>
      </c>
      <c r="G2824" s="1" t="s">
        <v>32</v>
      </c>
      <c r="H2824">
        <v>103</v>
      </c>
      <c r="I2824">
        <v>63</v>
      </c>
      <c r="J2824">
        <v>110</v>
      </c>
      <c r="K2824" s="1" t="s">
        <v>95</v>
      </c>
      <c r="L2824" s="1" t="s">
        <v>24</v>
      </c>
      <c r="M2824" s="1" t="s">
        <v>6106</v>
      </c>
      <c r="N2824" s="1" t="s">
        <v>6149</v>
      </c>
    </row>
    <row r="2825" spans="1:14" x14ac:dyDescent="0.35">
      <c r="A2825">
        <v>1671243</v>
      </c>
      <c r="B2825" s="1" t="s">
        <v>6070</v>
      </c>
      <c r="C2825">
        <v>9017.1</v>
      </c>
      <c r="D2825">
        <v>104</v>
      </c>
      <c r="E2825" s="1" t="s">
        <v>6150</v>
      </c>
      <c r="F2825" s="1" t="s">
        <v>15</v>
      </c>
      <c r="G2825" s="1" t="s">
        <v>32</v>
      </c>
      <c r="H2825">
        <v>181</v>
      </c>
      <c r="I2825">
        <v>50</v>
      </c>
      <c r="J2825">
        <v>247</v>
      </c>
      <c r="K2825" s="1" t="s">
        <v>84</v>
      </c>
      <c r="L2825" s="1" t="s">
        <v>24</v>
      </c>
      <c r="M2825" s="1" t="s">
        <v>6106</v>
      </c>
      <c r="N2825" s="1" t="s">
        <v>6151</v>
      </c>
    </row>
    <row r="2826" spans="1:14" x14ac:dyDescent="0.35">
      <c r="A2826">
        <v>1671301</v>
      </c>
      <c r="B2826" s="1" t="s">
        <v>6070</v>
      </c>
      <c r="C2826">
        <v>9017.1</v>
      </c>
      <c r="D2826">
        <v>104</v>
      </c>
      <c r="E2826" s="1" t="s">
        <v>6152</v>
      </c>
      <c r="F2826" s="1" t="s">
        <v>15</v>
      </c>
      <c r="G2826" s="1" t="s">
        <v>32</v>
      </c>
      <c r="H2826">
        <v>120</v>
      </c>
      <c r="I2826">
        <v>46</v>
      </c>
      <c r="J2826">
        <v>438</v>
      </c>
      <c r="K2826" s="1" t="s">
        <v>444</v>
      </c>
      <c r="L2826" s="1" t="s">
        <v>24</v>
      </c>
      <c r="M2826" s="1" t="s">
        <v>6106</v>
      </c>
      <c r="N2826" s="1" t="s">
        <v>6153</v>
      </c>
    </row>
    <row r="2827" spans="1:14" x14ac:dyDescent="0.35">
      <c r="A2827">
        <v>1671024</v>
      </c>
      <c r="B2827" s="1" t="s">
        <v>6070</v>
      </c>
      <c r="C2827">
        <v>9017.1</v>
      </c>
      <c r="D2827">
        <v>104</v>
      </c>
      <c r="E2827" s="1" t="s">
        <v>6154</v>
      </c>
      <c r="F2827" s="1" t="s">
        <v>15</v>
      </c>
      <c r="G2827" s="1" t="s">
        <v>32</v>
      </c>
      <c r="H2827">
        <v>100</v>
      </c>
      <c r="I2827">
        <v>36</v>
      </c>
      <c r="J2827">
        <v>143</v>
      </c>
      <c r="K2827" s="1" t="s">
        <v>61</v>
      </c>
      <c r="L2827" s="1" t="s">
        <v>24</v>
      </c>
      <c r="M2827" s="1" t="s">
        <v>6106</v>
      </c>
      <c r="N2827" s="1" t="s">
        <v>6155</v>
      </c>
    </row>
    <row r="2828" spans="1:14" x14ac:dyDescent="0.35">
      <c r="A2828">
        <v>1671094</v>
      </c>
      <c r="B2828" s="1" t="s">
        <v>6070</v>
      </c>
      <c r="C2828">
        <v>9017.1</v>
      </c>
      <c r="D2828">
        <v>104</v>
      </c>
      <c r="E2828" s="1" t="s">
        <v>6156</v>
      </c>
      <c r="F2828" s="1" t="s">
        <v>15</v>
      </c>
      <c r="G2828" s="1" t="s">
        <v>32</v>
      </c>
      <c r="H2828">
        <v>103</v>
      </c>
      <c r="I2828">
        <v>34</v>
      </c>
      <c r="J2828">
        <v>60</v>
      </c>
      <c r="K2828" s="1" t="s">
        <v>90</v>
      </c>
      <c r="L2828" s="1" t="s">
        <v>24</v>
      </c>
      <c r="M2828" s="1" t="s">
        <v>6106</v>
      </c>
      <c r="N2828" s="1" t="s">
        <v>6157</v>
      </c>
    </row>
    <row r="2829" spans="1:14" x14ac:dyDescent="0.35">
      <c r="A2829">
        <v>1671361</v>
      </c>
      <c r="B2829" s="1" t="s">
        <v>6070</v>
      </c>
      <c r="C2829">
        <v>9017.1</v>
      </c>
      <c r="D2829">
        <v>104</v>
      </c>
      <c r="E2829" s="1" t="s">
        <v>6158</v>
      </c>
      <c r="F2829" s="1" t="s">
        <v>15</v>
      </c>
      <c r="G2829" s="1" t="s">
        <v>32</v>
      </c>
      <c r="H2829">
        <v>130</v>
      </c>
      <c r="I2829">
        <v>32</v>
      </c>
      <c r="K2829" s="1" t="s">
        <v>90</v>
      </c>
      <c r="L2829" s="1" t="s">
        <v>24</v>
      </c>
      <c r="M2829" s="1" t="s">
        <v>6106</v>
      </c>
      <c r="N2829" s="1" t="s">
        <v>6159</v>
      </c>
    </row>
    <row r="2830" spans="1:14" x14ac:dyDescent="0.35">
      <c r="A2830">
        <v>1671046</v>
      </c>
      <c r="B2830" s="1" t="s">
        <v>6070</v>
      </c>
      <c r="C2830">
        <v>9017.1</v>
      </c>
      <c r="D2830">
        <v>104</v>
      </c>
      <c r="E2830" s="1" t="s">
        <v>6160</v>
      </c>
      <c r="F2830" s="1" t="s">
        <v>15</v>
      </c>
      <c r="G2830" s="1" t="s">
        <v>32</v>
      </c>
      <c r="H2830">
        <v>101</v>
      </c>
      <c r="I2830">
        <v>49</v>
      </c>
      <c r="J2830">
        <v>331</v>
      </c>
      <c r="K2830" s="1" t="s">
        <v>90</v>
      </c>
      <c r="L2830" s="1" t="s">
        <v>24</v>
      </c>
      <c r="M2830" s="1" t="s">
        <v>6106</v>
      </c>
      <c r="N2830" s="1" t="s">
        <v>6161</v>
      </c>
    </row>
    <row r="2831" spans="1:14" x14ac:dyDescent="0.35">
      <c r="A2831">
        <v>1671035</v>
      </c>
      <c r="B2831" s="1" t="s">
        <v>6070</v>
      </c>
      <c r="C2831">
        <v>9017.1</v>
      </c>
      <c r="D2831">
        <v>104</v>
      </c>
      <c r="E2831" s="1" t="s">
        <v>6162</v>
      </c>
      <c r="F2831" s="1" t="s">
        <v>15</v>
      </c>
      <c r="G2831" s="1" t="s">
        <v>32</v>
      </c>
      <c r="H2831">
        <v>192</v>
      </c>
      <c r="I2831">
        <v>69</v>
      </c>
      <c r="J2831">
        <v>548</v>
      </c>
      <c r="K2831" s="1" t="s">
        <v>27</v>
      </c>
      <c r="L2831" s="1" t="s">
        <v>120</v>
      </c>
      <c r="M2831" s="1" t="s">
        <v>6106</v>
      </c>
      <c r="N2831" s="1" t="s">
        <v>6163</v>
      </c>
    </row>
    <row r="2832" spans="1:14" x14ac:dyDescent="0.35">
      <c r="A2832">
        <v>1671350</v>
      </c>
      <c r="B2832" s="1" t="s">
        <v>6070</v>
      </c>
      <c r="C2832">
        <v>9017.1</v>
      </c>
      <c r="D2832">
        <v>104</v>
      </c>
      <c r="E2832" s="1" t="s">
        <v>6164</v>
      </c>
      <c r="F2832" s="1" t="s">
        <v>15</v>
      </c>
      <c r="G2832" s="1" t="s">
        <v>22</v>
      </c>
      <c r="H2832">
        <v>50</v>
      </c>
      <c r="I2832">
        <v>21</v>
      </c>
      <c r="J2832">
        <v>129</v>
      </c>
      <c r="K2832" s="1" t="s">
        <v>137</v>
      </c>
      <c r="L2832" s="1" t="s">
        <v>18</v>
      </c>
      <c r="M2832" s="1" t="s">
        <v>6106</v>
      </c>
      <c r="N2832" s="1" t="s">
        <v>6165</v>
      </c>
    </row>
    <row r="2833" spans="1:14" x14ac:dyDescent="0.35">
      <c r="A2833">
        <v>1671327</v>
      </c>
      <c r="B2833" s="1" t="s">
        <v>6070</v>
      </c>
      <c r="C2833">
        <v>9017.1</v>
      </c>
      <c r="D2833">
        <v>104</v>
      </c>
      <c r="E2833" s="1" t="s">
        <v>6166</v>
      </c>
      <c r="F2833" s="1" t="s">
        <v>15</v>
      </c>
      <c r="G2833" s="1" t="s">
        <v>22</v>
      </c>
      <c r="H2833">
        <v>50</v>
      </c>
      <c r="I2833">
        <v>38</v>
      </c>
      <c r="J2833">
        <v>82</v>
      </c>
      <c r="K2833" s="1" t="s">
        <v>84</v>
      </c>
      <c r="L2833" s="1" t="s">
        <v>24</v>
      </c>
      <c r="M2833" s="1" t="s">
        <v>6106</v>
      </c>
      <c r="N2833" s="1" t="s">
        <v>6167</v>
      </c>
    </row>
    <row r="2834" spans="1:14" x14ac:dyDescent="0.35">
      <c r="A2834">
        <v>1671336</v>
      </c>
      <c r="B2834" s="1" t="s">
        <v>6070</v>
      </c>
      <c r="C2834">
        <v>9017.1</v>
      </c>
      <c r="D2834">
        <v>104</v>
      </c>
      <c r="E2834" s="1" t="s">
        <v>6168</v>
      </c>
      <c r="F2834" s="1" t="s">
        <v>15</v>
      </c>
      <c r="G2834" s="1" t="s">
        <v>22</v>
      </c>
      <c r="H2834">
        <v>104</v>
      </c>
      <c r="I2834">
        <v>43</v>
      </c>
      <c r="J2834">
        <v>75</v>
      </c>
      <c r="K2834" s="1" t="s">
        <v>90</v>
      </c>
      <c r="L2834" s="1" t="s">
        <v>24</v>
      </c>
      <c r="M2834" s="1" t="s">
        <v>6106</v>
      </c>
      <c r="N2834" s="1" t="s">
        <v>6169</v>
      </c>
    </row>
    <row r="2835" spans="1:14" x14ac:dyDescent="0.35">
      <c r="A2835">
        <v>1672074</v>
      </c>
      <c r="B2835" s="1" t="s">
        <v>6070</v>
      </c>
      <c r="C2835">
        <v>9017.1</v>
      </c>
      <c r="D2835">
        <v>104</v>
      </c>
      <c r="E2835" s="1" t="s">
        <v>6170</v>
      </c>
      <c r="F2835" s="1" t="s">
        <v>15</v>
      </c>
      <c r="G2835" s="1" t="s">
        <v>32</v>
      </c>
      <c r="H2835">
        <v>210</v>
      </c>
      <c r="I2835">
        <v>31</v>
      </c>
      <c r="J2835">
        <v>479</v>
      </c>
      <c r="K2835" s="1" t="s">
        <v>90</v>
      </c>
      <c r="L2835" s="1" t="s">
        <v>24</v>
      </c>
      <c r="M2835" s="1" t="s">
        <v>6171</v>
      </c>
      <c r="N2835" s="1" t="s">
        <v>6172</v>
      </c>
    </row>
    <row r="2836" spans="1:14" x14ac:dyDescent="0.35">
      <c r="A2836">
        <v>1672026</v>
      </c>
      <c r="B2836" s="1" t="s">
        <v>6070</v>
      </c>
      <c r="C2836">
        <v>9017.1</v>
      </c>
      <c r="D2836">
        <v>104</v>
      </c>
      <c r="E2836" s="1" t="s">
        <v>6173</v>
      </c>
      <c r="F2836" s="1" t="s">
        <v>15</v>
      </c>
      <c r="G2836" s="1" t="s">
        <v>32</v>
      </c>
      <c r="H2836">
        <v>100</v>
      </c>
      <c r="I2836">
        <v>28</v>
      </c>
      <c r="J2836">
        <v>188</v>
      </c>
      <c r="K2836" s="1" t="s">
        <v>61</v>
      </c>
      <c r="L2836" s="1" t="s">
        <v>24</v>
      </c>
      <c r="M2836" s="1" t="s">
        <v>6171</v>
      </c>
      <c r="N2836" s="1" t="s">
        <v>6174</v>
      </c>
    </row>
    <row r="2837" spans="1:14" x14ac:dyDescent="0.35">
      <c r="A2837">
        <v>1672015</v>
      </c>
      <c r="B2837" s="1" t="s">
        <v>6070</v>
      </c>
      <c r="C2837">
        <v>9017.1</v>
      </c>
      <c r="D2837">
        <v>104</v>
      </c>
      <c r="E2837" s="1" t="s">
        <v>6175</v>
      </c>
      <c r="F2837" s="1" t="s">
        <v>15</v>
      </c>
      <c r="G2837" s="1" t="s">
        <v>32</v>
      </c>
      <c r="H2837">
        <v>163</v>
      </c>
      <c r="I2837">
        <v>34</v>
      </c>
      <c r="J2837">
        <v>652</v>
      </c>
      <c r="K2837" s="1" t="s">
        <v>137</v>
      </c>
      <c r="L2837" s="1" t="s">
        <v>18</v>
      </c>
      <c r="M2837" s="1" t="s">
        <v>6171</v>
      </c>
      <c r="N2837" s="1" t="s">
        <v>6176</v>
      </c>
    </row>
    <row r="2838" spans="1:14" x14ac:dyDescent="0.35">
      <c r="A2838">
        <v>1672002</v>
      </c>
      <c r="B2838" s="1" t="s">
        <v>6070</v>
      </c>
      <c r="C2838">
        <v>9017.1</v>
      </c>
      <c r="D2838">
        <v>104</v>
      </c>
      <c r="E2838" s="1" t="s">
        <v>6177</v>
      </c>
      <c r="F2838" s="1" t="s">
        <v>15</v>
      </c>
      <c r="G2838" s="1" t="s">
        <v>22</v>
      </c>
      <c r="H2838">
        <v>121</v>
      </c>
      <c r="I2838">
        <v>26</v>
      </c>
      <c r="J2838">
        <v>110</v>
      </c>
      <c r="K2838" s="1" t="s">
        <v>90</v>
      </c>
      <c r="L2838" s="1" t="s">
        <v>24</v>
      </c>
      <c r="M2838" s="1" t="s">
        <v>6171</v>
      </c>
      <c r="N2838" s="1" t="s">
        <v>6178</v>
      </c>
    </row>
    <row r="2839" spans="1:14" x14ac:dyDescent="0.35">
      <c r="A2839">
        <v>1604032</v>
      </c>
      <c r="B2839" s="1" t="s">
        <v>6070</v>
      </c>
      <c r="C2839">
        <v>9017.1</v>
      </c>
      <c r="D2839">
        <v>104</v>
      </c>
      <c r="E2839" s="1" t="s">
        <v>6179</v>
      </c>
      <c r="F2839" s="1" t="s">
        <v>71</v>
      </c>
      <c r="G2839" s="1" t="s">
        <v>32</v>
      </c>
      <c r="H2839">
        <v>30</v>
      </c>
      <c r="I2839">
        <v>11</v>
      </c>
      <c r="K2839" s="1" t="s">
        <v>23</v>
      </c>
      <c r="L2839" s="1" t="s">
        <v>24</v>
      </c>
      <c r="M2839" s="1" t="s">
        <v>6180</v>
      </c>
      <c r="N2839" s="1" t="s">
        <v>6181</v>
      </c>
    </row>
    <row r="2840" spans="1:14" x14ac:dyDescent="0.35">
      <c r="A2840">
        <v>1604016</v>
      </c>
      <c r="B2840" s="1" t="s">
        <v>6070</v>
      </c>
      <c r="C2840">
        <v>9017.1</v>
      </c>
      <c r="D2840">
        <v>104</v>
      </c>
      <c r="E2840" s="1" t="s">
        <v>6182</v>
      </c>
      <c r="F2840" s="1" t="s">
        <v>15</v>
      </c>
      <c r="G2840" s="1" t="s">
        <v>32</v>
      </c>
      <c r="H2840">
        <v>204</v>
      </c>
      <c r="I2840">
        <v>30</v>
      </c>
      <c r="J2840">
        <v>385</v>
      </c>
      <c r="K2840" s="1" t="s">
        <v>17</v>
      </c>
      <c r="L2840" s="1" t="s">
        <v>18</v>
      </c>
      <c r="M2840" s="1" t="s">
        <v>6180</v>
      </c>
      <c r="N2840" s="1" t="s">
        <v>6183</v>
      </c>
    </row>
    <row r="2841" spans="1:14" x14ac:dyDescent="0.35">
      <c r="A2841">
        <v>1604020</v>
      </c>
      <c r="B2841" s="1" t="s">
        <v>6070</v>
      </c>
      <c r="C2841">
        <v>9017.1</v>
      </c>
      <c r="D2841">
        <v>104</v>
      </c>
      <c r="E2841" s="1" t="s">
        <v>6184</v>
      </c>
      <c r="F2841" s="1" t="s">
        <v>15</v>
      </c>
      <c r="G2841" s="1" t="s">
        <v>22</v>
      </c>
      <c r="H2841">
        <v>69</v>
      </c>
      <c r="I2841">
        <v>27</v>
      </c>
      <c r="J2841">
        <v>144</v>
      </c>
      <c r="K2841" s="1" t="s">
        <v>27</v>
      </c>
      <c r="L2841" s="1" t="s">
        <v>24</v>
      </c>
      <c r="M2841" s="1" t="s">
        <v>6180</v>
      </c>
      <c r="N2841" s="1" t="s">
        <v>6185</v>
      </c>
    </row>
    <row r="2842" spans="1:14" x14ac:dyDescent="0.35">
      <c r="A2842">
        <v>1603090</v>
      </c>
      <c r="B2842" s="1" t="s">
        <v>6070</v>
      </c>
      <c r="C2842">
        <v>9017.1</v>
      </c>
      <c r="D2842">
        <v>104</v>
      </c>
      <c r="E2842" s="1" t="s">
        <v>6186</v>
      </c>
      <c r="F2842" s="1" t="s">
        <v>71</v>
      </c>
      <c r="G2842" s="1" t="s">
        <v>32</v>
      </c>
      <c r="H2842">
        <v>54</v>
      </c>
      <c r="I2842">
        <v>32</v>
      </c>
      <c r="J2842">
        <v>46</v>
      </c>
      <c r="K2842" s="1" t="s">
        <v>95</v>
      </c>
      <c r="L2842" s="1" t="s">
        <v>24</v>
      </c>
      <c r="M2842" s="1" t="s">
        <v>6187</v>
      </c>
      <c r="N2842" s="1" t="s">
        <v>6188</v>
      </c>
    </row>
    <row r="2843" spans="1:14" x14ac:dyDescent="0.35">
      <c r="A2843">
        <v>1603063</v>
      </c>
      <c r="B2843" s="1" t="s">
        <v>6070</v>
      </c>
      <c r="C2843">
        <v>9017.1</v>
      </c>
      <c r="D2843">
        <v>104</v>
      </c>
      <c r="E2843" s="1" t="s">
        <v>6189</v>
      </c>
      <c r="F2843" s="1" t="s">
        <v>15</v>
      </c>
      <c r="G2843" s="1" t="s">
        <v>16</v>
      </c>
      <c r="H2843">
        <v>264</v>
      </c>
      <c r="I2843">
        <v>47</v>
      </c>
      <c r="J2843">
        <v>509</v>
      </c>
      <c r="K2843" s="1" t="s">
        <v>17</v>
      </c>
      <c r="L2843" s="1" t="s">
        <v>18</v>
      </c>
      <c r="M2843" s="1" t="s">
        <v>6187</v>
      </c>
      <c r="N2843" s="1" t="s">
        <v>6190</v>
      </c>
    </row>
    <row r="2844" spans="1:14" x14ac:dyDescent="0.35">
      <c r="A2844">
        <v>1603030</v>
      </c>
      <c r="B2844" s="1" t="s">
        <v>6070</v>
      </c>
      <c r="C2844">
        <v>9017.1</v>
      </c>
      <c r="D2844">
        <v>104</v>
      </c>
      <c r="E2844" s="1" t="s">
        <v>6191</v>
      </c>
      <c r="F2844" s="1" t="s">
        <v>15</v>
      </c>
      <c r="G2844" s="1" t="s">
        <v>32</v>
      </c>
      <c r="H2844">
        <v>100</v>
      </c>
      <c r="I2844">
        <v>31</v>
      </c>
      <c r="J2844">
        <v>240</v>
      </c>
      <c r="K2844" s="1" t="s">
        <v>61</v>
      </c>
      <c r="L2844" s="1" t="s">
        <v>24</v>
      </c>
      <c r="M2844" s="1" t="s">
        <v>6187</v>
      </c>
      <c r="N2844" s="1" t="s">
        <v>6192</v>
      </c>
    </row>
    <row r="2845" spans="1:14" x14ac:dyDescent="0.35">
      <c r="A2845">
        <v>1603087</v>
      </c>
      <c r="B2845" s="1" t="s">
        <v>6070</v>
      </c>
      <c r="C2845">
        <v>9017.1</v>
      </c>
      <c r="D2845">
        <v>104</v>
      </c>
      <c r="E2845" s="1" t="s">
        <v>6193</v>
      </c>
      <c r="F2845" s="1" t="s">
        <v>15</v>
      </c>
      <c r="G2845" s="1" t="s">
        <v>22</v>
      </c>
      <c r="H2845">
        <v>50</v>
      </c>
      <c r="I2845">
        <v>11</v>
      </c>
      <c r="J2845">
        <v>62</v>
      </c>
      <c r="K2845" s="1" t="s">
        <v>17</v>
      </c>
      <c r="L2845" s="1" t="s">
        <v>24</v>
      </c>
      <c r="M2845" s="1" t="s">
        <v>6187</v>
      </c>
      <c r="N2845" s="1" t="s">
        <v>6194</v>
      </c>
    </row>
    <row r="2846" spans="1:14" x14ac:dyDescent="0.35">
      <c r="A2846">
        <v>1603088</v>
      </c>
      <c r="B2846" s="1" t="s">
        <v>6070</v>
      </c>
      <c r="C2846">
        <v>9017.1</v>
      </c>
      <c r="D2846">
        <v>104</v>
      </c>
      <c r="E2846" s="1" t="s">
        <v>6195</v>
      </c>
      <c r="F2846" s="1" t="s">
        <v>15</v>
      </c>
      <c r="G2846" s="1" t="s">
        <v>22</v>
      </c>
      <c r="H2846">
        <v>50</v>
      </c>
      <c r="I2846">
        <v>14</v>
      </c>
      <c r="J2846">
        <v>168</v>
      </c>
      <c r="K2846" s="1" t="s">
        <v>17</v>
      </c>
      <c r="L2846" s="1" t="s">
        <v>24</v>
      </c>
      <c r="M2846" s="1" t="s">
        <v>6187</v>
      </c>
      <c r="N2846" s="1" t="s">
        <v>6196</v>
      </c>
    </row>
    <row r="2847" spans="1:14" x14ac:dyDescent="0.35">
      <c r="A2847">
        <v>1603089</v>
      </c>
      <c r="B2847" s="1" t="s">
        <v>6070</v>
      </c>
      <c r="C2847">
        <v>9017.1</v>
      </c>
      <c r="D2847">
        <v>104</v>
      </c>
      <c r="E2847" s="1" t="s">
        <v>6197</v>
      </c>
      <c r="F2847" s="1" t="s">
        <v>15</v>
      </c>
      <c r="G2847" s="1" t="s">
        <v>22</v>
      </c>
      <c r="H2847">
        <v>52</v>
      </c>
      <c r="I2847">
        <v>16</v>
      </c>
      <c r="J2847">
        <v>135</v>
      </c>
      <c r="K2847" s="1" t="s">
        <v>17</v>
      </c>
      <c r="L2847" s="1" t="s">
        <v>24</v>
      </c>
      <c r="M2847" s="1" t="s">
        <v>6187</v>
      </c>
      <c r="N2847" s="1" t="s">
        <v>6198</v>
      </c>
    </row>
    <row r="2848" spans="1:14" x14ac:dyDescent="0.35">
      <c r="A2848">
        <v>1603101</v>
      </c>
      <c r="B2848" s="1" t="s">
        <v>6070</v>
      </c>
      <c r="C2848">
        <v>9017.1</v>
      </c>
      <c r="D2848">
        <v>104</v>
      </c>
      <c r="E2848" s="1" t="s">
        <v>6199</v>
      </c>
      <c r="F2848" s="1" t="s">
        <v>15</v>
      </c>
      <c r="G2848" s="1" t="s">
        <v>22</v>
      </c>
      <c r="H2848">
        <v>52</v>
      </c>
      <c r="I2848">
        <v>26</v>
      </c>
      <c r="K2848" s="1" t="s">
        <v>90</v>
      </c>
      <c r="L2848" s="1" t="s">
        <v>24</v>
      </c>
      <c r="M2848" s="1" t="s">
        <v>6187</v>
      </c>
      <c r="N2848" s="1" t="s">
        <v>6200</v>
      </c>
    </row>
    <row r="2849" spans="1:14" x14ac:dyDescent="0.35">
      <c r="A2849">
        <v>1606011</v>
      </c>
      <c r="B2849" s="1" t="s">
        <v>6070</v>
      </c>
      <c r="C2849">
        <v>9017.1</v>
      </c>
      <c r="D2849">
        <v>104</v>
      </c>
      <c r="E2849" s="1" t="s">
        <v>6201</v>
      </c>
      <c r="F2849" s="1" t="s">
        <v>15</v>
      </c>
      <c r="G2849" s="1" t="s">
        <v>16</v>
      </c>
      <c r="H2849">
        <v>321</v>
      </c>
      <c r="I2849">
        <v>101</v>
      </c>
      <c r="J2849">
        <v>943</v>
      </c>
      <c r="K2849" s="1" t="s">
        <v>17</v>
      </c>
      <c r="L2849" s="1" t="s">
        <v>18</v>
      </c>
      <c r="M2849" s="1" t="s">
        <v>6202</v>
      </c>
      <c r="N2849" s="1" t="s">
        <v>6203</v>
      </c>
    </row>
    <row r="2850" spans="1:14" x14ac:dyDescent="0.35">
      <c r="A2850">
        <v>1606032</v>
      </c>
      <c r="B2850" s="1" t="s">
        <v>6070</v>
      </c>
      <c r="C2850">
        <v>9017.1</v>
      </c>
      <c r="D2850">
        <v>104</v>
      </c>
      <c r="E2850" s="1" t="s">
        <v>6204</v>
      </c>
      <c r="F2850" s="1" t="s">
        <v>15</v>
      </c>
      <c r="G2850" s="1" t="s">
        <v>32</v>
      </c>
      <c r="H2850">
        <v>104</v>
      </c>
      <c r="I2850">
        <v>26</v>
      </c>
      <c r="J2850">
        <v>139</v>
      </c>
      <c r="K2850" s="1" t="s">
        <v>17</v>
      </c>
      <c r="L2850" s="1" t="s">
        <v>18</v>
      </c>
      <c r="M2850" s="1" t="s">
        <v>6202</v>
      </c>
      <c r="N2850" s="1" t="s">
        <v>6205</v>
      </c>
    </row>
    <row r="2851" spans="1:14" x14ac:dyDescent="0.35">
      <c r="A2851">
        <v>1606022</v>
      </c>
      <c r="B2851" s="1" t="s">
        <v>6070</v>
      </c>
      <c r="C2851">
        <v>9017.1</v>
      </c>
      <c r="D2851">
        <v>104</v>
      </c>
      <c r="E2851" s="1" t="s">
        <v>6206</v>
      </c>
      <c r="F2851" s="1" t="s">
        <v>15</v>
      </c>
      <c r="G2851" s="1" t="s">
        <v>32</v>
      </c>
      <c r="H2851">
        <v>112</v>
      </c>
      <c r="I2851">
        <v>34</v>
      </c>
      <c r="J2851">
        <v>276</v>
      </c>
      <c r="K2851" s="1" t="s">
        <v>17</v>
      </c>
      <c r="L2851" s="1" t="s">
        <v>18</v>
      </c>
      <c r="M2851" s="1" t="s">
        <v>6202</v>
      </c>
      <c r="N2851" s="1" t="s">
        <v>6207</v>
      </c>
    </row>
    <row r="2852" spans="1:14" x14ac:dyDescent="0.35">
      <c r="A2852">
        <v>1674010</v>
      </c>
      <c r="B2852" s="1" t="s">
        <v>6070</v>
      </c>
      <c r="C2852">
        <v>9017.1</v>
      </c>
      <c r="D2852">
        <v>104</v>
      </c>
      <c r="E2852" s="1" t="s">
        <v>6208</v>
      </c>
      <c r="F2852" s="1" t="s">
        <v>15</v>
      </c>
      <c r="G2852" s="1" t="s">
        <v>32</v>
      </c>
      <c r="H2852">
        <v>111</v>
      </c>
      <c r="I2852">
        <v>64</v>
      </c>
      <c r="J2852">
        <v>598</v>
      </c>
      <c r="K2852" s="1" t="s">
        <v>17</v>
      </c>
      <c r="L2852" s="1" t="s">
        <v>18</v>
      </c>
      <c r="M2852" s="1" t="s">
        <v>6209</v>
      </c>
      <c r="N2852" s="1" t="s">
        <v>6210</v>
      </c>
    </row>
    <row r="2853" spans="1:14" x14ac:dyDescent="0.35">
      <c r="A2853">
        <v>1605044</v>
      </c>
      <c r="B2853" s="1" t="s">
        <v>6070</v>
      </c>
      <c r="C2853">
        <v>9017.1</v>
      </c>
      <c r="D2853">
        <v>104</v>
      </c>
      <c r="E2853" s="1" t="s">
        <v>6211</v>
      </c>
      <c r="F2853" s="1" t="s">
        <v>15</v>
      </c>
      <c r="G2853" s="1" t="s">
        <v>22</v>
      </c>
      <c r="H2853">
        <v>52</v>
      </c>
      <c r="I2853">
        <v>16</v>
      </c>
      <c r="J2853">
        <v>142</v>
      </c>
      <c r="K2853" s="1" t="s">
        <v>17</v>
      </c>
      <c r="L2853" s="1" t="s">
        <v>18</v>
      </c>
      <c r="M2853" s="1" t="s">
        <v>6209</v>
      </c>
      <c r="N2853" s="1" t="s">
        <v>6212</v>
      </c>
    </row>
    <row r="2854" spans="1:14" x14ac:dyDescent="0.35">
      <c r="A2854">
        <v>1605043</v>
      </c>
      <c r="B2854" s="1" t="s">
        <v>6070</v>
      </c>
      <c r="C2854">
        <v>9017.1</v>
      </c>
      <c r="D2854">
        <v>104</v>
      </c>
      <c r="E2854" s="1" t="s">
        <v>6213</v>
      </c>
      <c r="F2854" s="1" t="s">
        <v>15</v>
      </c>
      <c r="G2854" s="1" t="s">
        <v>22</v>
      </c>
      <c r="H2854">
        <v>88</v>
      </c>
      <c r="I2854">
        <v>35</v>
      </c>
      <c r="J2854">
        <v>347</v>
      </c>
      <c r="K2854" s="1" t="s">
        <v>17</v>
      </c>
      <c r="L2854" s="1" t="s">
        <v>18</v>
      </c>
      <c r="M2854" s="1" t="s">
        <v>6214</v>
      </c>
      <c r="N2854" s="1" t="s">
        <v>6215</v>
      </c>
    </row>
    <row r="2855" spans="1:14" x14ac:dyDescent="0.35">
      <c r="A2855">
        <v>1610003</v>
      </c>
      <c r="B2855" s="1" t="s">
        <v>6070</v>
      </c>
      <c r="C2855">
        <v>9017.1</v>
      </c>
      <c r="D2855">
        <v>104</v>
      </c>
      <c r="E2855" s="1" t="s">
        <v>6216</v>
      </c>
      <c r="F2855" s="1" t="s">
        <v>15</v>
      </c>
      <c r="G2855" s="1" t="s">
        <v>32</v>
      </c>
      <c r="H2855">
        <v>100</v>
      </c>
      <c r="I2855">
        <v>33</v>
      </c>
      <c r="J2855">
        <v>336</v>
      </c>
      <c r="K2855" s="1" t="s">
        <v>17</v>
      </c>
      <c r="L2855" s="1" t="s">
        <v>18</v>
      </c>
      <c r="M2855" s="1" t="s">
        <v>6217</v>
      </c>
      <c r="N2855" s="1" t="s">
        <v>6218</v>
      </c>
    </row>
    <row r="2856" spans="1:14" x14ac:dyDescent="0.35">
      <c r="A2856">
        <v>1610005</v>
      </c>
      <c r="B2856" s="1" t="s">
        <v>6070</v>
      </c>
      <c r="C2856">
        <v>9017.1</v>
      </c>
      <c r="D2856">
        <v>104</v>
      </c>
      <c r="E2856" s="1" t="s">
        <v>6219</v>
      </c>
      <c r="F2856" s="1" t="s">
        <v>15</v>
      </c>
      <c r="G2856" s="1" t="s">
        <v>22</v>
      </c>
      <c r="H2856">
        <v>100</v>
      </c>
      <c r="I2856">
        <v>26</v>
      </c>
      <c r="J2856">
        <v>34</v>
      </c>
      <c r="K2856" s="1" t="s">
        <v>23</v>
      </c>
      <c r="L2856" s="1" t="s">
        <v>24</v>
      </c>
      <c r="M2856" s="1" t="s">
        <v>6217</v>
      </c>
      <c r="N2856" s="1" t="s">
        <v>6220</v>
      </c>
    </row>
    <row r="2857" spans="1:14" x14ac:dyDescent="0.35">
      <c r="A2857">
        <v>1610004</v>
      </c>
      <c r="B2857" s="1" t="s">
        <v>6070</v>
      </c>
      <c r="C2857">
        <v>9017.1</v>
      </c>
      <c r="D2857">
        <v>104</v>
      </c>
      <c r="E2857" s="1" t="s">
        <v>6221</v>
      </c>
      <c r="F2857" s="1" t="s">
        <v>15</v>
      </c>
      <c r="G2857" s="1" t="s">
        <v>22</v>
      </c>
      <c r="H2857">
        <v>50</v>
      </c>
      <c r="I2857">
        <v>18</v>
      </c>
      <c r="J2857">
        <v>62</v>
      </c>
      <c r="K2857" s="1" t="s">
        <v>23</v>
      </c>
      <c r="L2857" s="1" t="s">
        <v>24</v>
      </c>
      <c r="M2857" s="1" t="s">
        <v>6217</v>
      </c>
      <c r="N2857" s="1" t="s">
        <v>6222</v>
      </c>
    </row>
    <row r="2858" spans="1:14" x14ac:dyDescent="0.35">
      <c r="A2858">
        <v>1602014</v>
      </c>
      <c r="B2858" s="1" t="s">
        <v>6070</v>
      </c>
      <c r="C2858">
        <v>9017.1</v>
      </c>
      <c r="D2858">
        <v>104</v>
      </c>
      <c r="E2858" s="1" t="s">
        <v>6223</v>
      </c>
      <c r="F2858" s="1" t="s">
        <v>15</v>
      </c>
      <c r="G2858" s="1" t="s">
        <v>32</v>
      </c>
      <c r="H2858">
        <v>216</v>
      </c>
      <c r="I2858">
        <v>31</v>
      </c>
      <c r="J2858">
        <v>468</v>
      </c>
      <c r="K2858" s="1" t="s">
        <v>17</v>
      </c>
      <c r="L2858" s="1" t="s">
        <v>18</v>
      </c>
      <c r="M2858" s="1" t="s">
        <v>6224</v>
      </c>
      <c r="N2858" s="1" t="s">
        <v>6225</v>
      </c>
    </row>
    <row r="2859" spans="1:14" x14ac:dyDescent="0.35">
      <c r="A2859">
        <v>1602015</v>
      </c>
      <c r="B2859" s="1" t="s">
        <v>6070</v>
      </c>
      <c r="C2859">
        <v>9017.1</v>
      </c>
      <c r="D2859">
        <v>104</v>
      </c>
      <c r="E2859" s="1" t="s">
        <v>6226</v>
      </c>
      <c r="F2859" s="1" t="s">
        <v>15</v>
      </c>
      <c r="G2859" s="1" t="s">
        <v>22</v>
      </c>
      <c r="H2859">
        <v>60</v>
      </c>
      <c r="I2859">
        <v>23</v>
      </c>
      <c r="K2859" s="1" t="s">
        <v>17</v>
      </c>
      <c r="L2859" s="1" t="s">
        <v>18</v>
      </c>
      <c r="M2859" s="1" t="s">
        <v>6224</v>
      </c>
      <c r="N2859" s="1" t="s">
        <v>6227</v>
      </c>
    </row>
    <row r="2860" spans="1:14" x14ac:dyDescent="0.35">
      <c r="A2860">
        <v>1601084</v>
      </c>
      <c r="B2860" s="1" t="s">
        <v>6070</v>
      </c>
      <c r="C2860">
        <v>9017.1</v>
      </c>
      <c r="D2860">
        <v>104</v>
      </c>
      <c r="E2860" s="1" t="s">
        <v>6228</v>
      </c>
      <c r="F2860" s="1" t="s">
        <v>220</v>
      </c>
      <c r="G2860" s="1" t="s">
        <v>32</v>
      </c>
      <c r="H2860">
        <v>24</v>
      </c>
      <c r="I2860">
        <v>15</v>
      </c>
      <c r="J2860">
        <v>22</v>
      </c>
      <c r="K2860" s="1" t="s">
        <v>90</v>
      </c>
      <c r="L2860" s="1" t="s">
        <v>24</v>
      </c>
      <c r="M2860" s="1" t="s">
        <v>6229</v>
      </c>
      <c r="N2860" s="1" t="s">
        <v>6230</v>
      </c>
    </row>
    <row r="2861" spans="1:14" x14ac:dyDescent="0.35">
      <c r="A2861">
        <v>1601089</v>
      </c>
      <c r="B2861" s="1" t="s">
        <v>6070</v>
      </c>
      <c r="C2861">
        <v>9017.1</v>
      </c>
      <c r="D2861">
        <v>104</v>
      </c>
      <c r="E2861" s="1" t="s">
        <v>6231</v>
      </c>
      <c r="F2861" s="1" t="s">
        <v>71</v>
      </c>
      <c r="G2861" s="1" t="s">
        <v>32</v>
      </c>
      <c r="H2861">
        <v>31</v>
      </c>
      <c r="I2861">
        <v>27</v>
      </c>
      <c r="J2861">
        <v>29</v>
      </c>
      <c r="K2861" s="1" t="s">
        <v>90</v>
      </c>
      <c r="L2861" s="1" t="s">
        <v>24</v>
      </c>
      <c r="M2861" s="1" t="s">
        <v>6229</v>
      </c>
      <c r="N2861" s="1" t="s">
        <v>6232</v>
      </c>
    </row>
    <row r="2862" spans="1:14" x14ac:dyDescent="0.35">
      <c r="A2862">
        <v>1601088</v>
      </c>
      <c r="B2862" s="1" t="s">
        <v>6070</v>
      </c>
      <c r="C2862">
        <v>9017.1</v>
      </c>
      <c r="D2862">
        <v>104</v>
      </c>
      <c r="E2862" s="1" t="s">
        <v>6233</v>
      </c>
      <c r="F2862" s="1" t="s">
        <v>71</v>
      </c>
      <c r="G2862" s="1" t="s">
        <v>32</v>
      </c>
      <c r="H2862">
        <v>26</v>
      </c>
      <c r="I2862">
        <v>8</v>
      </c>
      <c r="J2862">
        <v>21</v>
      </c>
      <c r="K2862" s="1" t="s">
        <v>23</v>
      </c>
      <c r="L2862" s="1" t="s">
        <v>24</v>
      </c>
      <c r="M2862" s="1" t="s">
        <v>6229</v>
      </c>
      <c r="N2862" s="1" t="s">
        <v>6234</v>
      </c>
    </row>
    <row r="2863" spans="1:14" x14ac:dyDescent="0.35">
      <c r="A2863">
        <v>1601086</v>
      </c>
      <c r="B2863" s="1" t="s">
        <v>6070</v>
      </c>
      <c r="C2863">
        <v>9017.1</v>
      </c>
      <c r="D2863">
        <v>104</v>
      </c>
      <c r="E2863" s="1" t="s">
        <v>6235</v>
      </c>
      <c r="F2863" s="1" t="s">
        <v>71</v>
      </c>
      <c r="G2863" s="1" t="s">
        <v>32</v>
      </c>
      <c r="H2863">
        <v>31</v>
      </c>
      <c r="I2863">
        <v>13</v>
      </c>
      <c r="J2863">
        <v>43</v>
      </c>
      <c r="K2863" s="1" t="s">
        <v>23</v>
      </c>
      <c r="L2863" s="1" t="s">
        <v>24</v>
      </c>
      <c r="M2863" s="1" t="s">
        <v>6229</v>
      </c>
      <c r="N2863" s="1" t="s">
        <v>6236</v>
      </c>
    </row>
    <row r="2864" spans="1:14" x14ac:dyDescent="0.35">
      <c r="A2864">
        <v>1601100</v>
      </c>
      <c r="B2864" s="1" t="s">
        <v>6070</v>
      </c>
      <c r="C2864">
        <v>9017.1</v>
      </c>
      <c r="D2864">
        <v>104</v>
      </c>
      <c r="E2864" s="1" t="s">
        <v>6237</v>
      </c>
      <c r="F2864" s="1" t="s">
        <v>71</v>
      </c>
      <c r="G2864" s="1" t="s">
        <v>32</v>
      </c>
      <c r="H2864">
        <v>29</v>
      </c>
      <c r="I2864">
        <v>7</v>
      </c>
      <c r="K2864" s="1" t="s">
        <v>23</v>
      </c>
      <c r="L2864" s="1" t="s">
        <v>24</v>
      </c>
      <c r="M2864" s="1" t="s">
        <v>6229</v>
      </c>
      <c r="N2864" s="1" t="s">
        <v>6238</v>
      </c>
    </row>
    <row r="2865" spans="1:14" x14ac:dyDescent="0.35">
      <c r="A2865">
        <v>1601013</v>
      </c>
      <c r="B2865" s="1" t="s">
        <v>6070</v>
      </c>
      <c r="C2865">
        <v>9017.1</v>
      </c>
      <c r="D2865">
        <v>104</v>
      </c>
      <c r="E2865" s="1" t="s">
        <v>6239</v>
      </c>
      <c r="F2865" s="1" t="s">
        <v>15</v>
      </c>
      <c r="G2865" s="1" t="s">
        <v>32</v>
      </c>
      <c r="H2865">
        <v>170</v>
      </c>
      <c r="I2865">
        <v>90</v>
      </c>
      <c r="J2865">
        <v>679</v>
      </c>
      <c r="K2865" s="1" t="s">
        <v>17</v>
      </c>
      <c r="L2865" s="1" t="s">
        <v>18</v>
      </c>
      <c r="M2865" s="1" t="s">
        <v>6229</v>
      </c>
      <c r="N2865" s="1" t="s">
        <v>6240</v>
      </c>
    </row>
    <row r="2866" spans="1:14" x14ac:dyDescent="0.35">
      <c r="A2866">
        <v>1601002</v>
      </c>
      <c r="B2866" s="1" t="s">
        <v>6070</v>
      </c>
      <c r="C2866">
        <v>9017.1</v>
      </c>
      <c r="D2866">
        <v>104</v>
      </c>
      <c r="E2866" s="1" t="s">
        <v>6241</v>
      </c>
      <c r="F2866" s="1" t="s">
        <v>15</v>
      </c>
      <c r="G2866" s="1" t="s">
        <v>32</v>
      </c>
      <c r="H2866">
        <v>99</v>
      </c>
      <c r="I2866">
        <v>26</v>
      </c>
      <c r="J2866">
        <v>267</v>
      </c>
      <c r="K2866" s="1" t="s">
        <v>27</v>
      </c>
      <c r="L2866" s="1" t="s">
        <v>24</v>
      </c>
      <c r="M2866" s="1" t="s">
        <v>6229</v>
      </c>
      <c r="N2866" s="1" t="s">
        <v>6242</v>
      </c>
    </row>
    <row r="2867" spans="1:14" x14ac:dyDescent="0.35">
      <c r="A2867">
        <v>1601035</v>
      </c>
      <c r="B2867" s="1" t="s">
        <v>6070</v>
      </c>
      <c r="C2867">
        <v>9017.1</v>
      </c>
      <c r="D2867">
        <v>104</v>
      </c>
      <c r="E2867" s="1" t="s">
        <v>6243</v>
      </c>
      <c r="F2867" s="1" t="s">
        <v>15</v>
      </c>
      <c r="G2867" s="1" t="s">
        <v>32</v>
      </c>
      <c r="H2867">
        <v>120</v>
      </c>
      <c r="I2867">
        <v>28</v>
      </c>
      <c r="J2867">
        <v>100</v>
      </c>
      <c r="K2867" s="1" t="s">
        <v>572</v>
      </c>
      <c r="L2867" s="1" t="s">
        <v>24</v>
      </c>
      <c r="M2867" s="1" t="s">
        <v>6229</v>
      </c>
      <c r="N2867" s="1" t="s">
        <v>6244</v>
      </c>
    </row>
    <row r="2868" spans="1:14" x14ac:dyDescent="0.35">
      <c r="A2868">
        <v>1608051</v>
      </c>
      <c r="B2868" s="1" t="s">
        <v>6070</v>
      </c>
      <c r="C2868">
        <v>9017.1</v>
      </c>
      <c r="D2868">
        <v>104</v>
      </c>
      <c r="E2868" s="1" t="s">
        <v>6245</v>
      </c>
      <c r="F2868" s="1" t="s">
        <v>15</v>
      </c>
      <c r="G2868" s="1" t="s">
        <v>22</v>
      </c>
      <c r="H2868">
        <v>105</v>
      </c>
      <c r="I2868">
        <v>26</v>
      </c>
      <c r="J2868">
        <v>431</v>
      </c>
      <c r="K2868" s="1" t="s">
        <v>17</v>
      </c>
      <c r="L2868" s="1" t="s">
        <v>18</v>
      </c>
      <c r="M2868" s="1" t="s">
        <v>6246</v>
      </c>
      <c r="N2868" s="1" t="s">
        <v>6247</v>
      </c>
    </row>
    <row r="2869" spans="1:14" x14ac:dyDescent="0.35">
      <c r="A2869">
        <v>1609083</v>
      </c>
      <c r="B2869" s="1" t="s">
        <v>6070</v>
      </c>
      <c r="C2869">
        <v>9017.1</v>
      </c>
      <c r="D2869">
        <v>104</v>
      </c>
      <c r="E2869" s="1" t="s">
        <v>6248</v>
      </c>
      <c r="F2869" s="1" t="s">
        <v>15</v>
      </c>
      <c r="G2869" s="1" t="s">
        <v>32</v>
      </c>
      <c r="H2869">
        <v>132</v>
      </c>
      <c r="I2869">
        <v>29</v>
      </c>
      <c r="J2869">
        <v>470</v>
      </c>
      <c r="K2869" s="1" t="s">
        <v>17</v>
      </c>
      <c r="L2869" s="1" t="s">
        <v>18</v>
      </c>
      <c r="M2869" s="1" t="s">
        <v>6249</v>
      </c>
      <c r="N2869" s="1" t="s">
        <v>6250</v>
      </c>
    </row>
    <row r="2870" spans="1:14" x14ac:dyDescent="0.35">
      <c r="A2870">
        <v>1609012</v>
      </c>
      <c r="B2870" s="1" t="s">
        <v>6070</v>
      </c>
      <c r="C2870">
        <v>9017.1</v>
      </c>
      <c r="D2870">
        <v>104</v>
      </c>
      <c r="E2870" s="1" t="s">
        <v>6251</v>
      </c>
      <c r="F2870" s="1" t="s">
        <v>15</v>
      </c>
      <c r="G2870" s="1" t="s">
        <v>32</v>
      </c>
      <c r="H2870">
        <v>175</v>
      </c>
      <c r="I2870">
        <v>21</v>
      </c>
      <c r="J2870">
        <v>454</v>
      </c>
      <c r="K2870" s="1" t="s">
        <v>23</v>
      </c>
      <c r="L2870" s="1" t="s">
        <v>24</v>
      </c>
      <c r="M2870" s="1" t="s">
        <v>6249</v>
      </c>
      <c r="N2870" s="1" t="s">
        <v>6252</v>
      </c>
    </row>
    <row r="2871" spans="1:14" x14ac:dyDescent="0.35">
      <c r="A2871">
        <v>1609011</v>
      </c>
      <c r="B2871" s="1" t="s">
        <v>6070</v>
      </c>
      <c r="C2871">
        <v>9017.1</v>
      </c>
      <c r="D2871">
        <v>104</v>
      </c>
      <c r="E2871" s="1" t="s">
        <v>6253</v>
      </c>
      <c r="F2871" s="1" t="s">
        <v>15</v>
      </c>
      <c r="G2871" s="1" t="s">
        <v>22</v>
      </c>
      <c r="H2871">
        <v>60</v>
      </c>
      <c r="I2871">
        <v>26</v>
      </c>
      <c r="J2871">
        <v>418</v>
      </c>
      <c r="K2871" s="1" t="s">
        <v>17</v>
      </c>
      <c r="L2871" s="1" t="s">
        <v>18</v>
      </c>
      <c r="M2871" s="1" t="s">
        <v>6249</v>
      </c>
      <c r="N2871" s="1" t="s">
        <v>6254</v>
      </c>
    </row>
    <row r="2872" spans="1:14" x14ac:dyDescent="0.35">
      <c r="A2872">
        <v>1609046</v>
      </c>
      <c r="B2872" s="1" t="s">
        <v>6070</v>
      </c>
      <c r="C2872">
        <v>9017.1</v>
      </c>
      <c r="D2872">
        <v>104</v>
      </c>
      <c r="E2872" s="1" t="s">
        <v>6255</v>
      </c>
      <c r="F2872" s="1" t="s">
        <v>15</v>
      </c>
      <c r="G2872" s="1" t="s">
        <v>22</v>
      </c>
      <c r="H2872">
        <v>119</v>
      </c>
      <c r="I2872">
        <v>30</v>
      </c>
      <c r="J2872">
        <v>122</v>
      </c>
      <c r="K2872" s="1" t="s">
        <v>84</v>
      </c>
      <c r="L2872" s="1" t="s">
        <v>24</v>
      </c>
      <c r="M2872" s="1" t="s">
        <v>6249</v>
      </c>
      <c r="N2872" s="1" t="s">
        <v>6256</v>
      </c>
    </row>
    <row r="2873" spans="1:14" x14ac:dyDescent="0.35">
      <c r="A2873">
        <v>1603085</v>
      </c>
      <c r="B2873" s="1" t="s">
        <v>6070</v>
      </c>
      <c r="C2873">
        <v>9017.1</v>
      </c>
      <c r="D2873">
        <v>104</v>
      </c>
      <c r="E2873" s="1" t="s">
        <v>6257</v>
      </c>
      <c r="F2873" s="1" t="s">
        <v>15</v>
      </c>
      <c r="G2873" s="1" t="s">
        <v>22</v>
      </c>
      <c r="H2873">
        <v>90</v>
      </c>
      <c r="I2873">
        <v>21</v>
      </c>
      <c r="J2873">
        <v>407</v>
      </c>
      <c r="K2873" s="1" t="s">
        <v>17</v>
      </c>
      <c r="L2873" s="1" t="s">
        <v>18</v>
      </c>
      <c r="M2873" s="1" t="s">
        <v>6258</v>
      </c>
      <c r="N2873" s="1" t="s">
        <v>6259</v>
      </c>
    </row>
    <row r="2874" spans="1:14" x14ac:dyDescent="0.35">
      <c r="A2874">
        <v>1612011</v>
      </c>
      <c r="B2874" s="1" t="s">
        <v>6070</v>
      </c>
      <c r="C2874">
        <v>9017.1</v>
      </c>
      <c r="D2874">
        <v>104</v>
      </c>
      <c r="E2874" s="1" t="s">
        <v>6260</v>
      </c>
      <c r="F2874" s="1" t="s">
        <v>15</v>
      </c>
      <c r="G2874" s="1" t="s">
        <v>52</v>
      </c>
      <c r="H2874">
        <v>30</v>
      </c>
      <c r="I2874">
        <v>8</v>
      </c>
      <c r="K2874" s="1" t="s">
        <v>17</v>
      </c>
      <c r="L2874" s="1" t="s">
        <v>24</v>
      </c>
      <c r="M2874" s="1" t="s">
        <v>6258</v>
      </c>
      <c r="N2874" s="1" t="s">
        <v>6261</v>
      </c>
    </row>
    <row r="2875" spans="1:14" x14ac:dyDescent="0.35">
      <c r="A2875">
        <v>1208056</v>
      </c>
      <c r="B2875" s="1" t="s">
        <v>6262</v>
      </c>
      <c r="C2875">
        <v>15978.6</v>
      </c>
      <c r="D2875">
        <v>221</v>
      </c>
      <c r="E2875" s="1" t="s">
        <v>6263</v>
      </c>
      <c r="F2875" s="1" t="s">
        <v>15</v>
      </c>
      <c r="G2875" s="1" t="s">
        <v>32</v>
      </c>
      <c r="H2875">
        <v>111</v>
      </c>
      <c r="I2875">
        <v>22</v>
      </c>
      <c r="J2875">
        <v>157</v>
      </c>
      <c r="K2875" s="1" t="s">
        <v>23</v>
      </c>
      <c r="L2875" s="1" t="s">
        <v>24</v>
      </c>
      <c r="M2875" s="1" t="s">
        <v>6264</v>
      </c>
      <c r="N2875" s="1" t="s">
        <v>6265</v>
      </c>
    </row>
    <row r="2876" spans="1:14" x14ac:dyDescent="0.35">
      <c r="A2876">
        <v>1208016</v>
      </c>
      <c r="B2876" s="1" t="s">
        <v>6262</v>
      </c>
      <c r="C2876">
        <v>15978.6</v>
      </c>
      <c r="D2876">
        <v>221</v>
      </c>
      <c r="E2876" s="1" t="s">
        <v>6266</v>
      </c>
      <c r="F2876" s="1" t="s">
        <v>15</v>
      </c>
      <c r="G2876" s="1" t="s">
        <v>32</v>
      </c>
      <c r="H2876">
        <v>121</v>
      </c>
      <c r="I2876">
        <v>42</v>
      </c>
      <c r="J2876">
        <v>119</v>
      </c>
      <c r="K2876" s="1" t="s">
        <v>17</v>
      </c>
      <c r="L2876" s="1" t="s">
        <v>18</v>
      </c>
      <c r="M2876" s="1" t="s">
        <v>6264</v>
      </c>
      <c r="N2876" s="1" t="s">
        <v>6267</v>
      </c>
    </row>
    <row r="2877" spans="1:14" x14ac:dyDescent="0.35">
      <c r="A2877">
        <v>1208066</v>
      </c>
      <c r="B2877" s="1" t="s">
        <v>6262</v>
      </c>
      <c r="C2877">
        <v>15978.6</v>
      </c>
      <c r="D2877">
        <v>221</v>
      </c>
      <c r="E2877" s="1" t="s">
        <v>6268</v>
      </c>
      <c r="F2877" s="1" t="s">
        <v>15</v>
      </c>
      <c r="G2877" s="1" t="s">
        <v>22</v>
      </c>
      <c r="H2877">
        <v>60</v>
      </c>
      <c r="I2877">
        <v>12</v>
      </c>
      <c r="J2877">
        <v>39</v>
      </c>
      <c r="K2877" s="1" t="s">
        <v>23</v>
      </c>
      <c r="L2877" s="1" t="s">
        <v>24</v>
      </c>
      <c r="M2877" s="1" t="s">
        <v>6264</v>
      </c>
      <c r="N2877" s="1" t="s">
        <v>6269</v>
      </c>
    </row>
    <row r="2878" spans="1:14" x14ac:dyDescent="0.35">
      <c r="A2878">
        <v>1208057</v>
      </c>
      <c r="B2878" s="1" t="s">
        <v>6262</v>
      </c>
      <c r="C2878">
        <v>15978.6</v>
      </c>
      <c r="D2878">
        <v>221</v>
      </c>
      <c r="E2878" s="1" t="s">
        <v>6270</v>
      </c>
      <c r="F2878" s="1" t="s">
        <v>15</v>
      </c>
      <c r="G2878" s="1" t="s">
        <v>22</v>
      </c>
      <c r="H2878">
        <v>92</v>
      </c>
      <c r="I2878">
        <v>25</v>
      </c>
      <c r="J2878">
        <v>119</v>
      </c>
      <c r="K2878" s="1" t="s">
        <v>23</v>
      </c>
      <c r="L2878" s="1" t="s">
        <v>24</v>
      </c>
      <c r="M2878" s="1" t="s">
        <v>6264</v>
      </c>
      <c r="N2878" s="1" t="s">
        <v>6271</v>
      </c>
    </row>
    <row r="2879" spans="1:14" x14ac:dyDescent="0.35">
      <c r="A2879">
        <v>1208053</v>
      </c>
      <c r="B2879" s="1" t="s">
        <v>6262</v>
      </c>
      <c r="C2879">
        <v>15978.6</v>
      </c>
      <c r="D2879">
        <v>221</v>
      </c>
      <c r="E2879" s="1" t="s">
        <v>6272</v>
      </c>
      <c r="F2879" s="1" t="s">
        <v>15</v>
      </c>
      <c r="G2879" s="1" t="s">
        <v>22</v>
      </c>
      <c r="H2879">
        <v>65</v>
      </c>
      <c r="I2879">
        <v>17</v>
      </c>
      <c r="J2879">
        <v>46</v>
      </c>
      <c r="K2879" s="1" t="s">
        <v>90</v>
      </c>
      <c r="L2879" s="1" t="s">
        <v>24</v>
      </c>
      <c r="M2879" s="1" t="s">
        <v>6264</v>
      </c>
      <c r="N2879" s="1" t="s">
        <v>6273</v>
      </c>
    </row>
    <row r="2880" spans="1:14" x14ac:dyDescent="0.35">
      <c r="A2880">
        <v>1208064</v>
      </c>
      <c r="B2880" s="1" t="s">
        <v>6262</v>
      </c>
      <c r="C2880">
        <v>15978.6</v>
      </c>
      <c r="D2880">
        <v>221</v>
      </c>
      <c r="E2880" s="1" t="s">
        <v>314</v>
      </c>
      <c r="F2880" s="1" t="s">
        <v>15</v>
      </c>
      <c r="G2880" s="1" t="s">
        <v>22</v>
      </c>
      <c r="H2880">
        <v>87</v>
      </c>
      <c r="I2880">
        <v>23</v>
      </c>
      <c r="J2880">
        <v>25</v>
      </c>
      <c r="K2880" s="1" t="s">
        <v>90</v>
      </c>
      <c r="L2880" s="1" t="s">
        <v>24</v>
      </c>
      <c r="M2880" s="1" t="s">
        <v>6264</v>
      </c>
      <c r="N2880" s="1" t="s">
        <v>6274</v>
      </c>
    </row>
    <row r="2881" spans="1:14" x14ac:dyDescent="0.35">
      <c r="A2881">
        <v>1208060</v>
      </c>
      <c r="B2881" s="1" t="s">
        <v>6262</v>
      </c>
      <c r="C2881">
        <v>15978.6</v>
      </c>
      <c r="D2881">
        <v>221</v>
      </c>
      <c r="E2881" s="1" t="s">
        <v>6275</v>
      </c>
      <c r="F2881" s="1" t="s">
        <v>15</v>
      </c>
      <c r="G2881" s="1" t="s">
        <v>22</v>
      </c>
      <c r="H2881">
        <v>50</v>
      </c>
      <c r="I2881">
        <v>18</v>
      </c>
      <c r="J2881">
        <v>37</v>
      </c>
      <c r="K2881" s="1" t="s">
        <v>95</v>
      </c>
      <c r="L2881" s="1" t="s">
        <v>24</v>
      </c>
      <c r="M2881" s="1" t="s">
        <v>6264</v>
      </c>
      <c r="N2881" s="1" t="s">
        <v>6276</v>
      </c>
    </row>
    <row r="2882" spans="1:14" x14ac:dyDescent="0.35">
      <c r="A2882">
        <v>1208059</v>
      </c>
      <c r="B2882" s="1" t="s">
        <v>6262</v>
      </c>
      <c r="C2882">
        <v>15978.6</v>
      </c>
      <c r="D2882">
        <v>221</v>
      </c>
      <c r="E2882" s="1" t="s">
        <v>1415</v>
      </c>
      <c r="F2882" s="1" t="s">
        <v>15</v>
      </c>
      <c r="G2882" s="1" t="s">
        <v>22</v>
      </c>
      <c r="H2882">
        <v>82</v>
      </c>
      <c r="I2882">
        <v>26</v>
      </c>
      <c r="J2882">
        <v>76</v>
      </c>
      <c r="K2882" s="1" t="s">
        <v>95</v>
      </c>
      <c r="L2882" s="1" t="s">
        <v>24</v>
      </c>
      <c r="M2882" s="1" t="s">
        <v>6264</v>
      </c>
      <c r="N2882" s="1" t="s">
        <v>6277</v>
      </c>
    </row>
    <row r="2883" spans="1:14" x14ac:dyDescent="0.35">
      <c r="A2883">
        <v>1208020</v>
      </c>
      <c r="B2883" s="1" t="s">
        <v>6262</v>
      </c>
      <c r="C2883">
        <v>15978.6</v>
      </c>
      <c r="D2883">
        <v>221</v>
      </c>
      <c r="E2883" s="1" t="s">
        <v>6278</v>
      </c>
      <c r="F2883" s="1" t="s">
        <v>15</v>
      </c>
      <c r="G2883" s="1" t="s">
        <v>22</v>
      </c>
      <c r="H2883">
        <v>62</v>
      </c>
      <c r="I2883">
        <v>14</v>
      </c>
      <c r="J2883">
        <v>40</v>
      </c>
      <c r="K2883" s="1" t="s">
        <v>23</v>
      </c>
      <c r="L2883" s="1" t="s">
        <v>24</v>
      </c>
      <c r="M2883" s="1" t="s">
        <v>6264</v>
      </c>
      <c r="N2883" s="1" t="s">
        <v>6279</v>
      </c>
    </row>
    <row r="2884" spans="1:14" x14ac:dyDescent="0.35">
      <c r="A2884">
        <v>1219017</v>
      </c>
      <c r="B2884" s="1" t="s">
        <v>6262</v>
      </c>
      <c r="C2884">
        <v>15978.6</v>
      </c>
      <c r="D2884">
        <v>221</v>
      </c>
      <c r="E2884" s="1" t="s">
        <v>6280</v>
      </c>
      <c r="F2884" s="1" t="s">
        <v>15</v>
      </c>
      <c r="G2884" s="1" t="s">
        <v>16</v>
      </c>
      <c r="H2884">
        <v>254</v>
      </c>
      <c r="I2884">
        <v>38</v>
      </c>
      <c r="K2884" s="1" t="s">
        <v>90</v>
      </c>
      <c r="L2884" s="1" t="s">
        <v>24</v>
      </c>
      <c r="M2884" s="1" t="s">
        <v>6281</v>
      </c>
      <c r="N2884" s="1" t="s">
        <v>6282</v>
      </c>
    </row>
    <row r="2885" spans="1:14" x14ac:dyDescent="0.35">
      <c r="A2885">
        <v>1219003</v>
      </c>
      <c r="B2885" s="1" t="s">
        <v>6262</v>
      </c>
      <c r="C2885">
        <v>15978.6</v>
      </c>
      <c r="D2885">
        <v>221</v>
      </c>
      <c r="E2885" s="1" t="s">
        <v>6283</v>
      </c>
      <c r="F2885" s="1" t="s">
        <v>15</v>
      </c>
      <c r="G2885" s="1" t="s">
        <v>32</v>
      </c>
      <c r="H2885">
        <v>104</v>
      </c>
      <c r="I2885">
        <v>24</v>
      </c>
      <c r="J2885">
        <v>344</v>
      </c>
      <c r="K2885" s="1" t="s">
        <v>17</v>
      </c>
      <c r="L2885" s="1" t="s">
        <v>18</v>
      </c>
      <c r="M2885" s="1" t="s">
        <v>6281</v>
      </c>
      <c r="N2885" s="1" t="s">
        <v>6284</v>
      </c>
    </row>
    <row r="2886" spans="1:14" x14ac:dyDescent="0.35">
      <c r="A2886">
        <v>1219002</v>
      </c>
      <c r="B2886" s="1" t="s">
        <v>6262</v>
      </c>
      <c r="C2886">
        <v>15978.6</v>
      </c>
      <c r="D2886">
        <v>221</v>
      </c>
      <c r="E2886" s="1" t="s">
        <v>6285</v>
      </c>
      <c r="F2886" s="1" t="s">
        <v>15</v>
      </c>
      <c r="G2886" s="1" t="s">
        <v>22</v>
      </c>
      <c r="H2886">
        <v>54</v>
      </c>
      <c r="I2886">
        <v>10</v>
      </c>
      <c r="J2886">
        <v>89</v>
      </c>
      <c r="K2886" s="1" t="s">
        <v>84</v>
      </c>
      <c r="L2886" s="1" t="s">
        <v>24</v>
      </c>
      <c r="M2886" s="1" t="s">
        <v>6281</v>
      </c>
      <c r="N2886" s="1" t="s">
        <v>6286</v>
      </c>
    </row>
    <row r="2887" spans="1:14" x14ac:dyDescent="0.35">
      <c r="A2887">
        <v>1219016</v>
      </c>
      <c r="B2887" s="1" t="s">
        <v>6262</v>
      </c>
      <c r="C2887">
        <v>15978.6</v>
      </c>
      <c r="D2887">
        <v>221</v>
      </c>
      <c r="E2887" s="1" t="s">
        <v>6287</v>
      </c>
      <c r="F2887" s="1" t="s">
        <v>15</v>
      </c>
      <c r="G2887" s="1" t="s">
        <v>22</v>
      </c>
      <c r="H2887">
        <v>47</v>
      </c>
      <c r="I2887">
        <v>8</v>
      </c>
      <c r="K2887" s="1" t="s">
        <v>95</v>
      </c>
      <c r="L2887" s="1" t="s">
        <v>24</v>
      </c>
      <c r="M2887" s="1" t="s">
        <v>6281</v>
      </c>
      <c r="N2887" s="1" t="s">
        <v>6288</v>
      </c>
    </row>
    <row r="2888" spans="1:14" x14ac:dyDescent="0.35">
      <c r="A2888">
        <v>1219015</v>
      </c>
      <c r="B2888" s="1" t="s">
        <v>6262</v>
      </c>
      <c r="C2888">
        <v>15978.6</v>
      </c>
      <c r="D2888">
        <v>221</v>
      </c>
      <c r="E2888" s="1" t="s">
        <v>6289</v>
      </c>
      <c r="F2888" s="1" t="s">
        <v>15</v>
      </c>
      <c r="G2888" s="1" t="s">
        <v>22</v>
      </c>
      <c r="H2888">
        <v>95</v>
      </c>
      <c r="I2888">
        <v>11</v>
      </c>
      <c r="K2888" s="1" t="s">
        <v>23</v>
      </c>
      <c r="L2888" s="1" t="s">
        <v>24</v>
      </c>
      <c r="M2888" s="1" t="s">
        <v>6281</v>
      </c>
      <c r="N2888" s="1" t="s">
        <v>6290</v>
      </c>
    </row>
    <row r="2889" spans="1:14" x14ac:dyDescent="0.35">
      <c r="A2889">
        <v>1210010</v>
      </c>
      <c r="B2889" s="1" t="s">
        <v>6262</v>
      </c>
      <c r="C2889">
        <v>15978.6</v>
      </c>
      <c r="D2889">
        <v>221</v>
      </c>
      <c r="E2889" s="1" t="s">
        <v>6291</v>
      </c>
      <c r="F2889" s="1" t="s">
        <v>15</v>
      </c>
      <c r="G2889" s="1" t="s">
        <v>32</v>
      </c>
      <c r="H2889">
        <v>150</v>
      </c>
      <c r="I2889">
        <v>26</v>
      </c>
      <c r="J2889">
        <v>431</v>
      </c>
      <c r="K2889" s="1" t="s">
        <v>17</v>
      </c>
      <c r="L2889" s="1" t="s">
        <v>18</v>
      </c>
      <c r="M2889" s="1" t="s">
        <v>6292</v>
      </c>
      <c r="N2889" s="1" t="s">
        <v>6293</v>
      </c>
    </row>
    <row r="2890" spans="1:14" x14ac:dyDescent="0.35">
      <c r="A2890">
        <v>1210021</v>
      </c>
      <c r="B2890" s="1" t="s">
        <v>6262</v>
      </c>
      <c r="C2890">
        <v>15978.6</v>
      </c>
      <c r="D2890">
        <v>221</v>
      </c>
      <c r="E2890" s="1" t="s">
        <v>6294</v>
      </c>
      <c r="F2890" s="1" t="s">
        <v>15</v>
      </c>
      <c r="G2890" s="1" t="s">
        <v>22</v>
      </c>
      <c r="H2890">
        <v>53</v>
      </c>
      <c r="I2890">
        <v>20</v>
      </c>
      <c r="K2890" s="1" t="s">
        <v>90</v>
      </c>
      <c r="L2890" s="1" t="s">
        <v>24</v>
      </c>
      <c r="M2890" s="1" t="s">
        <v>6292</v>
      </c>
      <c r="N2890" s="1" t="s">
        <v>6295</v>
      </c>
    </row>
    <row r="2891" spans="1:14" x14ac:dyDescent="0.35">
      <c r="A2891">
        <v>1212197</v>
      </c>
      <c r="B2891" s="1" t="s">
        <v>6262</v>
      </c>
      <c r="C2891">
        <v>15978.6</v>
      </c>
      <c r="D2891">
        <v>221</v>
      </c>
      <c r="E2891" s="1" t="s">
        <v>6296</v>
      </c>
      <c r="F2891" s="1" t="s">
        <v>71</v>
      </c>
      <c r="G2891" s="1" t="s">
        <v>32</v>
      </c>
      <c r="H2891">
        <v>30</v>
      </c>
      <c r="I2891">
        <v>16</v>
      </c>
      <c r="K2891" s="1" t="s">
        <v>23</v>
      </c>
      <c r="L2891" s="1" t="s">
        <v>24</v>
      </c>
      <c r="M2891" s="1" t="s">
        <v>6297</v>
      </c>
      <c r="N2891" s="1" t="s">
        <v>6298</v>
      </c>
    </row>
    <row r="2892" spans="1:14" x14ac:dyDescent="0.35">
      <c r="A2892">
        <v>1212186</v>
      </c>
      <c r="B2892" s="1" t="s">
        <v>6262</v>
      </c>
      <c r="C2892">
        <v>15978.6</v>
      </c>
      <c r="D2892">
        <v>221</v>
      </c>
      <c r="E2892" s="1" t="s">
        <v>6299</v>
      </c>
      <c r="F2892" s="1" t="s">
        <v>71</v>
      </c>
      <c r="G2892" s="1" t="s">
        <v>32</v>
      </c>
      <c r="H2892">
        <v>37</v>
      </c>
      <c r="I2892">
        <v>21</v>
      </c>
      <c r="J2892">
        <v>26</v>
      </c>
      <c r="K2892" s="1" t="s">
        <v>90</v>
      </c>
      <c r="L2892" s="1" t="s">
        <v>24</v>
      </c>
      <c r="M2892" s="1" t="s">
        <v>6297</v>
      </c>
      <c r="N2892" s="1" t="s">
        <v>6300</v>
      </c>
    </row>
    <row r="2893" spans="1:14" x14ac:dyDescent="0.35">
      <c r="A2893">
        <v>1212184</v>
      </c>
      <c r="B2893" s="1" t="s">
        <v>6262</v>
      </c>
      <c r="C2893">
        <v>15978.6</v>
      </c>
      <c r="D2893">
        <v>221</v>
      </c>
      <c r="E2893" s="1" t="s">
        <v>6301</v>
      </c>
      <c r="F2893" s="1" t="s">
        <v>129</v>
      </c>
      <c r="G2893" s="1" t="s">
        <v>32</v>
      </c>
      <c r="H2893">
        <v>65</v>
      </c>
      <c r="I2893">
        <v>15</v>
      </c>
      <c r="J2893">
        <v>35</v>
      </c>
      <c r="K2893" s="1" t="s">
        <v>23</v>
      </c>
      <c r="L2893" s="1" t="s">
        <v>24</v>
      </c>
      <c r="M2893" s="1" t="s">
        <v>6297</v>
      </c>
      <c r="N2893" s="1" t="s">
        <v>6302</v>
      </c>
    </row>
    <row r="2894" spans="1:14" x14ac:dyDescent="0.35">
      <c r="A2894">
        <v>1218158</v>
      </c>
      <c r="B2894" s="1" t="s">
        <v>6262</v>
      </c>
      <c r="C2894">
        <v>15978.6</v>
      </c>
      <c r="D2894">
        <v>221</v>
      </c>
      <c r="E2894" s="1" t="s">
        <v>6303</v>
      </c>
      <c r="F2894" s="1" t="s">
        <v>15</v>
      </c>
      <c r="G2894" s="1" t="s">
        <v>16</v>
      </c>
      <c r="H2894">
        <v>403</v>
      </c>
      <c r="I2894">
        <v>67</v>
      </c>
      <c r="J2894">
        <v>516</v>
      </c>
      <c r="K2894" s="1" t="s">
        <v>84</v>
      </c>
      <c r="L2894" s="1" t="s">
        <v>24</v>
      </c>
      <c r="M2894" s="1" t="s">
        <v>6297</v>
      </c>
      <c r="N2894" s="1" t="s">
        <v>6304</v>
      </c>
    </row>
    <row r="2895" spans="1:14" x14ac:dyDescent="0.35">
      <c r="A2895">
        <v>1275794</v>
      </c>
      <c r="B2895" s="1" t="s">
        <v>6262</v>
      </c>
      <c r="C2895">
        <v>15978.6</v>
      </c>
      <c r="D2895">
        <v>221</v>
      </c>
      <c r="E2895" s="1" t="s">
        <v>6305</v>
      </c>
      <c r="F2895" s="1" t="s">
        <v>15</v>
      </c>
      <c r="G2895" s="1" t="s">
        <v>16</v>
      </c>
      <c r="H2895">
        <v>260</v>
      </c>
      <c r="I2895">
        <v>138</v>
      </c>
      <c r="J2895">
        <v>641</v>
      </c>
      <c r="K2895" s="1" t="s">
        <v>124</v>
      </c>
      <c r="L2895" s="1" t="s">
        <v>18</v>
      </c>
      <c r="M2895" s="1" t="s">
        <v>6297</v>
      </c>
      <c r="N2895" s="1" t="s">
        <v>6306</v>
      </c>
    </row>
    <row r="2896" spans="1:14" x14ac:dyDescent="0.35">
      <c r="A2896">
        <v>1212012</v>
      </c>
      <c r="B2896" s="1" t="s">
        <v>6262</v>
      </c>
      <c r="C2896">
        <v>15978.6</v>
      </c>
      <c r="D2896">
        <v>221</v>
      </c>
      <c r="E2896" s="1" t="s">
        <v>6307</v>
      </c>
      <c r="F2896" s="1" t="s">
        <v>15</v>
      </c>
      <c r="G2896" s="1" t="s">
        <v>16</v>
      </c>
      <c r="H2896">
        <v>211</v>
      </c>
      <c r="I2896">
        <v>136</v>
      </c>
      <c r="J2896">
        <v>668</v>
      </c>
      <c r="K2896" s="1" t="s">
        <v>17</v>
      </c>
      <c r="L2896" s="1" t="s">
        <v>18</v>
      </c>
      <c r="M2896" s="1" t="s">
        <v>6297</v>
      </c>
      <c r="N2896" s="1" t="s">
        <v>6308</v>
      </c>
    </row>
    <row r="2897" spans="1:14" x14ac:dyDescent="0.35">
      <c r="A2897">
        <v>1212045</v>
      </c>
      <c r="B2897" s="1" t="s">
        <v>6262</v>
      </c>
      <c r="C2897">
        <v>15978.6</v>
      </c>
      <c r="D2897">
        <v>221</v>
      </c>
      <c r="E2897" s="1" t="s">
        <v>6309</v>
      </c>
      <c r="F2897" s="1" t="s">
        <v>15</v>
      </c>
      <c r="G2897" s="1" t="s">
        <v>16</v>
      </c>
      <c r="H2897">
        <v>402</v>
      </c>
      <c r="I2897">
        <v>46</v>
      </c>
      <c r="J2897">
        <v>555</v>
      </c>
      <c r="K2897" s="1" t="s">
        <v>84</v>
      </c>
      <c r="L2897" s="1" t="s">
        <v>24</v>
      </c>
      <c r="M2897" s="1" t="s">
        <v>6297</v>
      </c>
      <c r="N2897" s="1" t="s">
        <v>6310</v>
      </c>
    </row>
    <row r="2898" spans="1:14" x14ac:dyDescent="0.35">
      <c r="A2898">
        <v>1212185</v>
      </c>
      <c r="B2898" s="1" t="s">
        <v>6262</v>
      </c>
      <c r="C2898">
        <v>15978.6</v>
      </c>
      <c r="D2898">
        <v>221</v>
      </c>
      <c r="E2898" s="1" t="s">
        <v>6311</v>
      </c>
      <c r="F2898" s="1" t="s">
        <v>15</v>
      </c>
      <c r="G2898" s="1" t="s">
        <v>32</v>
      </c>
      <c r="H2898">
        <v>110</v>
      </c>
      <c r="I2898">
        <v>21</v>
      </c>
      <c r="J2898">
        <v>72</v>
      </c>
      <c r="K2898" s="1" t="s">
        <v>17</v>
      </c>
      <c r="L2898" s="1" t="s">
        <v>18</v>
      </c>
      <c r="M2898" s="1" t="s">
        <v>6297</v>
      </c>
      <c r="N2898" s="1" t="s">
        <v>6312</v>
      </c>
    </row>
    <row r="2899" spans="1:14" x14ac:dyDescent="0.35">
      <c r="A2899">
        <v>1212199</v>
      </c>
      <c r="B2899" s="1" t="s">
        <v>6262</v>
      </c>
      <c r="C2899">
        <v>15978.6</v>
      </c>
      <c r="D2899">
        <v>221</v>
      </c>
      <c r="E2899" s="1" t="s">
        <v>6313</v>
      </c>
      <c r="F2899" s="1" t="s">
        <v>15</v>
      </c>
      <c r="G2899" s="1" t="s">
        <v>32</v>
      </c>
      <c r="H2899">
        <v>101</v>
      </c>
      <c r="I2899">
        <v>27</v>
      </c>
      <c r="K2899" s="1" t="s">
        <v>90</v>
      </c>
      <c r="L2899" s="1" t="s">
        <v>24</v>
      </c>
      <c r="M2899" s="1" t="s">
        <v>6297</v>
      </c>
      <c r="N2899" s="1" t="s">
        <v>6314</v>
      </c>
    </row>
    <row r="2900" spans="1:14" x14ac:dyDescent="0.35">
      <c r="A2900">
        <v>1212172</v>
      </c>
      <c r="B2900" s="1" t="s">
        <v>6262</v>
      </c>
      <c r="C2900">
        <v>15978.6</v>
      </c>
      <c r="D2900">
        <v>221</v>
      </c>
      <c r="E2900" s="1" t="s">
        <v>6315</v>
      </c>
      <c r="F2900" s="1" t="s">
        <v>15</v>
      </c>
      <c r="G2900" s="1" t="s">
        <v>32</v>
      </c>
      <c r="H2900">
        <v>100</v>
      </c>
      <c r="I2900">
        <v>47</v>
      </c>
      <c r="J2900">
        <v>208</v>
      </c>
      <c r="K2900" s="1" t="s">
        <v>90</v>
      </c>
      <c r="L2900" s="1" t="s">
        <v>24</v>
      </c>
      <c r="M2900" s="1" t="s">
        <v>6297</v>
      </c>
      <c r="N2900" s="1" t="s">
        <v>6316</v>
      </c>
    </row>
    <row r="2901" spans="1:14" x14ac:dyDescent="0.35">
      <c r="A2901">
        <v>1212183</v>
      </c>
      <c r="B2901" s="1" t="s">
        <v>6262</v>
      </c>
      <c r="C2901">
        <v>15978.6</v>
      </c>
      <c r="D2901">
        <v>221</v>
      </c>
      <c r="E2901" s="1" t="s">
        <v>6317</v>
      </c>
      <c r="F2901" s="1" t="s">
        <v>15</v>
      </c>
      <c r="G2901" s="1" t="s">
        <v>32</v>
      </c>
      <c r="H2901">
        <v>100</v>
      </c>
      <c r="I2901">
        <v>30</v>
      </c>
      <c r="J2901">
        <v>10</v>
      </c>
      <c r="K2901" s="1" t="s">
        <v>90</v>
      </c>
      <c r="L2901" s="1" t="s">
        <v>24</v>
      </c>
      <c r="M2901" s="1" t="s">
        <v>6297</v>
      </c>
      <c r="N2901" s="1" t="s">
        <v>6318</v>
      </c>
    </row>
    <row r="2902" spans="1:14" x14ac:dyDescent="0.35">
      <c r="A2902">
        <v>1212093</v>
      </c>
      <c r="B2902" s="1" t="s">
        <v>6262</v>
      </c>
      <c r="C2902">
        <v>15978.6</v>
      </c>
      <c r="D2902">
        <v>221</v>
      </c>
      <c r="E2902" s="1" t="s">
        <v>6319</v>
      </c>
      <c r="F2902" s="1" t="s">
        <v>15</v>
      </c>
      <c r="G2902" s="1" t="s">
        <v>32</v>
      </c>
      <c r="H2902">
        <v>104</v>
      </c>
      <c r="I2902">
        <v>33</v>
      </c>
      <c r="J2902">
        <v>148</v>
      </c>
      <c r="K2902" s="1" t="s">
        <v>84</v>
      </c>
      <c r="L2902" s="1" t="s">
        <v>24</v>
      </c>
      <c r="M2902" s="1" t="s">
        <v>6297</v>
      </c>
      <c r="N2902" s="1" t="s">
        <v>6320</v>
      </c>
    </row>
    <row r="2903" spans="1:14" x14ac:dyDescent="0.35">
      <c r="A2903">
        <v>1275147</v>
      </c>
      <c r="B2903" s="1" t="s">
        <v>6262</v>
      </c>
      <c r="C2903">
        <v>15978.6</v>
      </c>
      <c r="D2903">
        <v>221</v>
      </c>
      <c r="E2903" s="1" t="s">
        <v>6321</v>
      </c>
      <c r="F2903" s="1" t="s">
        <v>15</v>
      </c>
      <c r="G2903" s="1" t="s">
        <v>32</v>
      </c>
      <c r="H2903">
        <v>127</v>
      </c>
      <c r="I2903">
        <v>25</v>
      </c>
      <c r="J2903">
        <v>29</v>
      </c>
      <c r="K2903" s="1" t="s">
        <v>84</v>
      </c>
      <c r="L2903" s="1" t="s">
        <v>24</v>
      </c>
      <c r="M2903" s="1" t="s">
        <v>6297</v>
      </c>
      <c r="N2903" s="1" t="s">
        <v>6322</v>
      </c>
    </row>
    <row r="2904" spans="1:14" x14ac:dyDescent="0.35">
      <c r="A2904">
        <v>1212177</v>
      </c>
      <c r="B2904" s="1" t="s">
        <v>6262</v>
      </c>
      <c r="C2904">
        <v>15978.6</v>
      </c>
      <c r="D2904">
        <v>221</v>
      </c>
      <c r="E2904" s="1" t="s">
        <v>6323</v>
      </c>
      <c r="F2904" s="1" t="s">
        <v>15</v>
      </c>
      <c r="G2904" s="1" t="s">
        <v>32</v>
      </c>
      <c r="H2904">
        <v>100</v>
      </c>
      <c r="I2904">
        <v>36</v>
      </c>
      <c r="J2904">
        <v>38</v>
      </c>
      <c r="K2904" s="1" t="s">
        <v>90</v>
      </c>
      <c r="L2904" s="1" t="s">
        <v>24</v>
      </c>
      <c r="M2904" s="1" t="s">
        <v>6297</v>
      </c>
      <c r="N2904" s="1" t="s">
        <v>6324</v>
      </c>
    </row>
    <row r="2905" spans="1:14" x14ac:dyDescent="0.35">
      <c r="A2905">
        <v>1212181</v>
      </c>
      <c r="B2905" s="1" t="s">
        <v>6262</v>
      </c>
      <c r="C2905">
        <v>15978.6</v>
      </c>
      <c r="D2905">
        <v>221</v>
      </c>
      <c r="E2905" s="1" t="s">
        <v>6325</v>
      </c>
      <c r="F2905" s="1" t="s">
        <v>15</v>
      </c>
      <c r="G2905" s="1" t="s">
        <v>32</v>
      </c>
      <c r="H2905">
        <v>231</v>
      </c>
      <c r="I2905">
        <v>28</v>
      </c>
      <c r="J2905">
        <v>233</v>
      </c>
      <c r="K2905" s="1" t="s">
        <v>23</v>
      </c>
      <c r="L2905" s="1" t="s">
        <v>24</v>
      </c>
      <c r="M2905" s="1" t="s">
        <v>6297</v>
      </c>
      <c r="N2905" s="1" t="s">
        <v>6326</v>
      </c>
    </row>
    <row r="2906" spans="1:14" x14ac:dyDescent="0.35">
      <c r="A2906">
        <v>1212171</v>
      </c>
      <c r="B2906" s="1" t="s">
        <v>6262</v>
      </c>
      <c r="C2906">
        <v>15978.6</v>
      </c>
      <c r="D2906">
        <v>221</v>
      </c>
      <c r="E2906" s="1" t="s">
        <v>6327</v>
      </c>
      <c r="F2906" s="1" t="s">
        <v>15</v>
      </c>
      <c r="G2906" s="1" t="s">
        <v>32</v>
      </c>
      <c r="H2906">
        <v>107</v>
      </c>
      <c r="I2906">
        <v>22</v>
      </c>
      <c r="J2906">
        <v>29</v>
      </c>
      <c r="K2906" s="1" t="s">
        <v>84</v>
      </c>
      <c r="L2906" s="1" t="s">
        <v>120</v>
      </c>
      <c r="M2906" s="1" t="s">
        <v>6297</v>
      </c>
      <c r="N2906" s="1" t="s">
        <v>6328</v>
      </c>
    </row>
    <row r="2907" spans="1:14" x14ac:dyDescent="0.35">
      <c r="A2907">
        <v>1212136</v>
      </c>
      <c r="B2907" s="1" t="s">
        <v>6262</v>
      </c>
      <c r="C2907">
        <v>15978.6</v>
      </c>
      <c r="D2907">
        <v>221</v>
      </c>
      <c r="E2907" s="1" t="s">
        <v>6329</v>
      </c>
      <c r="F2907" s="1" t="s">
        <v>15</v>
      </c>
      <c r="G2907" s="1" t="s">
        <v>32</v>
      </c>
      <c r="H2907">
        <v>110</v>
      </c>
      <c r="I2907">
        <v>40</v>
      </c>
      <c r="J2907">
        <v>113</v>
      </c>
      <c r="K2907" s="1" t="s">
        <v>84</v>
      </c>
      <c r="L2907" s="1" t="s">
        <v>24</v>
      </c>
      <c r="M2907" s="1" t="s">
        <v>6297</v>
      </c>
      <c r="N2907" s="1" t="s">
        <v>6330</v>
      </c>
    </row>
    <row r="2908" spans="1:14" x14ac:dyDescent="0.35">
      <c r="A2908">
        <v>1212179</v>
      </c>
      <c r="B2908" s="1" t="s">
        <v>6262</v>
      </c>
      <c r="C2908">
        <v>15978.6</v>
      </c>
      <c r="D2908">
        <v>221</v>
      </c>
      <c r="E2908" s="1" t="s">
        <v>3639</v>
      </c>
      <c r="F2908" s="1" t="s">
        <v>15</v>
      </c>
      <c r="G2908" s="1" t="s">
        <v>32</v>
      </c>
      <c r="H2908">
        <v>118</v>
      </c>
      <c r="I2908">
        <v>22</v>
      </c>
      <c r="J2908">
        <v>177</v>
      </c>
      <c r="K2908" s="1" t="s">
        <v>90</v>
      </c>
      <c r="L2908" s="1" t="s">
        <v>24</v>
      </c>
      <c r="M2908" s="1" t="s">
        <v>6297</v>
      </c>
      <c r="N2908" s="1" t="s">
        <v>6331</v>
      </c>
    </row>
    <row r="2909" spans="1:14" x14ac:dyDescent="0.35">
      <c r="A2909">
        <v>1212023</v>
      </c>
      <c r="B2909" s="1" t="s">
        <v>6262</v>
      </c>
      <c r="C2909">
        <v>15978.6</v>
      </c>
      <c r="D2909">
        <v>221</v>
      </c>
      <c r="E2909" s="1" t="s">
        <v>6332</v>
      </c>
      <c r="F2909" s="1" t="s">
        <v>15</v>
      </c>
      <c r="G2909" s="1" t="s">
        <v>32</v>
      </c>
      <c r="H2909">
        <v>101</v>
      </c>
      <c r="I2909">
        <v>14</v>
      </c>
      <c r="J2909">
        <v>211</v>
      </c>
      <c r="K2909" s="1" t="s">
        <v>23</v>
      </c>
      <c r="L2909" s="1" t="s">
        <v>24</v>
      </c>
      <c r="M2909" s="1" t="s">
        <v>6297</v>
      </c>
      <c r="N2909" s="1" t="s">
        <v>6333</v>
      </c>
    </row>
    <row r="2910" spans="1:14" x14ac:dyDescent="0.35">
      <c r="A2910">
        <v>1212198</v>
      </c>
      <c r="B2910" s="1" t="s">
        <v>6262</v>
      </c>
      <c r="C2910">
        <v>15978.6</v>
      </c>
      <c r="D2910">
        <v>221</v>
      </c>
      <c r="E2910" s="1" t="s">
        <v>6334</v>
      </c>
      <c r="F2910" s="1" t="s">
        <v>15</v>
      </c>
      <c r="G2910" s="1" t="s">
        <v>22</v>
      </c>
      <c r="H2910">
        <v>55</v>
      </c>
      <c r="I2910">
        <v>13</v>
      </c>
      <c r="K2910" s="1" t="s">
        <v>17</v>
      </c>
      <c r="L2910" s="1" t="s">
        <v>18</v>
      </c>
      <c r="M2910" s="1" t="s">
        <v>6297</v>
      </c>
      <c r="N2910" s="1" t="s">
        <v>6335</v>
      </c>
    </row>
    <row r="2911" spans="1:14" x14ac:dyDescent="0.35">
      <c r="A2911">
        <v>1212200</v>
      </c>
      <c r="B2911" s="1" t="s">
        <v>6262</v>
      </c>
      <c r="C2911">
        <v>15978.6</v>
      </c>
      <c r="D2911">
        <v>221</v>
      </c>
      <c r="E2911" s="1" t="s">
        <v>6336</v>
      </c>
      <c r="F2911" s="1" t="s">
        <v>15</v>
      </c>
      <c r="G2911" s="1" t="s">
        <v>22</v>
      </c>
      <c r="H2911">
        <v>60</v>
      </c>
      <c r="I2911">
        <v>14</v>
      </c>
      <c r="K2911" s="1" t="s">
        <v>95</v>
      </c>
      <c r="L2911" s="1" t="s">
        <v>24</v>
      </c>
      <c r="M2911" s="1" t="s">
        <v>6297</v>
      </c>
      <c r="N2911" s="1" t="s">
        <v>6337</v>
      </c>
    </row>
    <row r="2912" spans="1:14" x14ac:dyDescent="0.35">
      <c r="A2912">
        <v>1212067</v>
      </c>
      <c r="B2912" s="1" t="s">
        <v>6262</v>
      </c>
      <c r="C2912">
        <v>15978.6</v>
      </c>
      <c r="D2912">
        <v>221</v>
      </c>
      <c r="E2912" s="1" t="s">
        <v>6338</v>
      </c>
      <c r="F2912" s="1" t="s">
        <v>15</v>
      </c>
      <c r="G2912" s="1" t="s">
        <v>22</v>
      </c>
      <c r="H2912">
        <v>58</v>
      </c>
      <c r="I2912">
        <v>18</v>
      </c>
      <c r="J2912">
        <v>39</v>
      </c>
      <c r="K2912" s="1" t="s">
        <v>84</v>
      </c>
      <c r="L2912" s="1" t="s">
        <v>24</v>
      </c>
      <c r="M2912" s="1" t="s">
        <v>6297</v>
      </c>
      <c r="N2912" s="1" t="s">
        <v>6339</v>
      </c>
    </row>
    <row r="2913" spans="1:14" x14ac:dyDescent="0.35">
      <c r="A2913">
        <v>1212174</v>
      </c>
      <c r="B2913" s="1" t="s">
        <v>6262</v>
      </c>
      <c r="C2913">
        <v>15978.6</v>
      </c>
      <c r="D2913">
        <v>221</v>
      </c>
      <c r="E2913" s="1" t="s">
        <v>6340</v>
      </c>
      <c r="F2913" s="1" t="s">
        <v>15</v>
      </c>
      <c r="G2913" s="1" t="s">
        <v>22</v>
      </c>
      <c r="H2913">
        <v>50</v>
      </c>
      <c r="I2913">
        <v>15</v>
      </c>
      <c r="J2913">
        <v>36</v>
      </c>
      <c r="K2913" s="1" t="s">
        <v>84</v>
      </c>
      <c r="L2913" s="1" t="s">
        <v>24</v>
      </c>
      <c r="M2913" s="1" t="s">
        <v>6297</v>
      </c>
      <c r="N2913" s="1" t="s">
        <v>6341</v>
      </c>
    </row>
    <row r="2914" spans="1:14" x14ac:dyDescent="0.35">
      <c r="A2914">
        <v>1212175</v>
      </c>
      <c r="B2914" s="1" t="s">
        <v>6262</v>
      </c>
      <c r="C2914">
        <v>15978.6</v>
      </c>
      <c r="D2914">
        <v>221</v>
      </c>
      <c r="E2914" s="1" t="s">
        <v>6342</v>
      </c>
      <c r="F2914" s="1" t="s">
        <v>15</v>
      </c>
      <c r="G2914" s="1" t="s">
        <v>22</v>
      </c>
      <c r="H2914">
        <v>110</v>
      </c>
      <c r="I2914">
        <v>16</v>
      </c>
      <c r="J2914">
        <v>20</v>
      </c>
      <c r="K2914" s="1" t="s">
        <v>84</v>
      </c>
      <c r="L2914" s="1" t="s">
        <v>24</v>
      </c>
      <c r="M2914" s="1" t="s">
        <v>6297</v>
      </c>
      <c r="N2914" s="1" t="s">
        <v>6343</v>
      </c>
    </row>
    <row r="2915" spans="1:14" x14ac:dyDescent="0.35">
      <c r="A2915">
        <v>1212201</v>
      </c>
      <c r="B2915" s="1" t="s">
        <v>6262</v>
      </c>
      <c r="C2915">
        <v>15978.6</v>
      </c>
      <c r="D2915">
        <v>221</v>
      </c>
      <c r="E2915" s="1" t="s">
        <v>6344</v>
      </c>
      <c r="F2915" s="1" t="s">
        <v>15</v>
      </c>
      <c r="G2915" s="1" t="s">
        <v>22</v>
      </c>
      <c r="H2915">
        <v>53</v>
      </c>
      <c r="I2915">
        <v>10</v>
      </c>
      <c r="K2915" s="1" t="s">
        <v>23</v>
      </c>
      <c r="L2915" s="1" t="s">
        <v>24</v>
      </c>
      <c r="M2915" s="1" t="s">
        <v>6297</v>
      </c>
      <c r="N2915" s="1" t="s">
        <v>6345</v>
      </c>
    </row>
    <row r="2916" spans="1:14" x14ac:dyDescent="0.35">
      <c r="A2916">
        <v>1205035</v>
      </c>
      <c r="B2916" s="1" t="s">
        <v>6262</v>
      </c>
      <c r="C2916">
        <v>15978.6</v>
      </c>
      <c r="D2916">
        <v>221</v>
      </c>
      <c r="E2916" s="1" t="s">
        <v>6346</v>
      </c>
      <c r="F2916" s="1" t="s">
        <v>15</v>
      </c>
      <c r="G2916" s="1" t="s">
        <v>32</v>
      </c>
      <c r="H2916">
        <v>107</v>
      </c>
      <c r="I2916">
        <v>61</v>
      </c>
      <c r="J2916">
        <v>335</v>
      </c>
      <c r="K2916" s="1" t="s">
        <v>17</v>
      </c>
      <c r="L2916" s="1" t="s">
        <v>18</v>
      </c>
      <c r="M2916" s="1" t="s">
        <v>6347</v>
      </c>
      <c r="N2916" s="1" t="s">
        <v>6348</v>
      </c>
    </row>
    <row r="2917" spans="1:14" x14ac:dyDescent="0.35">
      <c r="A2917">
        <v>1211127</v>
      </c>
      <c r="B2917" s="1" t="s">
        <v>6262</v>
      </c>
      <c r="C2917">
        <v>15978.6</v>
      </c>
      <c r="D2917">
        <v>221</v>
      </c>
      <c r="E2917" s="1" t="s">
        <v>6349</v>
      </c>
      <c r="F2917" s="1" t="s">
        <v>71</v>
      </c>
      <c r="G2917" s="1" t="s">
        <v>32</v>
      </c>
      <c r="H2917">
        <v>28</v>
      </c>
      <c r="I2917">
        <v>15</v>
      </c>
      <c r="J2917">
        <v>33</v>
      </c>
      <c r="K2917" s="1" t="s">
        <v>23</v>
      </c>
      <c r="L2917" s="1" t="s">
        <v>24</v>
      </c>
      <c r="M2917" s="1" t="s">
        <v>6350</v>
      </c>
      <c r="N2917" s="1" t="s">
        <v>6351</v>
      </c>
    </row>
    <row r="2918" spans="1:14" x14ac:dyDescent="0.35">
      <c r="A2918">
        <v>1211126</v>
      </c>
      <c r="B2918" s="1" t="s">
        <v>6262</v>
      </c>
      <c r="C2918">
        <v>15978.6</v>
      </c>
      <c r="D2918">
        <v>221</v>
      </c>
      <c r="E2918" s="1" t="s">
        <v>1347</v>
      </c>
      <c r="F2918" s="1" t="s">
        <v>15</v>
      </c>
      <c r="G2918" s="1" t="s">
        <v>32</v>
      </c>
      <c r="H2918">
        <v>193</v>
      </c>
      <c r="I2918">
        <v>32</v>
      </c>
      <c r="J2918">
        <v>202</v>
      </c>
      <c r="K2918" s="1" t="s">
        <v>90</v>
      </c>
      <c r="L2918" s="1" t="s">
        <v>24</v>
      </c>
      <c r="M2918" s="1" t="s">
        <v>6350</v>
      </c>
      <c r="N2918" s="1" t="s">
        <v>6352</v>
      </c>
    </row>
    <row r="2919" spans="1:14" x14ac:dyDescent="0.35">
      <c r="A2919">
        <v>1211124</v>
      </c>
      <c r="B2919" s="1" t="s">
        <v>6262</v>
      </c>
      <c r="C2919">
        <v>15978.6</v>
      </c>
      <c r="D2919">
        <v>221</v>
      </c>
      <c r="E2919" s="1" t="s">
        <v>6353</v>
      </c>
      <c r="F2919" s="1" t="s">
        <v>15</v>
      </c>
      <c r="G2919" s="1" t="s">
        <v>32</v>
      </c>
      <c r="H2919">
        <v>164</v>
      </c>
      <c r="I2919">
        <v>56</v>
      </c>
      <c r="J2919">
        <v>348</v>
      </c>
      <c r="K2919" s="1" t="s">
        <v>23</v>
      </c>
      <c r="L2919" s="1" t="s">
        <v>24</v>
      </c>
      <c r="M2919" s="1" t="s">
        <v>6350</v>
      </c>
      <c r="N2919" s="1" t="s">
        <v>6354</v>
      </c>
    </row>
    <row r="2920" spans="1:14" x14ac:dyDescent="0.35">
      <c r="A2920">
        <v>1211011</v>
      </c>
      <c r="B2920" s="1" t="s">
        <v>6262</v>
      </c>
      <c r="C2920">
        <v>15978.6</v>
      </c>
      <c r="D2920">
        <v>221</v>
      </c>
      <c r="E2920" s="1" t="s">
        <v>6355</v>
      </c>
      <c r="F2920" s="1" t="s">
        <v>15</v>
      </c>
      <c r="G2920" s="1" t="s">
        <v>32</v>
      </c>
      <c r="H2920">
        <v>110</v>
      </c>
      <c r="I2920">
        <v>31</v>
      </c>
      <c r="J2920">
        <v>360</v>
      </c>
      <c r="K2920" s="1" t="s">
        <v>17</v>
      </c>
      <c r="L2920" s="1" t="s">
        <v>18</v>
      </c>
      <c r="M2920" s="1" t="s">
        <v>6350</v>
      </c>
      <c r="N2920" s="1" t="s">
        <v>6356</v>
      </c>
    </row>
    <row r="2921" spans="1:14" x14ac:dyDescent="0.35">
      <c r="A2921">
        <v>1211033</v>
      </c>
      <c r="B2921" s="1" t="s">
        <v>6262</v>
      </c>
      <c r="C2921">
        <v>15978.6</v>
      </c>
      <c r="D2921">
        <v>221</v>
      </c>
      <c r="E2921" s="1" t="s">
        <v>6357</v>
      </c>
      <c r="F2921" s="1" t="s">
        <v>15</v>
      </c>
      <c r="G2921" s="1" t="s">
        <v>32</v>
      </c>
      <c r="H2921">
        <v>51</v>
      </c>
      <c r="I2921">
        <v>17</v>
      </c>
      <c r="J2921">
        <v>31</v>
      </c>
      <c r="K2921" s="1" t="s">
        <v>124</v>
      </c>
      <c r="L2921" s="1" t="s">
        <v>24</v>
      </c>
      <c r="M2921" s="1" t="s">
        <v>6350</v>
      </c>
      <c r="N2921" s="1" t="s">
        <v>6358</v>
      </c>
    </row>
    <row r="2922" spans="1:14" x14ac:dyDescent="0.35">
      <c r="A2922">
        <v>1276092</v>
      </c>
      <c r="B2922" s="1" t="s">
        <v>6262</v>
      </c>
      <c r="C2922">
        <v>15978.6</v>
      </c>
      <c r="D2922">
        <v>221</v>
      </c>
      <c r="E2922" s="1" t="s">
        <v>6359</v>
      </c>
      <c r="F2922" s="1" t="s">
        <v>71</v>
      </c>
      <c r="G2922" s="1" t="s">
        <v>32</v>
      </c>
      <c r="H2922">
        <v>30</v>
      </c>
      <c r="I2922">
        <v>16</v>
      </c>
      <c r="K2922" s="1" t="s">
        <v>23</v>
      </c>
      <c r="L2922" s="1" t="s">
        <v>24</v>
      </c>
      <c r="M2922" s="1" t="s">
        <v>6360</v>
      </c>
      <c r="N2922" s="1" t="s">
        <v>6361</v>
      </c>
    </row>
    <row r="2923" spans="1:14" x14ac:dyDescent="0.35">
      <c r="A2923">
        <v>1276014</v>
      </c>
      <c r="B2923" s="1" t="s">
        <v>6262</v>
      </c>
      <c r="C2923">
        <v>15978.6</v>
      </c>
      <c r="D2923">
        <v>221</v>
      </c>
      <c r="E2923" s="1" t="s">
        <v>6362</v>
      </c>
      <c r="F2923" s="1" t="s">
        <v>15</v>
      </c>
      <c r="G2923" s="1" t="s">
        <v>16</v>
      </c>
      <c r="H2923">
        <v>205</v>
      </c>
      <c r="I2923">
        <v>40</v>
      </c>
      <c r="J2923">
        <v>421</v>
      </c>
      <c r="K2923" s="1" t="s">
        <v>137</v>
      </c>
      <c r="L2923" s="1" t="s">
        <v>18</v>
      </c>
      <c r="M2923" s="1" t="s">
        <v>6360</v>
      </c>
      <c r="N2923" s="1" t="s">
        <v>6363</v>
      </c>
    </row>
    <row r="2924" spans="1:14" x14ac:dyDescent="0.35">
      <c r="A2924">
        <v>1276075</v>
      </c>
      <c r="B2924" s="1" t="s">
        <v>6262</v>
      </c>
      <c r="C2924">
        <v>15978.6</v>
      </c>
      <c r="D2924">
        <v>221</v>
      </c>
      <c r="E2924" s="1" t="s">
        <v>6364</v>
      </c>
      <c r="F2924" s="1" t="s">
        <v>15</v>
      </c>
      <c r="G2924" s="1" t="s">
        <v>32</v>
      </c>
      <c r="H2924">
        <v>199</v>
      </c>
      <c r="I2924">
        <v>49</v>
      </c>
      <c r="J2924">
        <v>352</v>
      </c>
      <c r="K2924" s="1" t="s">
        <v>90</v>
      </c>
      <c r="L2924" s="1" t="s">
        <v>24</v>
      </c>
      <c r="M2924" s="1" t="s">
        <v>6360</v>
      </c>
      <c r="N2924" s="1" t="s">
        <v>6365</v>
      </c>
    </row>
    <row r="2925" spans="1:14" x14ac:dyDescent="0.35">
      <c r="A2925">
        <v>1276036</v>
      </c>
      <c r="B2925" s="1" t="s">
        <v>6262</v>
      </c>
      <c r="C2925">
        <v>15978.6</v>
      </c>
      <c r="D2925">
        <v>221</v>
      </c>
      <c r="E2925" s="1" t="s">
        <v>6366</v>
      </c>
      <c r="F2925" s="1" t="s">
        <v>15</v>
      </c>
      <c r="G2925" s="1" t="s">
        <v>32</v>
      </c>
      <c r="H2925">
        <v>143</v>
      </c>
      <c r="I2925">
        <v>34</v>
      </c>
      <c r="J2925">
        <v>196</v>
      </c>
      <c r="K2925" s="1" t="s">
        <v>84</v>
      </c>
      <c r="L2925" s="1" t="s">
        <v>24</v>
      </c>
      <c r="M2925" s="1" t="s">
        <v>6360</v>
      </c>
      <c r="N2925" s="1" t="s">
        <v>6367</v>
      </c>
    </row>
    <row r="2926" spans="1:14" x14ac:dyDescent="0.35">
      <c r="A2926">
        <v>1276074</v>
      </c>
      <c r="B2926" s="1" t="s">
        <v>6262</v>
      </c>
      <c r="C2926">
        <v>15978.6</v>
      </c>
      <c r="D2926">
        <v>221</v>
      </c>
      <c r="E2926" s="1" t="s">
        <v>6368</v>
      </c>
      <c r="F2926" s="1" t="s">
        <v>15</v>
      </c>
      <c r="G2926" s="1" t="s">
        <v>32</v>
      </c>
      <c r="H2926">
        <v>118</v>
      </c>
      <c r="I2926">
        <v>53</v>
      </c>
      <c r="J2926">
        <v>117</v>
      </c>
      <c r="K2926" s="1" t="s">
        <v>90</v>
      </c>
      <c r="L2926" s="1" t="s">
        <v>24</v>
      </c>
      <c r="M2926" s="1" t="s">
        <v>6360</v>
      </c>
      <c r="N2926" s="1" t="s">
        <v>6369</v>
      </c>
    </row>
    <row r="2927" spans="1:14" x14ac:dyDescent="0.35">
      <c r="A2927">
        <v>1276078</v>
      </c>
      <c r="B2927" s="1" t="s">
        <v>6262</v>
      </c>
      <c r="C2927">
        <v>15978.6</v>
      </c>
      <c r="D2927">
        <v>221</v>
      </c>
      <c r="E2927" s="1" t="s">
        <v>6370</v>
      </c>
      <c r="F2927" s="1" t="s">
        <v>15</v>
      </c>
      <c r="G2927" s="1" t="s">
        <v>32</v>
      </c>
      <c r="H2927">
        <v>124</v>
      </c>
      <c r="I2927">
        <v>31</v>
      </c>
      <c r="J2927">
        <v>106</v>
      </c>
      <c r="K2927" s="1" t="s">
        <v>84</v>
      </c>
      <c r="L2927" s="1" t="s">
        <v>24</v>
      </c>
      <c r="M2927" s="1" t="s">
        <v>6360</v>
      </c>
      <c r="N2927" s="1" t="s">
        <v>6371</v>
      </c>
    </row>
    <row r="2928" spans="1:14" x14ac:dyDescent="0.35">
      <c r="A2928">
        <v>1276040</v>
      </c>
      <c r="B2928" s="1" t="s">
        <v>6262</v>
      </c>
      <c r="C2928">
        <v>15978.6</v>
      </c>
      <c r="D2928">
        <v>221</v>
      </c>
      <c r="E2928" s="1" t="s">
        <v>6372</v>
      </c>
      <c r="F2928" s="1" t="s">
        <v>15</v>
      </c>
      <c r="G2928" s="1" t="s">
        <v>32</v>
      </c>
      <c r="H2928">
        <v>125</v>
      </c>
      <c r="I2928">
        <v>27</v>
      </c>
      <c r="J2928">
        <v>119</v>
      </c>
      <c r="K2928" s="1" t="s">
        <v>27</v>
      </c>
      <c r="L2928" s="1" t="s">
        <v>24</v>
      </c>
      <c r="M2928" s="1" t="s">
        <v>6360</v>
      </c>
      <c r="N2928" s="1" t="s">
        <v>6373</v>
      </c>
    </row>
    <row r="2929" spans="1:14" x14ac:dyDescent="0.35">
      <c r="A2929">
        <v>1276077</v>
      </c>
      <c r="B2929" s="1" t="s">
        <v>6262</v>
      </c>
      <c r="C2929">
        <v>15978.6</v>
      </c>
      <c r="D2929">
        <v>221</v>
      </c>
      <c r="E2929" s="1" t="s">
        <v>6374</v>
      </c>
      <c r="F2929" s="1" t="s">
        <v>15</v>
      </c>
      <c r="G2929" s="1" t="s">
        <v>32</v>
      </c>
      <c r="H2929">
        <v>132</v>
      </c>
      <c r="I2929">
        <v>29</v>
      </c>
      <c r="J2929">
        <v>209</v>
      </c>
      <c r="K2929" s="1" t="s">
        <v>90</v>
      </c>
      <c r="L2929" s="1" t="s">
        <v>24</v>
      </c>
      <c r="M2929" s="1" t="s">
        <v>6360</v>
      </c>
      <c r="N2929" s="1" t="s">
        <v>6375</v>
      </c>
    </row>
    <row r="2930" spans="1:14" x14ac:dyDescent="0.35">
      <c r="A2930">
        <v>1276090</v>
      </c>
      <c r="B2930" s="1" t="s">
        <v>6262</v>
      </c>
      <c r="C2930">
        <v>15978.6</v>
      </c>
      <c r="D2930">
        <v>221</v>
      </c>
      <c r="E2930" s="1" t="s">
        <v>6376</v>
      </c>
      <c r="F2930" s="1" t="s">
        <v>15</v>
      </c>
      <c r="G2930" s="1" t="s">
        <v>22</v>
      </c>
      <c r="H2930">
        <v>47</v>
      </c>
      <c r="I2930">
        <v>15</v>
      </c>
      <c r="K2930" s="1" t="s">
        <v>23</v>
      </c>
      <c r="L2930" s="1" t="s">
        <v>120</v>
      </c>
      <c r="M2930" s="1" t="s">
        <v>6360</v>
      </c>
      <c r="N2930" s="1" t="s">
        <v>6377</v>
      </c>
    </row>
    <row r="2931" spans="1:14" x14ac:dyDescent="0.35">
      <c r="A2931">
        <v>1276079</v>
      </c>
      <c r="B2931" s="1" t="s">
        <v>6262</v>
      </c>
      <c r="C2931">
        <v>15978.6</v>
      </c>
      <c r="D2931">
        <v>221</v>
      </c>
      <c r="E2931" s="1" t="s">
        <v>6378</v>
      </c>
      <c r="F2931" s="1" t="s">
        <v>15</v>
      </c>
      <c r="G2931" s="1" t="s">
        <v>22</v>
      </c>
      <c r="H2931">
        <v>79</v>
      </c>
      <c r="I2931">
        <v>23</v>
      </c>
      <c r="J2931">
        <v>34</v>
      </c>
      <c r="K2931" s="1" t="s">
        <v>90</v>
      </c>
      <c r="L2931" s="1" t="s">
        <v>24</v>
      </c>
      <c r="M2931" s="1" t="s">
        <v>6360</v>
      </c>
      <c r="N2931" s="1" t="s">
        <v>6379</v>
      </c>
    </row>
    <row r="2932" spans="1:14" x14ac:dyDescent="0.35">
      <c r="A2932">
        <v>1276076</v>
      </c>
      <c r="B2932" s="1" t="s">
        <v>6262</v>
      </c>
      <c r="C2932">
        <v>15978.6</v>
      </c>
      <c r="D2932">
        <v>221</v>
      </c>
      <c r="E2932" s="1" t="s">
        <v>6380</v>
      </c>
      <c r="F2932" s="1" t="s">
        <v>15</v>
      </c>
      <c r="G2932" s="1" t="s">
        <v>22</v>
      </c>
      <c r="H2932">
        <v>68</v>
      </c>
      <c r="I2932">
        <v>79</v>
      </c>
      <c r="J2932">
        <v>54</v>
      </c>
      <c r="K2932" s="1" t="s">
        <v>90</v>
      </c>
      <c r="L2932" s="1" t="s">
        <v>24</v>
      </c>
      <c r="M2932" s="1" t="s">
        <v>6360</v>
      </c>
      <c r="N2932" s="1" t="s">
        <v>6381</v>
      </c>
    </row>
    <row r="2933" spans="1:14" x14ac:dyDescent="0.35">
      <c r="A2933">
        <v>1278002</v>
      </c>
      <c r="B2933" s="1" t="s">
        <v>6262</v>
      </c>
      <c r="C2933">
        <v>15978.6</v>
      </c>
      <c r="D2933">
        <v>221</v>
      </c>
      <c r="E2933" s="1" t="s">
        <v>6382</v>
      </c>
      <c r="F2933" s="1" t="s">
        <v>15</v>
      </c>
      <c r="G2933" s="1" t="s">
        <v>32</v>
      </c>
      <c r="H2933">
        <v>107</v>
      </c>
      <c r="I2933">
        <v>33</v>
      </c>
      <c r="J2933">
        <v>88</v>
      </c>
      <c r="K2933" s="1" t="s">
        <v>84</v>
      </c>
      <c r="L2933" s="1" t="s">
        <v>24</v>
      </c>
      <c r="M2933" s="1" t="s">
        <v>6383</v>
      </c>
      <c r="N2933" s="1" t="s">
        <v>6384</v>
      </c>
    </row>
    <row r="2934" spans="1:14" x14ac:dyDescent="0.35">
      <c r="A2934">
        <v>1275232</v>
      </c>
      <c r="B2934" s="1" t="s">
        <v>6262</v>
      </c>
      <c r="C2934">
        <v>15978.6</v>
      </c>
      <c r="D2934">
        <v>221</v>
      </c>
      <c r="E2934" s="1" t="s">
        <v>6385</v>
      </c>
      <c r="F2934" s="1" t="s">
        <v>220</v>
      </c>
      <c r="G2934" s="1" t="s">
        <v>32</v>
      </c>
      <c r="H2934">
        <v>27</v>
      </c>
      <c r="I2934">
        <v>14</v>
      </c>
      <c r="J2934">
        <v>18</v>
      </c>
      <c r="K2934" s="1" t="s">
        <v>84</v>
      </c>
      <c r="L2934" s="1" t="s">
        <v>24</v>
      </c>
      <c r="M2934" s="1" t="s">
        <v>6386</v>
      </c>
      <c r="N2934" s="1" t="s">
        <v>6387</v>
      </c>
    </row>
    <row r="2935" spans="1:14" x14ac:dyDescent="0.35">
      <c r="A2935">
        <v>1275921</v>
      </c>
      <c r="B2935" s="1" t="s">
        <v>6262</v>
      </c>
      <c r="C2935">
        <v>15978.6</v>
      </c>
      <c r="D2935">
        <v>221</v>
      </c>
      <c r="E2935" s="1" t="s">
        <v>6388</v>
      </c>
      <c r="F2935" s="1" t="s">
        <v>220</v>
      </c>
      <c r="G2935" s="1" t="s">
        <v>32</v>
      </c>
      <c r="H2935">
        <v>28</v>
      </c>
      <c r="I2935">
        <v>35</v>
      </c>
      <c r="J2935">
        <v>91</v>
      </c>
      <c r="K2935" s="1" t="s">
        <v>90</v>
      </c>
      <c r="L2935" s="1" t="s">
        <v>24</v>
      </c>
      <c r="M2935" s="1" t="s">
        <v>6386</v>
      </c>
      <c r="N2935" s="1" t="s">
        <v>6389</v>
      </c>
    </row>
    <row r="2936" spans="1:14" x14ac:dyDescent="0.35">
      <c r="A2936">
        <v>1275874</v>
      </c>
      <c r="B2936" s="1" t="s">
        <v>6262</v>
      </c>
      <c r="C2936">
        <v>15978.6</v>
      </c>
      <c r="D2936">
        <v>221</v>
      </c>
      <c r="E2936" s="1" t="s">
        <v>6390</v>
      </c>
      <c r="F2936" s="1" t="s">
        <v>119</v>
      </c>
      <c r="G2936" s="1" t="s">
        <v>16</v>
      </c>
      <c r="H2936">
        <v>12</v>
      </c>
      <c r="I2936">
        <v>16</v>
      </c>
      <c r="J2936">
        <v>65</v>
      </c>
      <c r="K2936" s="1" t="s">
        <v>49</v>
      </c>
      <c r="L2936" s="1" t="s">
        <v>24</v>
      </c>
      <c r="M2936" s="1" t="s">
        <v>6386</v>
      </c>
      <c r="N2936" s="1" t="s">
        <v>6391</v>
      </c>
    </row>
    <row r="2937" spans="1:14" x14ac:dyDescent="0.35">
      <c r="A2937">
        <v>1275932</v>
      </c>
      <c r="B2937" s="1" t="s">
        <v>6262</v>
      </c>
      <c r="C2937">
        <v>15978.6</v>
      </c>
      <c r="D2937">
        <v>221</v>
      </c>
      <c r="E2937" s="1" t="s">
        <v>6392</v>
      </c>
      <c r="F2937" s="1" t="s">
        <v>119</v>
      </c>
      <c r="G2937" s="1" t="s">
        <v>32</v>
      </c>
      <c r="H2937">
        <v>10</v>
      </c>
      <c r="I2937">
        <v>13</v>
      </c>
      <c r="J2937">
        <v>33</v>
      </c>
      <c r="K2937" s="1" t="s">
        <v>23</v>
      </c>
      <c r="L2937" s="1" t="s">
        <v>24</v>
      </c>
      <c r="M2937" s="1" t="s">
        <v>6386</v>
      </c>
      <c r="N2937" s="1" t="s">
        <v>6393</v>
      </c>
    </row>
    <row r="2938" spans="1:14" x14ac:dyDescent="0.35">
      <c r="A2938">
        <v>1275918</v>
      </c>
      <c r="B2938" s="1" t="s">
        <v>6262</v>
      </c>
      <c r="C2938">
        <v>15978.6</v>
      </c>
      <c r="D2938">
        <v>221</v>
      </c>
      <c r="E2938" s="1" t="s">
        <v>6394</v>
      </c>
      <c r="F2938" s="1" t="s">
        <v>1647</v>
      </c>
      <c r="G2938" s="1" t="s">
        <v>32</v>
      </c>
      <c r="H2938">
        <v>69</v>
      </c>
      <c r="I2938">
        <v>22</v>
      </c>
      <c r="J2938">
        <v>184</v>
      </c>
      <c r="K2938" s="1" t="s">
        <v>90</v>
      </c>
      <c r="L2938" s="1" t="s">
        <v>24</v>
      </c>
      <c r="M2938" s="1" t="s">
        <v>6386</v>
      </c>
      <c r="N2938" s="1" t="s">
        <v>6395</v>
      </c>
    </row>
    <row r="2939" spans="1:14" x14ac:dyDescent="0.35">
      <c r="A2939">
        <v>1275804</v>
      </c>
      <c r="B2939" s="1" t="s">
        <v>6262</v>
      </c>
      <c r="C2939">
        <v>15978.6</v>
      </c>
      <c r="D2939">
        <v>221</v>
      </c>
      <c r="E2939" s="1" t="s">
        <v>6396</v>
      </c>
      <c r="F2939" s="1" t="s">
        <v>71</v>
      </c>
      <c r="G2939" s="1" t="s">
        <v>32</v>
      </c>
      <c r="H2939">
        <v>55</v>
      </c>
      <c r="I2939">
        <v>8</v>
      </c>
      <c r="J2939">
        <v>32</v>
      </c>
      <c r="K2939" s="1" t="s">
        <v>90</v>
      </c>
      <c r="L2939" s="1" t="s">
        <v>24</v>
      </c>
      <c r="M2939" s="1" t="s">
        <v>6386</v>
      </c>
      <c r="N2939" s="1" t="s">
        <v>6397</v>
      </c>
    </row>
    <row r="2940" spans="1:14" x14ac:dyDescent="0.35">
      <c r="A2940">
        <v>1275783</v>
      </c>
      <c r="B2940" s="1" t="s">
        <v>6262</v>
      </c>
      <c r="C2940">
        <v>15978.6</v>
      </c>
      <c r="D2940">
        <v>221</v>
      </c>
      <c r="E2940" s="1" t="s">
        <v>6398</v>
      </c>
      <c r="F2940" s="1" t="s">
        <v>71</v>
      </c>
      <c r="G2940" s="1" t="s">
        <v>32</v>
      </c>
      <c r="H2940">
        <v>57</v>
      </c>
      <c r="I2940">
        <v>18</v>
      </c>
      <c r="J2940">
        <v>25</v>
      </c>
      <c r="K2940" s="1" t="s">
        <v>90</v>
      </c>
      <c r="L2940" s="1" t="s">
        <v>24</v>
      </c>
      <c r="M2940" s="1" t="s">
        <v>6386</v>
      </c>
      <c r="N2940" s="1" t="s">
        <v>6399</v>
      </c>
    </row>
    <row r="2941" spans="1:14" x14ac:dyDescent="0.35">
      <c r="A2941">
        <v>1275929</v>
      </c>
      <c r="B2941" s="1" t="s">
        <v>6262</v>
      </c>
      <c r="C2941">
        <v>15978.6</v>
      </c>
      <c r="D2941">
        <v>221</v>
      </c>
      <c r="E2941" s="1" t="s">
        <v>6400</v>
      </c>
      <c r="F2941" s="1" t="s">
        <v>71</v>
      </c>
      <c r="G2941" s="1" t="s">
        <v>32</v>
      </c>
      <c r="H2941">
        <v>45</v>
      </c>
      <c r="I2941">
        <v>20</v>
      </c>
      <c r="J2941">
        <v>42</v>
      </c>
      <c r="K2941" s="1" t="s">
        <v>90</v>
      </c>
      <c r="L2941" s="1" t="s">
        <v>24</v>
      </c>
      <c r="M2941" s="1" t="s">
        <v>6386</v>
      </c>
      <c r="N2941" s="1" t="s">
        <v>6401</v>
      </c>
    </row>
    <row r="2942" spans="1:14" x14ac:dyDescent="0.35">
      <c r="A2942">
        <v>1275998</v>
      </c>
      <c r="B2942" s="1" t="s">
        <v>6262</v>
      </c>
      <c r="C2942">
        <v>15978.6</v>
      </c>
      <c r="D2942">
        <v>221</v>
      </c>
      <c r="E2942" s="1" t="s">
        <v>6402</v>
      </c>
      <c r="F2942" s="1" t="s">
        <v>71</v>
      </c>
      <c r="G2942" s="1" t="s">
        <v>32</v>
      </c>
      <c r="H2942">
        <v>76</v>
      </c>
      <c r="I2942">
        <v>32</v>
      </c>
      <c r="J2942">
        <v>263</v>
      </c>
      <c r="K2942" s="1" t="s">
        <v>90</v>
      </c>
      <c r="L2942" s="1" t="s">
        <v>24</v>
      </c>
      <c r="M2942" s="1" t="s">
        <v>6386</v>
      </c>
      <c r="N2942" s="1" t="s">
        <v>6403</v>
      </c>
    </row>
    <row r="2943" spans="1:14" x14ac:dyDescent="0.35">
      <c r="A2943">
        <v>1275221</v>
      </c>
      <c r="B2943" s="1" t="s">
        <v>6262</v>
      </c>
      <c r="C2943">
        <v>15978.6</v>
      </c>
      <c r="D2943">
        <v>221</v>
      </c>
      <c r="E2943" s="1" t="s">
        <v>6404</v>
      </c>
      <c r="F2943" s="1" t="s">
        <v>129</v>
      </c>
      <c r="G2943" s="1" t="s">
        <v>130</v>
      </c>
      <c r="H2943">
        <v>450</v>
      </c>
      <c r="I2943">
        <v>30</v>
      </c>
      <c r="J2943">
        <v>441</v>
      </c>
      <c r="K2943" s="1" t="s">
        <v>124</v>
      </c>
      <c r="L2943" s="1" t="s">
        <v>24</v>
      </c>
      <c r="M2943" s="1" t="s">
        <v>6386</v>
      </c>
      <c r="N2943" s="1" t="s">
        <v>6405</v>
      </c>
    </row>
    <row r="2944" spans="1:14" x14ac:dyDescent="0.35">
      <c r="A2944">
        <v>1275999</v>
      </c>
      <c r="B2944" s="1" t="s">
        <v>6262</v>
      </c>
      <c r="C2944">
        <v>15978.6</v>
      </c>
      <c r="D2944">
        <v>221</v>
      </c>
      <c r="E2944" s="1" t="s">
        <v>6406</v>
      </c>
      <c r="F2944" s="1" t="s">
        <v>129</v>
      </c>
      <c r="G2944" s="1" t="s">
        <v>32</v>
      </c>
      <c r="H2944">
        <v>36</v>
      </c>
      <c r="I2944">
        <v>19</v>
      </c>
      <c r="J2944">
        <v>30</v>
      </c>
      <c r="K2944" s="1" t="s">
        <v>84</v>
      </c>
      <c r="L2944" s="1" t="s">
        <v>24</v>
      </c>
      <c r="M2944" s="1" t="s">
        <v>6386</v>
      </c>
      <c r="N2944" s="1" t="s">
        <v>6407</v>
      </c>
    </row>
    <row r="2945" spans="1:14" x14ac:dyDescent="0.35">
      <c r="A2945">
        <v>1275922</v>
      </c>
      <c r="B2945" s="1" t="s">
        <v>6262</v>
      </c>
      <c r="C2945">
        <v>15978.6</v>
      </c>
      <c r="D2945">
        <v>221</v>
      </c>
      <c r="E2945" s="1" t="s">
        <v>6408</v>
      </c>
      <c r="F2945" s="1" t="s">
        <v>334</v>
      </c>
      <c r="G2945" s="1" t="s">
        <v>16</v>
      </c>
      <c r="H2945">
        <v>30</v>
      </c>
      <c r="I2945">
        <v>11</v>
      </c>
      <c r="J2945">
        <v>127</v>
      </c>
      <c r="K2945" s="1" t="s">
        <v>124</v>
      </c>
      <c r="L2945" s="1" t="s">
        <v>18</v>
      </c>
      <c r="M2945" s="1" t="s">
        <v>6386</v>
      </c>
      <c r="N2945" s="1" t="s">
        <v>6409</v>
      </c>
    </row>
    <row r="2946" spans="1:14" x14ac:dyDescent="0.35">
      <c r="A2946">
        <v>1275309</v>
      </c>
      <c r="B2946" s="1" t="s">
        <v>6262</v>
      </c>
      <c r="C2946">
        <v>15978.6</v>
      </c>
      <c r="D2946">
        <v>221</v>
      </c>
      <c r="E2946" s="1" t="s">
        <v>6410</v>
      </c>
      <c r="F2946" s="1" t="s">
        <v>334</v>
      </c>
      <c r="G2946" s="1" t="s">
        <v>32</v>
      </c>
      <c r="H2946">
        <v>17</v>
      </c>
      <c r="I2946">
        <v>6</v>
      </c>
      <c r="J2946">
        <v>32</v>
      </c>
      <c r="K2946" s="1" t="s">
        <v>84</v>
      </c>
      <c r="L2946" s="1" t="s">
        <v>24</v>
      </c>
      <c r="M2946" s="1" t="s">
        <v>6386</v>
      </c>
      <c r="N2946" s="1" t="s">
        <v>6411</v>
      </c>
    </row>
    <row r="2947" spans="1:14" x14ac:dyDescent="0.35">
      <c r="A2947">
        <v>1275914</v>
      </c>
      <c r="B2947" s="1" t="s">
        <v>6262</v>
      </c>
      <c r="C2947">
        <v>15978.6</v>
      </c>
      <c r="D2947">
        <v>221</v>
      </c>
      <c r="E2947" s="1" t="s">
        <v>6412</v>
      </c>
      <c r="F2947" s="1" t="s">
        <v>334</v>
      </c>
      <c r="G2947" s="1" t="s">
        <v>32</v>
      </c>
      <c r="H2947">
        <v>16</v>
      </c>
      <c r="I2947">
        <v>17</v>
      </c>
      <c r="J2947">
        <v>51</v>
      </c>
      <c r="K2947" s="1" t="s">
        <v>23</v>
      </c>
      <c r="L2947" s="1" t="s">
        <v>24</v>
      </c>
      <c r="M2947" s="1" t="s">
        <v>6386</v>
      </c>
      <c r="N2947" s="1" t="s">
        <v>6413</v>
      </c>
    </row>
    <row r="2948" spans="1:14" x14ac:dyDescent="0.35">
      <c r="A2948">
        <v>1275898</v>
      </c>
      <c r="B2948" s="1" t="s">
        <v>6262</v>
      </c>
      <c r="C2948">
        <v>15978.6</v>
      </c>
      <c r="D2948">
        <v>221</v>
      </c>
      <c r="E2948" s="1" t="s">
        <v>6414</v>
      </c>
      <c r="F2948" s="1" t="s">
        <v>334</v>
      </c>
      <c r="G2948" s="1" t="s">
        <v>32</v>
      </c>
      <c r="H2948">
        <v>16</v>
      </c>
      <c r="I2948">
        <v>19</v>
      </c>
      <c r="J2948">
        <v>169</v>
      </c>
      <c r="K2948" s="1" t="s">
        <v>90</v>
      </c>
      <c r="L2948" s="1" t="s">
        <v>24</v>
      </c>
      <c r="M2948" s="1" t="s">
        <v>6386</v>
      </c>
      <c r="N2948" s="1" t="s">
        <v>6415</v>
      </c>
    </row>
    <row r="2949" spans="1:14" x14ac:dyDescent="0.35">
      <c r="A2949">
        <v>1275928</v>
      </c>
      <c r="B2949" s="1" t="s">
        <v>6262</v>
      </c>
      <c r="C2949">
        <v>15978.6</v>
      </c>
      <c r="D2949">
        <v>221</v>
      </c>
      <c r="E2949" s="1" t="s">
        <v>6416</v>
      </c>
      <c r="F2949" s="1" t="s">
        <v>334</v>
      </c>
      <c r="G2949" s="1" t="s">
        <v>32</v>
      </c>
      <c r="H2949">
        <v>16</v>
      </c>
      <c r="I2949">
        <v>5</v>
      </c>
      <c r="J2949">
        <v>35</v>
      </c>
      <c r="K2949" s="1" t="s">
        <v>90</v>
      </c>
      <c r="L2949" s="1" t="s">
        <v>24</v>
      </c>
      <c r="M2949" s="1" t="s">
        <v>6386</v>
      </c>
      <c r="N2949" s="1" t="s">
        <v>6417</v>
      </c>
    </row>
    <row r="2950" spans="1:14" x14ac:dyDescent="0.35">
      <c r="A2950">
        <v>1275933</v>
      </c>
      <c r="B2950" s="1" t="s">
        <v>6262</v>
      </c>
      <c r="C2950">
        <v>15978.6</v>
      </c>
      <c r="D2950">
        <v>221</v>
      </c>
      <c r="E2950" s="1" t="s">
        <v>6418</v>
      </c>
      <c r="F2950" s="1" t="s">
        <v>1431</v>
      </c>
      <c r="G2950" s="1" t="s">
        <v>16</v>
      </c>
      <c r="H2950">
        <v>50</v>
      </c>
      <c r="I2950">
        <v>20</v>
      </c>
      <c r="J2950">
        <v>137</v>
      </c>
      <c r="K2950" s="1" t="s">
        <v>124</v>
      </c>
      <c r="L2950" s="1" t="s">
        <v>24</v>
      </c>
      <c r="M2950" s="1" t="s">
        <v>6386</v>
      </c>
      <c r="N2950" s="1" t="s">
        <v>6419</v>
      </c>
    </row>
    <row r="2951" spans="1:14" x14ac:dyDescent="0.35">
      <c r="A2951">
        <v>1275889</v>
      </c>
      <c r="B2951" s="1" t="s">
        <v>6262</v>
      </c>
      <c r="C2951">
        <v>15978.6</v>
      </c>
      <c r="D2951">
        <v>221</v>
      </c>
      <c r="E2951" s="1" t="s">
        <v>6420</v>
      </c>
      <c r="F2951" s="1" t="s">
        <v>15</v>
      </c>
      <c r="G2951" s="1" t="s">
        <v>130</v>
      </c>
      <c r="H2951">
        <v>339</v>
      </c>
      <c r="I2951">
        <v>121</v>
      </c>
      <c r="J2951">
        <v>826</v>
      </c>
      <c r="K2951" s="1" t="s">
        <v>90</v>
      </c>
      <c r="L2951" s="1" t="s">
        <v>24</v>
      </c>
      <c r="M2951" s="1" t="s">
        <v>6386</v>
      </c>
      <c r="N2951" s="1" t="s">
        <v>6421</v>
      </c>
    </row>
    <row r="2952" spans="1:14" x14ac:dyDescent="0.35">
      <c r="A2952">
        <v>1275655</v>
      </c>
      <c r="B2952" s="1" t="s">
        <v>6262</v>
      </c>
      <c r="C2952">
        <v>15978.6</v>
      </c>
      <c r="D2952">
        <v>221</v>
      </c>
      <c r="E2952" s="1" t="s">
        <v>6422</v>
      </c>
      <c r="F2952" s="1" t="s">
        <v>15</v>
      </c>
      <c r="G2952" s="1" t="s">
        <v>130</v>
      </c>
      <c r="H2952">
        <v>758</v>
      </c>
      <c r="I2952">
        <v>158</v>
      </c>
      <c r="J2952">
        <v>2489</v>
      </c>
      <c r="K2952" s="1" t="s">
        <v>339</v>
      </c>
      <c r="L2952" s="1" t="s">
        <v>120</v>
      </c>
      <c r="M2952" s="1" t="s">
        <v>6386</v>
      </c>
      <c r="N2952" s="1" t="s">
        <v>6423</v>
      </c>
    </row>
    <row r="2953" spans="1:14" x14ac:dyDescent="0.35">
      <c r="A2953">
        <v>1275911</v>
      </c>
      <c r="B2953" s="1" t="s">
        <v>6262</v>
      </c>
      <c r="C2953">
        <v>15978.6</v>
      </c>
      <c r="D2953">
        <v>221</v>
      </c>
      <c r="E2953" s="1" t="s">
        <v>6424</v>
      </c>
      <c r="F2953" s="1" t="s">
        <v>15</v>
      </c>
      <c r="G2953" s="1" t="s">
        <v>16</v>
      </c>
      <c r="H2953">
        <v>255</v>
      </c>
      <c r="I2953">
        <v>134</v>
      </c>
      <c r="J2953">
        <v>141</v>
      </c>
      <c r="K2953" s="1" t="s">
        <v>90</v>
      </c>
      <c r="L2953" s="1" t="s">
        <v>24</v>
      </c>
      <c r="M2953" s="1" t="s">
        <v>6386</v>
      </c>
      <c r="N2953" s="1" t="s">
        <v>6425</v>
      </c>
    </row>
    <row r="2954" spans="1:14" x14ac:dyDescent="0.35">
      <c r="A2954">
        <v>1275046</v>
      </c>
      <c r="B2954" s="1" t="s">
        <v>6262</v>
      </c>
      <c r="C2954">
        <v>15978.6</v>
      </c>
      <c r="D2954">
        <v>221</v>
      </c>
      <c r="E2954" s="1" t="s">
        <v>6426</v>
      </c>
      <c r="F2954" s="1" t="s">
        <v>15</v>
      </c>
      <c r="G2954" s="1" t="s">
        <v>16</v>
      </c>
      <c r="H2954">
        <v>205</v>
      </c>
      <c r="I2954">
        <v>55</v>
      </c>
      <c r="J2954">
        <v>72</v>
      </c>
      <c r="K2954" s="1" t="s">
        <v>146</v>
      </c>
      <c r="L2954" s="1" t="s">
        <v>120</v>
      </c>
      <c r="M2954" s="1" t="s">
        <v>6386</v>
      </c>
      <c r="N2954" s="1" t="s">
        <v>6427</v>
      </c>
    </row>
    <row r="2955" spans="1:14" x14ac:dyDescent="0.35">
      <c r="A2955">
        <v>1275013</v>
      </c>
      <c r="B2955" s="1" t="s">
        <v>6262</v>
      </c>
      <c r="C2955">
        <v>15978.6</v>
      </c>
      <c r="D2955">
        <v>221</v>
      </c>
      <c r="E2955" s="1" t="s">
        <v>6428</v>
      </c>
      <c r="F2955" s="1" t="s">
        <v>15</v>
      </c>
      <c r="G2955" s="1" t="s">
        <v>16</v>
      </c>
      <c r="H2955">
        <v>268</v>
      </c>
      <c r="I2955">
        <v>95</v>
      </c>
      <c r="J2955">
        <v>1404</v>
      </c>
      <c r="K2955" s="1" t="s">
        <v>137</v>
      </c>
      <c r="L2955" s="1" t="s">
        <v>18</v>
      </c>
      <c r="M2955" s="1" t="s">
        <v>6386</v>
      </c>
      <c r="N2955" s="1" t="s">
        <v>6429</v>
      </c>
    </row>
    <row r="2956" spans="1:14" x14ac:dyDescent="0.35">
      <c r="A2956">
        <v>1275072</v>
      </c>
      <c r="B2956" s="1" t="s">
        <v>6262</v>
      </c>
      <c r="C2956">
        <v>15978.6</v>
      </c>
      <c r="D2956">
        <v>221</v>
      </c>
      <c r="E2956" s="1" t="s">
        <v>6430</v>
      </c>
      <c r="F2956" s="1" t="s">
        <v>15</v>
      </c>
      <c r="G2956" s="1" t="s">
        <v>16</v>
      </c>
      <c r="H2956">
        <v>210</v>
      </c>
      <c r="I2956">
        <v>73</v>
      </c>
      <c r="J2956">
        <v>561</v>
      </c>
      <c r="K2956" s="1" t="s">
        <v>572</v>
      </c>
      <c r="L2956" s="1" t="s">
        <v>24</v>
      </c>
      <c r="M2956" s="1" t="s">
        <v>6386</v>
      </c>
      <c r="N2956" s="1" t="s">
        <v>6431</v>
      </c>
    </row>
    <row r="2957" spans="1:14" x14ac:dyDescent="0.35">
      <c r="A2957">
        <v>1275852</v>
      </c>
      <c r="B2957" s="1" t="s">
        <v>6262</v>
      </c>
      <c r="C2957">
        <v>15978.6</v>
      </c>
      <c r="D2957">
        <v>221</v>
      </c>
      <c r="E2957" s="1" t="s">
        <v>6432</v>
      </c>
      <c r="F2957" s="1" t="s">
        <v>15</v>
      </c>
      <c r="G2957" s="1" t="s">
        <v>16</v>
      </c>
      <c r="H2957">
        <v>227</v>
      </c>
      <c r="I2957">
        <v>136</v>
      </c>
      <c r="J2957">
        <v>856</v>
      </c>
      <c r="K2957" s="1" t="s">
        <v>23</v>
      </c>
      <c r="L2957" s="1" t="s">
        <v>24</v>
      </c>
      <c r="M2957" s="1" t="s">
        <v>6386</v>
      </c>
      <c r="N2957" s="1" t="s">
        <v>6433</v>
      </c>
    </row>
    <row r="2958" spans="1:14" x14ac:dyDescent="0.35">
      <c r="A2958">
        <v>1275298</v>
      </c>
      <c r="B2958" s="1" t="s">
        <v>6262</v>
      </c>
      <c r="C2958">
        <v>15978.6</v>
      </c>
      <c r="D2958">
        <v>221</v>
      </c>
      <c r="E2958" s="1" t="s">
        <v>6434</v>
      </c>
      <c r="F2958" s="1" t="s">
        <v>15</v>
      </c>
      <c r="G2958" s="1" t="s">
        <v>16</v>
      </c>
      <c r="H2958">
        <v>261</v>
      </c>
      <c r="I2958">
        <v>78</v>
      </c>
      <c r="J2958">
        <v>448</v>
      </c>
      <c r="K2958" s="1" t="s">
        <v>90</v>
      </c>
      <c r="L2958" s="1" t="s">
        <v>24</v>
      </c>
      <c r="M2958" s="1" t="s">
        <v>6386</v>
      </c>
      <c r="N2958" s="1" t="s">
        <v>6435</v>
      </c>
    </row>
    <row r="2959" spans="1:14" x14ac:dyDescent="0.35">
      <c r="A2959">
        <v>1275997</v>
      </c>
      <c r="B2959" s="1" t="s">
        <v>6262</v>
      </c>
      <c r="C2959">
        <v>15978.6</v>
      </c>
      <c r="D2959">
        <v>221</v>
      </c>
      <c r="E2959" s="1" t="s">
        <v>2744</v>
      </c>
      <c r="F2959" s="1" t="s">
        <v>15</v>
      </c>
      <c r="G2959" s="1" t="s">
        <v>16</v>
      </c>
      <c r="H2959">
        <v>327</v>
      </c>
      <c r="I2959">
        <v>84</v>
      </c>
      <c r="J2959">
        <v>158</v>
      </c>
      <c r="K2959" s="1" t="s">
        <v>84</v>
      </c>
      <c r="L2959" s="1" t="s">
        <v>24</v>
      </c>
      <c r="M2959" s="1" t="s">
        <v>6386</v>
      </c>
      <c r="N2959" s="1" t="s">
        <v>6436</v>
      </c>
    </row>
    <row r="2960" spans="1:14" x14ac:dyDescent="0.35">
      <c r="A2960">
        <v>1275035</v>
      </c>
      <c r="B2960" s="1" t="s">
        <v>6262</v>
      </c>
      <c r="C2960">
        <v>15978.6</v>
      </c>
      <c r="D2960">
        <v>221</v>
      </c>
      <c r="E2960" s="1" t="s">
        <v>6437</v>
      </c>
      <c r="F2960" s="1" t="s">
        <v>15</v>
      </c>
      <c r="G2960" s="1" t="s">
        <v>16</v>
      </c>
      <c r="H2960">
        <v>200</v>
      </c>
      <c r="I2960">
        <v>61</v>
      </c>
      <c r="J2960">
        <v>476</v>
      </c>
      <c r="K2960" s="1" t="s">
        <v>27</v>
      </c>
      <c r="L2960" s="1" t="s">
        <v>120</v>
      </c>
      <c r="M2960" s="1" t="s">
        <v>6386</v>
      </c>
      <c r="N2960" s="1" t="s">
        <v>6438</v>
      </c>
    </row>
    <row r="2961" spans="1:14" x14ac:dyDescent="0.35">
      <c r="A2961">
        <v>1275622</v>
      </c>
      <c r="B2961" s="1" t="s">
        <v>6262</v>
      </c>
      <c r="C2961">
        <v>15978.6</v>
      </c>
      <c r="D2961">
        <v>221</v>
      </c>
      <c r="E2961" s="1" t="s">
        <v>6439</v>
      </c>
      <c r="F2961" s="1" t="s">
        <v>15</v>
      </c>
      <c r="G2961" s="1" t="s">
        <v>16</v>
      </c>
      <c r="H2961">
        <v>224</v>
      </c>
      <c r="I2961">
        <v>98</v>
      </c>
      <c r="J2961">
        <v>458</v>
      </c>
      <c r="K2961" s="1" t="s">
        <v>90</v>
      </c>
      <c r="L2961" s="1" t="s">
        <v>24</v>
      </c>
      <c r="M2961" s="1" t="s">
        <v>6386</v>
      </c>
      <c r="N2961" s="1" t="s">
        <v>6440</v>
      </c>
    </row>
    <row r="2962" spans="1:14" x14ac:dyDescent="0.35">
      <c r="A2962">
        <v>1275516</v>
      </c>
      <c r="B2962" s="1" t="s">
        <v>6262</v>
      </c>
      <c r="C2962">
        <v>15978.6</v>
      </c>
      <c r="D2962">
        <v>221</v>
      </c>
      <c r="E2962" s="1" t="s">
        <v>6325</v>
      </c>
      <c r="F2962" s="1" t="s">
        <v>15</v>
      </c>
      <c r="G2962" s="1" t="s">
        <v>32</v>
      </c>
      <c r="H2962">
        <v>163</v>
      </c>
      <c r="I2962">
        <v>81</v>
      </c>
      <c r="J2962">
        <v>432</v>
      </c>
      <c r="K2962" s="1" t="s">
        <v>84</v>
      </c>
      <c r="L2962" s="1" t="s">
        <v>24</v>
      </c>
      <c r="M2962" s="1" t="s">
        <v>6386</v>
      </c>
      <c r="N2962" s="1" t="s">
        <v>6441</v>
      </c>
    </row>
    <row r="2963" spans="1:14" x14ac:dyDescent="0.35">
      <c r="A2963">
        <v>1275772</v>
      </c>
      <c r="B2963" s="1" t="s">
        <v>6262</v>
      </c>
      <c r="C2963">
        <v>15978.6</v>
      </c>
      <c r="D2963">
        <v>221</v>
      </c>
      <c r="E2963" s="1" t="s">
        <v>6442</v>
      </c>
      <c r="F2963" s="1" t="s">
        <v>15</v>
      </c>
      <c r="G2963" s="1" t="s">
        <v>32</v>
      </c>
      <c r="H2963">
        <v>112</v>
      </c>
      <c r="I2963">
        <v>35</v>
      </c>
      <c r="J2963">
        <v>36</v>
      </c>
      <c r="K2963" s="1" t="s">
        <v>84</v>
      </c>
      <c r="L2963" s="1" t="s">
        <v>24</v>
      </c>
      <c r="M2963" s="1" t="s">
        <v>6386</v>
      </c>
      <c r="N2963" s="1" t="s">
        <v>6443</v>
      </c>
    </row>
    <row r="2964" spans="1:14" x14ac:dyDescent="0.35">
      <c r="A2964">
        <v>1275930</v>
      </c>
      <c r="B2964" s="1" t="s">
        <v>6262</v>
      </c>
      <c r="C2964">
        <v>15978.6</v>
      </c>
      <c r="D2964">
        <v>221</v>
      </c>
      <c r="E2964" s="1" t="s">
        <v>6444</v>
      </c>
      <c r="F2964" s="1" t="s">
        <v>15</v>
      </c>
      <c r="G2964" s="1" t="s">
        <v>32</v>
      </c>
      <c r="H2964">
        <v>135</v>
      </c>
      <c r="I2964">
        <v>72</v>
      </c>
      <c r="J2964">
        <v>230</v>
      </c>
      <c r="K2964" s="1" t="s">
        <v>23</v>
      </c>
      <c r="L2964" s="1" t="s">
        <v>24</v>
      </c>
      <c r="M2964" s="1" t="s">
        <v>6386</v>
      </c>
      <c r="N2964" s="1" t="s">
        <v>6445</v>
      </c>
    </row>
    <row r="2965" spans="1:14" x14ac:dyDescent="0.35">
      <c r="A2965">
        <v>1275841</v>
      </c>
      <c r="B2965" s="1" t="s">
        <v>6262</v>
      </c>
      <c r="C2965">
        <v>15978.6</v>
      </c>
      <c r="D2965">
        <v>221</v>
      </c>
      <c r="E2965" s="1" t="s">
        <v>6446</v>
      </c>
      <c r="F2965" s="1" t="s">
        <v>15</v>
      </c>
      <c r="G2965" s="1" t="s">
        <v>32</v>
      </c>
      <c r="H2965">
        <v>115</v>
      </c>
      <c r="I2965">
        <v>28</v>
      </c>
      <c r="J2965">
        <v>170</v>
      </c>
      <c r="K2965" s="1" t="s">
        <v>90</v>
      </c>
      <c r="L2965" s="1" t="s">
        <v>24</v>
      </c>
      <c r="M2965" s="1" t="s">
        <v>6386</v>
      </c>
      <c r="N2965" s="1" t="s">
        <v>6447</v>
      </c>
    </row>
    <row r="2966" spans="1:14" x14ac:dyDescent="0.35">
      <c r="A2966">
        <v>1275931</v>
      </c>
      <c r="B2966" s="1" t="s">
        <v>6262</v>
      </c>
      <c r="C2966">
        <v>15978.6</v>
      </c>
      <c r="D2966">
        <v>221</v>
      </c>
      <c r="E2966" s="1" t="s">
        <v>6448</v>
      </c>
      <c r="F2966" s="1" t="s">
        <v>15</v>
      </c>
      <c r="G2966" s="1" t="s">
        <v>32</v>
      </c>
      <c r="H2966">
        <v>175</v>
      </c>
      <c r="I2966">
        <v>75</v>
      </c>
      <c r="J2966">
        <v>118</v>
      </c>
      <c r="K2966" s="1" t="s">
        <v>90</v>
      </c>
      <c r="L2966" s="1" t="s">
        <v>24</v>
      </c>
      <c r="M2966" s="1" t="s">
        <v>6386</v>
      </c>
      <c r="N2966" s="1" t="s">
        <v>6449</v>
      </c>
    </row>
    <row r="2967" spans="1:14" x14ac:dyDescent="0.35">
      <c r="A2967">
        <v>1275888</v>
      </c>
      <c r="B2967" s="1" t="s">
        <v>6262</v>
      </c>
      <c r="C2967">
        <v>15978.6</v>
      </c>
      <c r="D2967">
        <v>221</v>
      </c>
      <c r="E2967" s="1" t="s">
        <v>6450</v>
      </c>
      <c r="F2967" s="1" t="s">
        <v>15</v>
      </c>
      <c r="G2967" s="1" t="s">
        <v>32</v>
      </c>
      <c r="H2967">
        <v>130</v>
      </c>
      <c r="I2967">
        <v>98</v>
      </c>
      <c r="J2967">
        <v>203</v>
      </c>
      <c r="K2967" s="1" t="s">
        <v>90</v>
      </c>
      <c r="L2967" s="1" t="s">
        <v>24</v>
      </c>
      <c r="M2967" s="1" t="s">
        <v>6386</v>
      </c>
      <c r="N2967" s="1" t="s">
        <v>6451</v>
      </c>
    </row>
    <row r="2968" spans="1:14" x14ac:dyDescent="0.35">
      <c r="A2968">
        <v>1275890</v>
      </c>
      <c r="B2968" s="1" t="s">
        <v>6262</v>
      </c>
      <c r="C2968">
        <v>15978.6</v>
      </c>
      <c r="D2968">
        <v>221</v>
      </c>
      <c r="E2968" s="1" t="s">
        <v>6452</v>
      </c>
      <c r="F2968" s="1" t="s">
        <v>15</v>
      </c>
      <c r="G2968" s="1" t="s">
        <v>32</v>
      </c>
      <c r="H2968">
        <v>269</v>
      </c>
      <c r="I2968">
        <v>91</v>
      </c>
      <c r="J2968">
        <v>710</v>
      </c>
      <c r="K2968" s="1" t="s">
        <v>90</v>
      </c>
      <c r="L2968" s="1" t="s">
        <v>24</v>
      </c>
      <c r="M2968" s="1" t="s">
        <v>6386</v>
      </c>
      <c r="N2968" s="1" t="s">
        <v>6453</v>
      </c>
    </row>
    <row r="2969" spans="1:14" x14ac:dyDescent="0.35">
      <c r="A2969">
        <v>1275750</v>
      </c>
      <c r="B2969" s="1" t="s">
        <v>6262</v>
      </c>
      <c r="C2969">
        <v>15978.6</v>
      </c>
      <c r="D2969">
        <v>221</v>
      </c>
      <c r="E2969" s="1" t="s">
        <v>6454</v>
      </c>
      <c r="F2969" s="1" t="s">
        <v>15</v>
      </c>
      <c r="G2969" s="1" t="s">
        <v>32</v>
      </c>
      <c r="H2969">
        <v>100</v>
      </c>
      <c r="I2969">
        <v>27</v>
      </c>
      <c r="J2969">
        <v>75</v>
      </c>
      <c r="K2969" s="1" t="s">
        <v>84</v>
      </c>
      <c r="L2969" s="1" t="s">
        <v>24</v>
      </c>
      <c r="M2969" s="1" t="s">
        <v>6386</v>
      </c>
      <c r="N2969" s="1" t="s">
        <v>6455</v>
      </c>
    </row>
    <row r="2970" spans="1:14" x14ac:dyDescent="0.35">
      <c r="A2970">
        <v>1275899</v>
      </c>
      <c r="B2970" s="1" t="s">
        <v>6262</v>
      </c>
      <c r="C2970">
        <v>15978.6</v>
      </c>
      <c r="D2970">
        <v>221</v>
      </c>
      <c r="E2970" s="1" t="s">
        <v>6456</v>
      </c>
      <c r="F2970" s="1" t="s">
        <v>15</v>
      </c>
      <c r="G2970" s="1" t="s">
        <v>32</v>
      </c>
      <c r="H2970">
        <v>106</v>
      </c>
      <c r="I2970">
        <v>27</v>
      </c>
      <c r="J2970">
        <v>39</v>
      </c>
      <c r="K2970" s="1" t="s">
        <v>84</v>
      </c>
      <c r="L2970" s="1" t="s">
        <v>24</v>
      </c>
      <c r="M2970" s="1" t="s">
        <v>6386</v>
      </c>
      <c r="N2970" s="1" t="s">
        <v>6457</v>
      </c>
    </row>
    <row r="2971" spans="1:14" x14ac:dyDescent="0.35">
      <c r="A2971">
        <v>1275012</v>
      </c>
      <c r="B2971" s="1" t="s">
        <v>6262</v>
      </c>
      <c r="C2971">
        <v>15978.6</v>
      </c>
      <c r="D2971">
        <v>221</v>
      </c>
      <c r="E2971" s="1" t="s">
        <v>6458</v>
      </c>
      <c r="F2971" s="1" t="s">
        <v>15</v>
      </c>
      <c r="G2971" s="1" t="s">
        <v>32</v>
      </c>
      <c r="H2971">
        <v>100</v>
      </c>
      <c r="I2971">
        <v>25</v>
      </c>
      <c r="K2971" s="1" t="s">
        <v>137</v>
      </c>
      <c r="L2971" s="1" t="s">
        <v>24</v>
      </c>
      <c r="M2971" s="1" t="s">
        <v>6386</v>
      </c>
      <c r="N2971" s="1" t="s">
        <v>6459</v>
      </c>
    </row>
    <row r="2972" spans="1:14" x14ac:dyDescent="0.35">
      <c r="A2972">
        <v>1275163</v>
      </c>
      <c r="B2972" s="1" t="s">
        <v>6262</v>
      </c>
      <c r="C2972">
        <v>15978.6</v>
      </c>
      <c r="D2972">
        <v>221</v>
      </c>
      <c r="E2972" s="1" t="s">
        <v>6460</v>
      </c>
      <c r="F2972" s="1" t="s">
        <v>15</v>
      </c>
      <c r="G2972" s="1" t="s">
        <v>32</v>
      </c>
      <c r="H2972">
        <v>102</v>
      </c>
      <c r="I2972">
        <v>64</v>
      </c>
      <c r="J2972">
        <v>354</v>
      </c>
      <c r="K2972" s="1" t="s">
        <v>84</v>
      </c>
      <c r="L2972" s="1" t="s">
        <v>24</v>
      </c>
      <c r="M2972" s="1" t="s">
        <v>6386</v>
      </c>
      <c r="N2972" s="1" t="s">
        <v>6461</v>
      </c>
    </row>
    <row r="2973" spans="1:14" x14ac:dyDescent="0.35">
      <c r="A2973">
        <v>1275141</v>
      </c>
      <c r="B2973" s="1" t="s">
        <v>6262</v>
      </c>
      <c r="C2973">
        <v>15978.6</v>
      </c>
      <c r="D2973">
        <v>221</v>
      </c>
      <c r="E2973" s="1" t="s">
        <v>6462</v>
      </c>
      <c r="F2973" s="1" t="s">
        <v>15</v>
      </c>
      <c r="G2973" s="1" t="s">
        <v>32</v>
      </c>
      <c r="H2973">
        <v>100</v>
      </c>
      <c r="I2973">
        <v>28</v>
      </c>
      <c r="J2973">
        <v>78</v>
      </c>
      <c r="K2973" s="1" t="s">
        <v>191</v>
      </c>
      <c r="L2973" s="1" t="s">
        <v>24</v>
      </c>
      <c r="M2973" s="1" t="s">
        <v>6386</v>
      </c>
      <c r="N2973" s="1" t="s">
        <v>6463</v>
      </c>
    </row>
    <row r="2974" spans="1:14" x14ac:dyDescent="0.35">
      <c r="A2974">
        <v>1275996</v>
      </c>
      <c r="B2974" s="1" t="s">
        <v>6262</v>
      </c>
      <c r="C2974">
        <v>15978.6</v>
      </c>
      <c r="D2974">
        <v>221</v>
      </c>
      <c r="E2974" s="1" t="s">
        <v>6464</v>
      </c>
      <c r="F2974" s="1" t="s">
        <v>15</v>
      </c>
      <c r="G2974" s="1" t="s">
        <v>32</v>
      </c>
      <c r="H2974">
        <v>109</v>
      </c>
      <c r="I2974">
        <v>35</v>
      </c>
      <c r="J2974">
        <v>153</v>
      </c>
      <c r="K2974" s="1" t="s">
        <v>84</v>
      </c>
      <c r="L2974" s="1" t="s">
        <v>24</v>
      </c>
      <c r="M2974" s="1" t="s">
        <v>6386</v>
      </c>
      <c r="N2974" s="1" t="s">
        <v>6465</v>
      </c>
    </row>
    <row r="2975" spans="1:14" x14ac:dyDescent="0.35">
      <c r="A2975">
        <v>1275094</v>
      </c>
      <c r="B2975" s="1" t="s">
        <v>6262</v>
      </c>
      <c r="C2975">
        <v>15978.6</v>
      </c>
      <c r="D2975">
        <v>221</v>
      </c>
      <c r="E2975" s="1" t="s">
        <v>6466</v>
      </c>
      <c r="F2975" s="1" t="s">
        <v>15</v>
      </c>
      <c r="G2975" s="1" t="s">
        <v>32</v>
      </c>
      <c r="H2975">
        <v>178</v>
      </c>
      <c r="I2975">
        <v>55</v>
      </c>
      <c r="J2975">
        <v>227</v>
      </c>
      <c r="K2975" s="1" t="s">
        <v>84</v>
      </c>
      <c r="L2975" s="1" t="s">
        <v>24</v>
      </c>
      <c r="M2975" s="1" t="s">
        <v>6386</v>
      </c>
      <c r="N2975" s="1" t="s">
        <v>6467</v>
      </c>
    </row>
    <row r="2976" spans="1:14" x14ac:dyDescent="0.35">
      <c r="A2976">
        <v>1275600</v>
      </c>
      <c r="B2976" s="1" t="s">
        <v>6262</v>
      </c>
      <c r="C2976">
        <v>15978.6</v>
      </c>
      <c r="D2976">
        <v>221</v>
      </c>
      <c r="E2976" s="1" t="s">
        <v>6468</v>
      </c>
      <c r="F2976" s="1" t="s">
        <v>15</v>
      </c>
      <c r="G2976" s="1" t="s">
        <v>32</v>
      </c>
      <c r="H2976">
        <v>116</v>
      </c>
      <c r="I2976">
        <v>34</v>
      </c>
      <c r="J2976">
        <v>135</v>
      </c>
      <c r="K2976" s="1" t="s">
        <v>90</v>
      </c>
      <c r="L2976" s="1" t="s">
        <v>24</v>
      </c>
      <c r="M2976" s="1" t="s">
        <v>6386</v>
      </c>
      <c r="N2976" s="1" t="s">
        <v>6469</v>
      </c>
    </row>
    <row r="2977" spans="1:14" x14ac:dyDescent="0.35">
      <c r="A2977">
        <v>1275633</v>
      </c>
      <c r="B2977" s="1" t="s">
        <v>6262</v>
      </c>
      <c r="C2977">
        <v>15978.6</v>
      </c>
      <c r="D2977">
        <v>221</v>
      </c>
      <c r="E2977" s="1" t="s">
        <v>6470</v>
      </c>
      <c r="F2977" s="1" t="s">
        <v>15</v>
      </c>
      <c r="G2977" s="1" t="s">
        <v>32</v>
      </c>
      <c r="H2977">
        <v>156</v>
      </c>
      <c r="I2977">
        <v>66</v>
      </c>
      <c r="J2977">
        <v>403</v>
      </c>
      <c r="K2977" s="1" t="s">
        <v>90</v>
      </c>
      <c r="L2977" s="1" t="s">
        <v>24</v>
      </c>
      <c r="M2977" s="1" t="s">
        <v>6386</v>
      </c>
      <c r="N2977" s="1" t="s">
        <v>6471</v>
      </c>
    </row>
    <row r="2978" spans="1:14" x14ac:dyDescent="0.35">
      <c r="A2978">
        <v>1275936</v>
      </c>
      <c r="B2978" s="1" t="s">
        <v>6262</v>
      </c>
      <c r="C2978">
        <v>15978.6</v>
      </c>
      <c r="D2978">
        <v>221</v>
      </c>
      <c r="E2978" s="1" t="s">
        <v>6472</v>
      </c>
      <c r="F2978" s="1" t="s">
        <v>15</v>
      </c>
      <c r="G2978" s="1" t="s">
        <v>32</v>
      </c>
      <c r="H2978">
        <v>117</v>
      </c>
      <c r="I2978">
        <v>23</v>
      </c>
      <c r="J2978">
        <v>13</v>
      </c>
      <c r="K2978" s="1" t="s">
        <v>23</v>
      </c>
      <c r="L2978" s="1" t="s">
        <v>24</v>
      </c>
      <c r="M2978" s="1" t="s">
        <v>6386</v>
      </c>
      <c r="N2978" s="1" t="s">
        <v>6473</v>
      </c>
    </row>
    <row r="2979" spans="1:14" x14ac:dyDescent="0.35">
      <c r="A2979">
        <v>1275265</v>
      </c>
      <c r="B2979" s="1" t="s">
        <v>6262</v>
      </c>
      <c r="C2979">
        <v>15978.6</v>
      </c>
      <c r="D2979">
        <v>221</v>
      </c>
      <c r="E2979" s="1" t="s">
        <v>6474</v>
      </c>
      <c r="F2979" s="1" t="s">
        <v>15</v>
      </c>
      <c r="G2979" s="1" t="s">
        <v>32</v>
      </c>
      <c r="H2979">
        <v>179</v>
      </c>
      <c r="I2979">
        <v>47</v>
      </c>
      <c r="J2979">
        <v>235</v>
      </c>
      <c r="K2979" s="1" t="s">
        <v>84</v>
      </c>
      <c r="L2979" s="1" t="s">
        <v>24</v>
      </c>
      <c r="M2979" s="1" t="s">
        <v>6386</v>
      </c>
      <c r="N2979" s="1" t="s">
        <v>6475</v>
      </c>
    </row>
    <row r="2980" spans="1:14" x14ac:dyDescent="0.35">
      <c r="A2980">
        <v>1275830</v>
      </c>
      <c r="B2980" s="1" t="s">
        <v>6262</v>
      </c>
      <c r="C2980">
        <v>15978.6</v>
      </c>
      <c r="D2980">
        <v>221</v>
      </c>
      <c r="E2980" s="1" t="s">
        <v>6476</v>
      </c>
      <c r="F2980" s="1" t="s">
        <v>15</v>
      </c>
      <c r="G2980" s="1" t="s">
        <v>32</v>
      </c>
      <c r="H2980">
        <v>223</v>
      </c>
      <c r="I2980">
        <v>12</v>
      </c>
      <c r="J2980">
        <v>97</v>
      </c>
      <c r="K2980" s="1" t="s">
        <v>90</v>
      </c>
      <c r="L2980" s="1" t="s">
        <v>24</v>
      </c>
      <c r="M2980" s="1" t="s">
        <v>6386</v>
      </c>
      <c r="N2980" s="1" t="s">
        <v>6477</v>
      </c>
    </row>
    <row r="2981" spans="1:14" x14ac:dyDescent="0.35">
      <c r="A2981">
        <v>1275011</v>
      </c>
      <c r="B2981" s="1" t="s">
        <v>6262</v>
      </c>
      <c r="C2981">
        <v>15978.6</v>
      </c>
      <c r="D2981">
        <v>221</v>
      </c>
      <c r="E2981" s="1" t="s">
        <v>6478</v>
      </c>
      <c r="F2981" s="1" t="s">
        <v>15</v>
      </c>
      <c r="G2981" s="1" t="s">
        <v>32</v>
      </c>
      <c r="H2981">
        <v>152</v>
      </c>
      <c r="I2981">
        <v>60</v>
      </c>
      <c r="K2981" s="1" t="s">
        <v>23</v>
      </c>
      <c r="L2981" s="1" t="s">
        <v>24</v>
      </c>
      <c r="M2981" s="1" t="s">
        <v>6386</v>
      </c>
      <c r="N2981" s="1" t="s">
        <v>6479</v>
      </c>
    </row>
    <row r="2982" spans="1:14" x14ac:dyDescent="0.35">
      <c r="A2982">
        <v>1275909</v>
      </c>
      <c r="B2982" s="1" t="s">
        <v>6262</v>
      </c>
      <c r="C2982">
        <v>15978.6</v>
      </c>
      <c r="D2982">
        <v>221</v>
      </c>
      <c r="E2982" s="1" t="s">
        <v>6480</v>
      </c>
      <c r="F2982" s="1" t="s">
        <v>15</v>
      </c>
      <c r="G2982" s="1" t="s">
        <v>32</v>
      </c>
      <c r="H2982">
        <v>144</v>
      </c>
      <c r="I2982">
        <v>30</v>
      </c>
      <c r="J2982">
        <v>95</v>
      </c>
      <c r="K2982" s="1" t="s">
        <v>90</v>
      </c>
      <c r="L2982" s="1" t="s">
        <v>24</v>
      </c>
      <c r="M2982" s="1" t="s">
        <v>6386</v>
      </c>
      <c r="N2982" s="1" t="s">
        <v>6481</v>
      </c>
    </row>
    <row r="2983" spans="1:14" x14ac:dyDescent="0.35">
      <c r="A2983">
        <v>1275061</v>
      </c>
      <c r="B2983" s="1" t="s">
        <v>6262</v>
      </c>
      <c r="C2983">
        <v>15978.6</v>
      </c>
      <c r="D2983">
        <v>221</v>
      </c>
      <c r="E2983" s="1" t="s">
        <v>6482</v>
      </c>
      <c r="F2983" s="1" t="s">
        <v>15</v>
      </c>
      <c r="G2983" s="1" t="s">
        <v>32</v>
      </c>
      <c r="H2983">
        <v>100</v>
      </c>
      <c r="I2983">
        <v>22</v>
      </c>
      <c r="J2983">
        <v>117</v>
      </c>
      <c r="K2983" s="1" t="s">
        <v>84</v>
      </c>
      <c r="L2983" s="1" t="s">
        <v>24</v>
      </c>
      <c r="M2983" s="1" t="s">
        <v>6386</v>
      </c>
      <c r="N2983" s="1" t="s">
        <v>6483</v>
      </c>
    </row>
    <row r="2984" spans="1:14" x14ac:dyDescent="0.35">
      <c r="A2984">
        <v>1275923</v>
      </c>
      <c r="B2984" s="1" t="s">
        <v>6262</v>
      </c>
      <c r="C2984">
        <v>15978.6</v>
      </c>
      <c r="D2984">
        <v>221</v>
      </c>
      <c r="E2984" s="1" t="s">
        <v>6484</v>
      </c>
      <c r="F2984" s="1" t="s">
        <v>15</v>
      </c>
      <c r="G2984" s="1" t="s">
        <v>32</v>
      </c>
      <c r="H2984">
        <v>200</v>
      </c>
      <c r="I2984">
        <v>28</v>
      </c>
      <c r="J2984">
        <v>146</v>
      </c>
      <c r="K2984" s="1" t="s">
        <v>23</v>
      </c>
      <c r="L2984" s="1" t="s">
        <v>24</v>
      </c>
      <c r="M2984" s="1" t="s">
        <v>6386</v>
      </c>
      <c r="N2984" s="1" t="s">
        <v>6485</v>
      </c>
    </row>
    <row r="2985" spans="1:14" x14ac:dyDescent="0.35">
      <c r="A2985">
        <v>1275913</v>
      </c>
      <c r="B2985" s="1" t="s">
        <v>6262</v>
      </c>
      <c r="C2985">
        <v>15978.6</v>
      </c>
      <c r="D2985">
        <v>221</v>
      </c>
      <c r="E2985" s="1" t="s">
        <v>6486</v>
      </c>
      <c r="F2985" s="1" t="s">
        <v>15</v>
      </c>
      <c r="G2985" s="1" t="s">
        <v>32</v>
      </c>
      <c r="H2985">
        <v>210</v>
      </c>
      <c r="I2985">
        <v>55</v>
      </c>
      <c r="J2985">
        <v>683</v>
      </c>
      <c r="K2985" s="1" t="s">
        <v>49</v>
      </c>
      <c r="L2985" s="1" t="s">
        <v>24</v>
      </c>
      <c r="M2985" s="1" t="s">
        <v>6386</v>
      </c>
      <c r="N2985" s="1" t="s">
        <v>6487</v>
      </c>
    </row>
    <row r="2986" spans="1:14" x14ac:dyDescent="0.35">
      <c r="A2986">
        <v>1275276</v>
      </c>
      <c r="B2986" s="1" t="s">
        <v>6262</v>
      </c>
      <c r="C2986">
        <v>15978.6</v>
      </c>
      <c r="D2986">
        <v>221</v>
      </c>
      <c r="E2986" s="1" t="s">
        <v>6488</v>
      </c>
      <c r="F2986" s="1" t="s">
        <v>15</v>
      </c>
      <c r="G2986" s="1" t="s">
        <v>32</v>
      </c>
      <c r="H2986">
        <v>112</v>
      </c>
      <c r="I2986">
        <v>56</v>
      </c>
      <c r="J2986">
        <v>244</v>
      </c>
      <c r="K2986" s="1" t="s">
        <v>84</v>
      </c>
      <c r="L2986" s="1" t="s">
        <v>24</v>
      </c>
      <c r="M2986" s="1" t="s">
        <v>6386</v>
      </c>
      <c r="N2986" s="1" t="s">
        <v>6489</v>
      </c>
    </row>
    <row r="2987" spans="1:14" x14ac:dyDescent="0.35">
      <c r="A2987">
        <v>1275100</v>
      </c>
      <c r="B2987" s="1" t="s">
        <v>6262</v>
      </c>
      <c r="C2987">
        <v>15978.6</v>
      </c>
      <c r="D2987">
        <v>221</v>
      </c>
      <c r="E2987" s="1" t="s">
        <v>6490</v>
      </c>
      <c r="F2987" s="1" t="s">
        <v>15</v>
      </c>
      <c r="G2987" s="1" t="s">
        <v>32</v>
      </c>
      <c r="H2987">
        <v>100</v>
      </c>
      <c r="I2987">
        <v>40</v>
      </c>
      <c r="J2987">
        <v>62</v>
      </c>
      <c r="K2987" s="1" t="s">
        <v>84</v>
      </c>
      <c r="L2987" s="1" t="s">
        <v>24</v>
      </c>
      <c r="M2987" s="1" t="s">
        <v>6386</v>
      </c>
      <c r="N2987" s="1" t="s">
        <v>6491</v>
      </c>
    </row>
    <row r="2988" spans="1:14" x14ac:dyDescent="0.35">
      <c r="A2988">
        <v>1275126</v>
      </c>
      <c r="B2988" s="1" t="s">
        <v>6262</v>
      </c>
      <c r="C2988">
        <v>15978.6</v>
      </c>
      <c r="D2988">
        <v>221</v>
      </c>
      <c r="E2988" s="1" t="s">
        <v>6492</v>
      </c>
      <c r="F2988" s="1" t="s">
        <v>15</v>
      </c>
      <c r="G2988" s="1" t="s">
        <v>32</v>
      </c>
      <c r="H2988">
        <v>106</v>
      </c>
      <c r="I2988">
        <v>57</v>
      </c>
      <c r="J2988">
        <v>104</v>
      </c>
      <c r="K2988" s="1" t="s">
        <v>819</v>
      </c>
      <c r="L2988" s="1" t="s">
        <v>24</v>
      </c>
      <c r="M2988" s="1" t="s">
        <v>6386</v>
      </c>
      <c r="N2988" s="1" t="s">
        <v>6493</v>
      </c>
    </row>
    <row r="2989" spans="1:14" x14ac:dyDescent="0.35">
      <c r="A2989">
        <v>1275826</v>
      </c>
      <c r="B2989" s="1" t="s">
        <v>6262</v>
      </c>
      <c r="C2989">
        <v>15978.6</v>
      </c>
      <c r="D2989">
        <v>221</v>
      </c>
      <c r="E2989" s="1" t="s">
        <v>6494</v>
      </c>
      <c r="F2989" s="1" t="s">
        <v>15</v>
      </c>
      <c r="G2989" s="1" t="s">
        <v>22</v>
      </c>
      <c r="H2989">
        <v>45</v>
      </c>
      <c r="I2989">
        <v>5</v>
      </c>
      <c r="J2989">
        <v>19</v>
      </c>
      <c r="K2989" s="1" t="s">
        <v>23</v>
      </c>
      <c r="L2989" s="1" t="s">
        <v>24</v>
      </c>
      <c r="M2989" s="1" t="s">
        <v>6386</v>
      </c>
      <c r="N2989" s="1" t="s">
        <v>6495</v>
      </c>
    </row>
    <row r="2990" spans="1:14" x14ac:dyDescent="0.35">
      <c r="A2990">
        <v>1275724</v>
      </c>
      <c r="B2990" s="1" t="s">
        <v>6262</v>
      </c>
      <c r="C2990">
        <v>15978.6</v>
      </c>
      <c r="D2990">
        <v>221</v>
      </c>
      <c r="E2990" s="1" t="s">
        <v>6496</v>
      </c>
      <c r="F2990" s="1" t="s">
        <v>15</v>
      </c>
      <c r="G2990" s="1" t="s">
        <v>22</v>
      </c>
      <c r="H2990">
        <v>65</v>
      </c>
      <c r="I2990">
        <v>33</v>
      </c>
      <c r="J2990">
        <v>178</v>
      </c>
      <c r="K2990" s="1" t="s">
        <v>90</v>
      </c>
      <c r="L2990" s="1" t="s">
        <v>24</v>
      </c>
      <c r="M2990" s="1" t="s">
        <v>6386</v>
      </c>
      <c r="N2990" s="1" t="s">
        <v>6497</v>
      </c>
    </row>
    <row r="2991" spans="1:14" x14ac:dyDescent="0.35">
      <c r="A2991">
        <v>1275702</v>
      </c>
      <c r="B2991" s="1" t="s">
        <v>6262</v>
      </c>
      <c r="C2991">
        <v>15978.6</v>
      </c>
      <c r="D2991">
        <v>221</v>
      </c>
      <c r="E2991" s="1" t="s">
        <v>6498</v>
      </c>
      <c r="F2991" s="1" t="s">
        <v>15</v>
      </c>
      <c r="G2991" s="1" t="s">
        <v>22</v>
      </c>
      <c r="H2991">
        <v>77</v>
      </c>
      <c r="I2991">
        <v>15</v>
      </c>
      <c r="J2991">
        <v>47</v>
      </c>
      <c r="K2991" s="1" t="s">
        <v>84</v>
      </c>
      <c r="L2991" s="1" t="s">
        <v>24</v>
      </c>
      <c r="M2991" s="1" t="s">
        <v>6386</v>
      </c>
      <c r="N2991" s="1" t="s">
        <v>6499</v>
      </c>
    </row>
    <row r="2992" spans="1:14" x14ac:dyDescent="0.35">
      <c r="A2992">
        <v>1275885</v>
      </c>
      <c r="B2992" s="1" t="s">
        <v>6262</v>
      </c>
      <c r="C2992">
        <v>15978.6</v>
      </c>
      <c r="D2992">
        <v>221</v>
      </c>
      <c r="E2992" s="1" t="s">
        <v>6500</v>
      </c>
      <c r="F2992" s="1" t="s">
        <v>15</v>
      </c>
      <c r="G2992" s="1" t="s">
        <v>22</v>
      </c>
      <c r="H2992">
        <v>62</v>
      </c>
      <c r="I2992">
        <v>28</v>
      </c>
      <c r="J2992">
        <v>81</v>
      </c>
      <c r="K2992" s="1" t="s">
        <v>84</v>
      </c>
      <c r="L2992" s="1" t="s">
        <v>24</v>
      </c>
      <c r="M2992" s="1" t="s">
        <v>6386</v>
      </c>
      <c r="N2992" s="1" t="s">
        <v>6501</v>
      </c>
    </row>
    <row r="2993" spans="1:14" x14ac:dyDescent="0.35">
      <c r="A2993">
        <v>1275010</v>
      </c>
      <c r="B2993" s="1" t="s">
        <v>6262</v>
      </c>
      <c r="C2993">
        <v>15978.6</v>
      </c>
      <c r="D2993">
        <v>221</v>
      </c>
      <c r="E2993" s="1" t="s">
        <v>6502</v>
      </c>
      <c r="F2993" s="1" t="s">
        <v>15</v>
      </c>
      <c r="G2993" s="1" t="s">
        <v>22</v>
      </c>
      <c r="H2993">
        <v>36</v>
      </c>
      <c r="I2993">
        <v>13</v>
      </c>
      <c r="K2993" s="1" t="s">
        <v>23</v>
      </c>
      <c r="L2993" s="1" t="s">
        <v>24</v>
      </c>
      <c r="M2993" s="1" t="s">
        <v>6386</v>
      </c>
      <c r="N2993" s="1" t="s">
        <v>6503</v>
      </c>
    </row>
    <row r="2994" spans="1:14" x14ac:dyDescent="0.35">
      <c r="A2994">
        <v>1275152</v>
      </c>
      <c r="B2994" s="1" t="s">
        <v>6262</v>
      </c>
      <c r="C2994">
        <v>15978.6</v>
      </c>
      <c r="D2994">
        <v>221</v>
      </c>
      <c r="E2994" s="1" t="s">
        <v>6504</v>
      </c>
      <c r="F2994" s="1" t="s">
        <v>15</v>
      </c>
      <c r="G2994" s="1" t="s">
        <v>22</v>
      </c>
      <c r="H2994">
        <v>50</v>
      </c>
      <c r="I2994">
        <v>15</v>
      </c>
      <c r="J2994">
        <v>52</v>
      </c>
      <c r="K2994" s="1" t="s">
        <v>974</v>
      </c>
      <c r="L2994" s="1" t="s">
        <v>24</v>
      </c>
      <c r="M2994" s="1" t="s">
        <v>6386</v>
      </c>
      <c r="N2994" s="1" t="s">
        <v>6505</v>
      </c>
    </row>
    <row r="2995" spans="1:14" x14ac:dyDescent="0.35">
      <c r="A2995">
        <v>1275130</v>
      </c>
      <c r="B2995" s="1" t="s">
        <v>6262</v>
      </c>
      <c r="C2995">
        <v>15978.6</v>
      </c>
      <c r="D2995">
        <v>221</v>
      </c>
      <c r="E2995" s="1" t="s">
        <v>6506</v>
      </c>
      <c r="F2995" s="1" t="s">
        <v>15</v>
      </c>
      <c r="G2995" s="1" t="s">
        <v>22</v>
      </c>
      <c r="H2995">
        <v>60</v>
      </c>
      <c r="I2995">
        <v>17</v>
      </c>
      <c r="J2995">
        <v>187</v>
      </c>
      <c r="K2995" s="1" t="s">
        <v>84</v>
      </c>
      <c r="L2995" s="1" t="s">
        <v>24</v>
      </c>
      <c r="M2995" s="1" t="s">
        <v>6386</v>
      </c>
      <c r="N2995" s="1" t="s">
        <v>6507</v>
      </c>
    </row>
    <row r="2996" spans="1:14" x14ac:dyDescent="0.35">
      <c r="A2996">
        <v>1275050</v>
      </c>
      <c r="B2996" s="1" t="s">
        <v>6262</v>
      </c>
      <c r="C2996">
        <v>15978.6</v>
      </c>
      <c r="D2996">
        <v>221</v>
      </c>
      <c r="E2996" s="1" t="s">
        <v>6508</v>
      </c>
      <c r="F2996" s="1" t="s">
        <v>15</v>
      </c>
      <c r="G2996" s="1" t="s">
        <v>22</v>
      </c>
      <c r="H2996">
        <v>68</v>
      </c>
      <c r="I2996">
        <v>34</v>
      </c>
      <c r="J2996">
        <v>255</v>
      </c>
      <c r="K2996" s="1" t="s">
        <v>84</v>
      </c>
      <c r="L2996" s="1" t="s">
        <v>24</v>
      </c>
      <c r="M2996" s="1" t="s">
        <v>6386</v>
      </c>
      <c r="N2996" s="1" t="s">
        <v>6509</v>
      </c>
    </row>
    <row r="2997" spans="1:14" x14ac:dyDescent="0.35">
      <c r="A2997">
        <v>1277011</v>
      </c>
      <c r="B2997" s="1" t="s">
        <v>6262</v>
      </c>
      <c r="C2997">
        <v>15978.6</v>
      </c>
      <c r="D2997">
        <v>221</v>
      </c>
      <c r="E2997" s="1" t="s">
        <v>6510</v>
      </c>
      <c r="F2997" s="1" t="s">
        <v>15</v>
      </c>
      <c r="G2997" s="1" t="s">
        <v>32</v>
      </c>
      <c r="H2997">
        <v>151</v>
      </c>
      <c r="I2997">
        <v>28</v>
      </c>
      <c r="J2997">
        <v>477</v>
      </c>
      <c r="K2997" s="1" t="s">
        <v>137</v>
      </c>
      <c r="L2997" s="1" t="s">
        <v>18</v>
      </c>
      <c r="M2997" s="1" t="s">
        <v>6511</v>
      </c>
      <c r="N2997" s="1" t="s">
        <v>6512</v>
      </c>
    </row>
    <row r="2998" spans="1:14" x14ac:dyDescent="0.35">
      <c r="A2998">
        <v>1277026</v>
      </c>
      <c r="B2998" s="1" t="s">
        <v>6262</v>
      </c>
      <c r="C2998">
        <v>15978.6</v>
      </c>
      <c r="D2998">
        <v>221</v>
      </c>
      <c r="E2998" s="1" t="s">
        <v>6513</v>
      </c>
      <c r="F2998" s="1" t="s">
        <v>15</v>
      </c>
      <c r="G2998" s="1" t="s">
        <v>32</v>
      </c>
      <c r="H2998">
        <v>101</v>
      </c>
      <c r="I2998">
        <v>31</v>
      </c>
      <c r="J2998">
        <v>94</v>
      </c>
      <c r="K2998" s="1" t="s">
        <v>84</v>
      </c>
      <c r="L2998" s="1" t="s">
        <v>24</v>
      </c>
      <c r="M2998" s="1" t="s">
        <v>6511</v>
      </c>
      <c r="N2998" s="1" t="s">
        <v>6514</v>
      </c>
    </row>
    <row r="2999" spans="1:14" x14ac:dyDescent="0.35">
      <c r="A2999">
        <v>1277027</v>
      </c>
      <c r="B2999" s="1" t="s">
        <v>6262</v>
      </c>
      <c r="C2999">
        <v>15978.6</v>
      </c>
      <c r="D2999">
        <v>221</v>
      </c>
      <c r="E2999" s="1" t="s">
        <v>6515</v>
      </c>
      <c r="F2999" s="1" t="s">
        <v>15</v>
      </c>
      <c r="G2999" s="1" t="s">
        <v>32</v>
      </c>
      <c r="H2999">
        <v>111</v>
      </c>
      <c r="I2999">
        <v>57</v>
      </c>
      <c r="J2999">
        <v>114</v>
      </c>
      <c r="K2999" s="1" t="s">
        <v>90</v>
      </c>
      <c r="L2999" s="1" t="s">
        <v>24</v>
      </c>
      <c r="M2999" s="1" t="s">
        <v>6511</v>
      </c>
      <c r="N2999" s="1" t="s">
        <v>6516</v>
      </c>
    </row>
    <row r="3000" spans="1:14" x14ac:dyDescent="0.35">
      <c r="A3000">
        <v>1277015</v>
      </c>
      <c r="B3000" s="1" t="s">
        <v>6262</v>
      </c>
      <c r="C3000">
        <v>15978.6</v>
      </c>
      <c r="D3000">
        <v>221</v>
      </c>
      <c r="E3000" s="1" t="s">
        <v>6517</v>
      </c>
      <c r="F3000" s="1" t="s">
        <v>15</v>
      </c>
      <c r="G3000" s="1" t="s">
        <v>22</v>
      </c>
      <c r="H3000">
        <v>53</v>
      </c>
      <c r="I3000">
        <v>23</v>
      </c>
      <c r="J3000">
        <v>16</v>
      </c>
      <c r="K3000" s="1" t="s">
        <v>27</v>
      </c>
      <c r="L3000" s="1" t="s">
        <v>24</v>
      </c>
      <c r="M3000" s="1" t="s">
        <v>6511</v>
      </c>
      <c r="N3000" s="1" t="s">
        <v>6518</v>
      </c>
    </row>
    <row r="3001" spans="1:14" x14ac:dyDescent="0.35">
      <c r="A3001">
        <v>1273107</v>
      </c>
      <c r="B3001" s="1" t="s">
        <v>6262</v>
      </c>
      <c r="C3001">
        <v>15978.6</v>
      </c>
      <c r="D3001">
        <v>221</v>
      </c>
      <c r="E3001" s="1" t="s">
        <v>6519</v>
      </c>
      <c r="F3001" s="1" t="s">
        <v>334</v>
      </c>
      <c r="G3001" s="1" t="s">
        <v>32</v>
      </c>
      <c r="H3001">
        <v>16</v>
      </c>
      <c r="I3001">
        <v>3</v>
      </c>
      <c r="J3001">
        <v>38</v>
      </c>
      <c r="K3001" s="1" t="s">
        <v>23</v>
      </c>
      <c r="L3001" s="1" t="s">
        <v>24</v>
      </c>
      <c r="M3001" s="1" t="s">
        <v>6520</v>
      </c>
      <c r="N3001" s="1" t="s">
        <v>6521</v>
      </c>
    </row>
    <row r="3002" spans="1:14" x14ac:dyDescent="0.35">
      <c r="A3002">
        <v>1273011</v>
      </c>
      <c r="B3002" s="1" t="s">
        <v>6262</v>
      </c>
      <c r="C3002">
        <v>15978.6</v>
      </c>
      <c r="D3002">
        <v>221</v>
      </c>
      <c r="E3002" s="1" t="s">
        <v>6522</v>
      </c>
      <c r="F3002" s="1" t="s">
        <v>15</v>
      </c>
      <c r="G3002" s="1" t="s">
        <v>16</v>
      </c>
      <c r="H3002">
        <v>130</v>
      </c>
      <c r="I3002">
        <v>55</v>
      </c>
      <c r="J3002">
        <v>357</v>
      </c>
      <c r="K3002" s="1" t="s">
        <v>137</v>
      </c>
      <c r="L3002" s="1" t="s">
        <v>18</v>
      </c>
      <c r="M3002" s="1" t="s">
        <v>6520</v>
      </c>
      <c r="N3002" s="1" t="s">
        <v>6523</v>
      </c>
    </row>
    <row r="3003" spans="1:14" x14ac:dyDescent="0.35">
      <c r="A3003">
        <v>1273055</v>
      </c>
      <c r="B3003" s="1" t="s">
        <v>6262</v>
      </c>
      <c r="C3003">
        <v>15978.6</v>
      </c>
      <c r="D3003">
        <v>221</v>
      </c>
      <c r="E3003" s="1" t="s">
        <v>6524</v>
      </c>
      <c r="F3003" s="1" t="s">
        <v>15</v>
      </c>
      <c r="G3003" s="1" t="s">
        <v>16</v>
      </c>
      <c r="H3003">
        <v>237</v>
      </c>
      <c r="I3003">
        <v>44</v>
      </c>
      <c r="J3003">
        <v>562</v>
      </c>
      <c r="K3003" s="1" t="s">
        <v>90</v>
      </c>
      <c r="L3003" s="1" t="s">
        <v>24</v>
      </c>
      <c r="M3003" s="1" t="s">
        <v>6520</v>
      </c>
      <c r="N3003" s="1" t="s">
        <v>6525</v>
      </c>
    </row>
    <row r="3004" spans="1:14" x14ac:dyDescent="0.35">
      <c r="A3004">
        <v>1273033</v>
      </c>
      <c r="B3004" s="1" t="s">
        <v>6262</v>
      </c>
      <c r="C3004">
        <v>15978.6</v>
      </c>
      <c r="D3004">
        <v>221</v>
      </c>
      <c r="E3004" s="1" t="s">
        <v>2431</v>
      </c>
      <c r="F3004" s="1" t="s">
        <v>15</v>
      </c>
      <c r="G3004" s="1" t="s">
        <v>32</v>
      </c>
      <c r="H3004">
        <v>123</v>
      </c>
      <c r="I3004">
        <v>30</v>
      </c>
      <c r="J3004">
        <v>350</v>
      </c>
      <c r="K3004" s="1" t="s">
        <v>572</v>
      </c>
      <c r="L3004" s="1" t="s">
        <v>24</v>
      </c>
      <c r="M3004" s="1" t="s">
        <v>6520</v>
      </c>
      <c r="N3004" s="1" t="s">
        <v>6526</v>
      </c>
    </row>
    <row r="3005" spans="1:14" x14ac:dyDescent="0.35">
      <c r="A3005">
        <v>1273106</v>
      </c>
      <c r="B3005" s="1" t="s">
        <v>6262</v>
      </c>
      <c r="C3005">
        <v>15978.6</v>
      </c>
      <c r="D3005">
        <v>221</v>
      </c>
      <c r="E3005" s="1" t="s">
        <v>6527</v>
      </c>
      <c r="F3005" s="1" t="s">
        <v>15</v>
      </c>
      <c r="G3005" s="1" t="s">
        <v>32</v>
      </c>
      <c r="H3005">
        <v>101</v>
      </c>
      <c r="I3005">
        <v>20</v>
      </c>
      <c r="J3005">
        <v>151</v>
      </c>
      <c r="K3005" s="1" t="s">
        <v>95</v>
      </c>
      <c r="L3005" s="1" t="s">
        <v>24</v>
      </c>
      <c r="M3005" s="1" t="s">
        <v>6520</v>
      </c>
      <c r="N3005" s="1" t="s">
        <v>6528</v>
      </c>
    </row>
    <row r="3006" spans="1:14" x14ac:dyDescent="0.35">
      <c r="A3006">
        <v>1273119</v>
      </c>
      <c r="B3006" s="1" t="s">
        <v>6262</v>
      </c>
      <c r="C3006">
        <v>15978.6</v>
      </c>
      <c r="D3006">
        <v>221</v>
      </c>
      <c r="E3006" s="1" t="s">
        <v>6529</v>
      </c>
      <c r="F3006" s="1" t="s">
        <v>15</v>
      </c>
      <c r="G3006" s="1" t="s">
        <v>32</v>
      </c>
      <c r="H3006">
        <v>183</v>
      </c>
      <c r="I3006">
        <v>33</v>
      </c>
      <c r="K3006" s="1" t="s">
        <v>23</v>
      </c>
      <c r="L3006" s="1" t="s">
        <v>24</v>
      </c>
      <c r="M3006" s="1" t="s">
        <v>6520</v>
      </c>
      <c r="N3006" s="1" t="s">
        <v>6530</v>
      </c>
    </row>
    <row r="3007" spans="1:14" x14ac:dyDescent="0.35">
      <c r="A3007">
        <v>1273102</v>
      </c>
      <c r="B3007" s="1" t="s">
        <v>6262</v>
      </c>
      <c r="C3007">
        <v>15978.6</v>
      </c>
      <c r="D3007">
        <v>221</v>
      </c>
      <c r="E3007" s="1" t="s">
        <v>6531</v>
      </c>
      <c r="F3007" s="1" t="s">
        <v>15</v>
      </c>
      <c r="G3007" s="1" t="s">
        <v>32</v>
      </c>
      <c r="H3007">
        <v>105</v>
      </c>
      <c r="I3007">
        <v>35</v>
      </c>
      <c r="J3007">
        <v>275</v>
      </c>
      <c r="K3007" s="1" t="s">
        <v>90</v>
      </c>
      <c r="L3007" s="1" t="s">
        <v>24</v>
      </c>
      <c r="M3007" s="1" t="s">
        <v>6520</v>
      </c>
      <c r="N3007" s="1" t="s">
        <v>6532</v>
      </c>
    </row>
    <row r="3008" spans="1:14" x14ac:dyDescent="0.35">
      <c r="A3008">
        <v>1273022</v>
      </c>
      <c r="B3008" s="1" t="s">
        <v>6262</v>
      </c>
      <c r="C3008">
        <v>15978.6</v>
      </c>
      <c r="D3008">
        <v>221</v>
      </c>
      <c r="E3008" s="1" t="s">
        <v>6533</v>
      </c>
      <c r="F3008" s="1" t="s">
        <v>15</v>
      </c>
      <c r="G3008" s="1" t="s">
        <v>32</v>
      </c>
      <c r="H3008">
        <v>177</v>
      </c>
      <c r="I3008">
        <v>31</v>
      </c>
      <c r="J3008">
        <v>366</v>
      </c>
      <c r="K3008" s="1" t="s">
        <v>27</v>
      </c>
      <c r="L3008" s="1" t="s">
        <v>24</v>
      </c>
      <c r="M3008" s="1" t="s">
        <v>6520</v>
      </c>
      <c r="N3008" s="1" t="s">
        <v>6534</v>
      </c>
    </row>
    <row r="3009" spans="1:14" x14ac:dyDescent="0.35">
      <c r="A3009">
        <v>1273120</v>
      </c>
      <c r="B3009" s="1" t="s">
        <v>6262</v>
      </c>
      <c r="C3009">
        <v>15978.6</v>
      </c>
      <c r="D3009">
        <v>221</v>
      </c>
      <c r="E3009" s="1" t="s">
        <v>6535</v>
      </c>
      <c r="F3009" s="1" t="s">
        <v>15</v>
      </c>
      <c r="G3009" s="1" t="s">
        <v>22</v>
      </c>
      <c r="H3009">
        <v>51</v>
      </c>
      <c r="I3009">
        <v>9</v>
      </c>
      <c r="K3009" s="1" t="s">
        <v>90</v>
      </c>
      <c r="L3009" s="1" t="s">
        <v>24</v>
      </c>
      <c r="M3009" s="1" t="s">
        <v>6520</v>
      </c>
      <c r="N3009" s="1" t="s">
        <v>6536</v>
      </c>
    </row>
    <row r="3010" spans="1:14" x14ac:dyDescent="0.35">
      <c r="A3010">
        <v>1273108</v>
      </c>
      <c r="B3010" s="1" t="s">
        <v>6262</v>
      </c>
      <c r="C3010">
        <v>15978.6</v>
      </c>
      <c r="D3010">
        <v>221</v>
      </c>
      <c r="E3010" s="1" t="s">
        <v>6537</v>
      </c>
      <c r="F3010" s="1" t="s">
        <v>15</v>
      </c>
      <c r="G3010" s="1" t="s">
        <v>22</v>
      </c>
      <c r="H3010">
        <v>44</v>
      </c>
      <c r="I3010">
        <v>14</v>
      </c>
      <c r="J3010">
        <v>47</v>
      </c>
      <c r="K3010" s="1" t="s">
        <v>23</v>
      </c>
      <c r="L3010" s="1" t="s">
        <v>24</v>
      </c>
      <c r="M3010" s="1" t="s">
        <v>6520</v>
      </c>
      <c r="N3010" s="1" t="s">
        <v>6538</v>
      </c>
    </row>
    <row r="3011" spans="1:14" x14ac:dyDescent="0.35">
      <c r="A3011">
        <v>1271016</v>
      </c>
      <c r="B3011" s="1" t="s">
        <v>6262</v>
      </c>
      <c r="C3011">
        <v>15978.6</v>
      </c>
      <c r="D3011">
        <v>221</v>
      </c>
      <c r="E3011" s="1" t="s">
        <v>6539</v>
      </c>
      <c r="F3011" s="1" t="s">
        <v>15</v>
      </c>
      <c r="G3011" s="1" t="s">
        <v>16</v>
      </c>
      <c r="H3011">
        <v>196</v>
      </c>
      <c r="I3011">
        <v>101</v>
      </c>
      <c r="J3011">
        <v>472</v>
      </c>
      <c r="K3011" s="1" t="s">
        <v>137</v>
      </c>
      <c r="L3011" s="1" t="s">
        <v>18</v>
      </c>
      <c r="M3011" s="1" t="s">
        <v>6540</v>
      </c>
      <c r="N3011" s="1" t="s">
        <v>6541</v>
      </c>
    </row>
    <row r="3012" spans="1:14" x14ac:dyDescent="0.35">
      <c r="A3012">
        <v>1271032</v>
      </c>
      <c r="B3012" s="1" t="s">
        <v>6262</v>
      </c>
      <c r="C3012">
        <v>15978.6</v>
      </c>
      <c r="D3012">
        <v>221</v>
      </c>
      <c r="E3012" s="1" t="s">
        <v>6542</v>
      </c>
      <c r="F3012" s="1" t="s">
        <v>15</v>
      </c>
      <c r="G3012" s="1" t="s">
        <v>32</v>
      </c>
      <c r="H3012">
        <v>112</v>
      </c>
      <c r="I3012">
        <v>66</v>
      </c>
      <c r="J3012">
        <v>215</v>
      </c>
      <c r="K3012" s="1" t="s">
        <v>90</v>
      </c>
      <c r="L3012" s="1" t="s">
        <v>24</v>
      </c>
      <c r="M3012" s="1" t="s">
        <v>6540</v>
      </c>
      <c r="N3012" s="1" t="s">
        <v>6543</v>
      </c>
    </row>
    <row r="3013" spans="1:14" x14ac:dyDescent="0.35">
      <c r="A3013">
        <v>1271033</v>
      </c>
      <c r="B3013" s="1" t="s">
        <v>6262</v>
      </c>
      <c r="C3013">
        <v>15978.6</v>
      </c>
      <c r="D3013">
        <v>221</v>
      </c>
      <c r="E3013" s="1" t="s">
        <v>6544</v>
      </c>
      <c r="F3013" s="1" t="s">
        <v>15</v>
      </c>
      <c r="G3013" s="1" t="s">
        <v>32</v>
      </c>
      <c r="H3013">
        <v>110</v>
      </c>
      <c r="I3013">
        <v>74</v>
      </c>
      <c r="J3013">
        <v>157</v>
      </c>
      <c r="K3013" s="1" t="s">
        <v>23</v>
      </c>
      <c r="L3013" s="1" t="s">
        <v>24</v>
      </c>
      <c r="M3013" s="1" t="s">
        <v>6540</v>
      </c>
      <c r="N3013" s="1" t="s">
        <v>6545</v>
      </c>
    </row>
    <row r="3014" spans="1:14" x14ac:dyDescent="0.35">
      <c r="A3014">
        <v>1272010</v>
      </c>
      <c r="B3014" s="1" t="s">
        <v>6262</v>
      </c>
      <c r="C3014">
        <v>15978.6</v>
      </c>
      <c r="D3014">
        <v>221</v>
      </c>
      <c r="E3014" s="1" t="s">
        <v>6546</v>
      </c>
      <c r="F3014" s="1" t="s">
        <v>15</v>
      </c>
      <c r="G3014" s="1" t="s">
        <v>32</v>
      </c>
      <c r="H3014">
        <v>117</v>
      </c>
      <c r="I3014">
        <v>33</v>
      </c>
      <c r="J3014">
        <v>257</v>
      </c>
      <c r="K3014" s="1" t="s">
        <v>137</v>
      </c>
      <c r="L3014" s="1" t="s">
        <v>18</v>
      </c>
      <c r="M3014" s="1" t="s">
        <v>6547</v>
      </c>
      <c r="N3014" s="1" t="s">
        <v>6548</v>
      </c>
    </row>
    <row r="3015" spans="1:14" x14ac:dyDescent="0.35">
      <c r="A3015">
        <v>1272033</v>
      </c>
      <c r="B3015" s="1" t="s">
        <v>6262</v>
      </c>
      <c r="C3015">
        <v>15978.6</v>
      </c>
      <c r="D3015">
        <v>221</v>
      </c>
      <c r="E3015" s="1" t="s">
        <v>6549</v>
      </c>
      <c r="F3015" s="1" t="s">
        <v>15</v>
      </c>
      <c r="G3015" s="1" t="s">
        <v>22</v>
      </c>
      <c r="H3015">
        <v>74</v>
      </c>
      <c r="I3015">
        <v>22</v>
      </c>
      <c r="J3015">
        <v>98</v>
      </c>
      <c r="K3015" s="1" t="s">
        <v>90</v>
      </c>
      <c r="L3015" s="1" t="s">
        <v>24</v>
      </c>
      <c r="M3015" s="1" t="s">
        <v>6547</v>
      </c>
      <c r="N3015" s="1" t="s">
        <v>6550</v>
      </c>
    </row>
    <row r="3016" spans="1:14" x14ac:dyDescent="0.35">
      <c r="A3016">
        <v>1274012</v>
      </c>
      <c r="B3016" s="1" t="s">
        <v>6262</v>
      </c>
      <c r="C3016">
        <v>15978.6</v>
      </c>
      <c r="D3016">
        <v>221</v>
      </c>
      <c r="E3016" s="1" t="s">
        <v>6551</v>
      </c>
      <c r="F3016" s="1" t="s">
        <v>15</v>
      </c>
      <c r="G3016" s="1" t="s">
        <v>16</v>
      </c>
      <c r="H3016">
        <v>202</v>
      </c>
      <c r="I3016">
        <v>73</v>
      </c>
      <c r="J3016">
        <v>530</v>
      </c>
      <c r="K3016" s="1" t="s">
        <v>137</v>
      </c>
      <c r="L3016" s="1" t="s">
        <v>18</v>
      </c>
      <c r="M3016" s="1" t="s">
        <v>6552</v>
      </c>
      <c r="N3016" s="1" t="s">
        <v>6553</v>
      </c>
    </row>
    <row r="3017" spans="1:14" x14ac:dyDescent="0.35">
      <c r="A3017">
        <v>1274063</v>
      </c>
      <c r="B3017" s="1" t="s">
        <v>6262</v>
      </c>
      <c r="C3017">
        <v>15978.6</v>
      </c>
      <c r="D3017">
        <v>221</v>
      </c>
      <c r="E3017" s="1" t="s">
        <v>6554</v>
      </c>
      <c r="F3017" s="1" t="s">
        <v>15</v>
      </c>
      <c r="G3017" s="1" t="s">
        <v>32</v>
      </c>
      <c r="H3017">
        <v>133</v>
      </c>
      <c r="I3017">
        <v>37</v>
      </c>
      <c r="J3017">
        <v>159</v>
      </c>
      <c r="K3017" s="1" t="s">
        <v>90</v>
      </c>
      <c r="L3017" s="1" t="s">
        <v>24</v>
      </c>
      <c r="M3017" s="1" t="s">
        <v>6552</v>
      </c>
      <c r="N3017" s="1" t="s">
        <v>6555</v>
      </c>
    </row>
    <row r="3018" spans="1:14" x14ac:dyDescent="0.35">
      <c r="A3018">
        <v>1274034</v>
      </c>
      <c r="B3018" s="1" t="s">
        <v>6262</v>
      </c>
      <c r="C3018">
        <v>15978.6</v>
      </c>
      <c r="D3018">
        <v>221</v>
      </c>
      <c r="E3018" s="1" t="s">
        <v>6556</v>
      </c>
      <c r="F3018" s="1" t="s">
        <v>15</v>
      </c>
      <c r="G3018" s="1" t="s">
        <v>32</v>
      </c>
      <c r="H3018">
        <v>167</v>
      </c>
      <c r="I3018">
        <v>55</v>
      </c>
      <c r="J3018">
        <v>285</v>
      </c>
      <c r="K3018" s="1" t="s">
        <v>61</v>
      </c>
      <c r="L3018" s="1" t="s">
        <v>24</v>
      </c>
      <c r="M3018" s="1" t="s">
        <v>6552</v>
      </c>
      <c r="N3018" s="1" t="s">
        <v>6557</v>
      </c>
    </row>
    <row r="3019" spans="1:14" x14ac:dyDescent="0.35">
      <c r="A3019">
        <v>1274058</v>
      </c>
      <c r="B3019" s="1" t="s">
        <v>6262</v>
      </c>
      <c r="C3019">
        <v>15978.6</v>
      </c>
      <c r="D3019">
        <v>221</v>
      </c>
      <c r="E3019" s="1" t="s">
        <v>6558</v>
      </c>
      <c r="F3019" s="1" t="s">
        <v>15</v>
      </c>
      <c r="G3019" s="1" t="s">
        <v>32</v>
      </c>
      <c r="H3019">
        <v>137</v>
      </c>
      <c r="I3019">
        <v>36</v>
      </c>
      <c r="J3019">
        <v>354</v>
      </c>
      <c r="K3019" s="1" t="s">
        <v>146</v>
      </c>
      <c r="L3019" s="1" t="s">
        <v>120</v>
      </c>
      <c r="M3019" s="1" t="s">
        <v>6552</v>
      </c>
      <c r="N3019" s="1" t="s">
        <v>6559</v>
      </c>
    </row>
    <row r="3020" spans="1:14" x14ac:dyDescent="0.35">
      <c r="A3020">
        <v>1274062</v>
      </c>
      <c r="B3020" s="1" t="s">
        <v>6262</v>
      </c>
      <c r="C3020">
        <v>15978.6</v>
      </c>
      <c r="D3020">
        <v>221</v>
      </c>
      <c r="E3020" s="1" t="s">
        <v>6560</v>
      </c>
      <c r="F3020" s="1" t="s">
        <v>15</v>
      </c>
      <c r="G3020" s="1" t="s">
        <v>22</v>
      </c>
      <c r="H3020">
        <v>54</v>
      </c>
      <c r="I3020">
        <v>9</v>
      </c>
      <c r="J3020">
        <v>6</v>
      </c>
      <c r="K3020" s="1" t="s">
        <v>84</v>
      </c>
      <c r="L3020" s="1" t="s">
        <v>24</v>
      </c>
      <c r="M3020" s="1" t="s">
        <v>6552</v>
      </c>
      <c r="N3020" s="1" t="s">
        <v>6561</v>
      </c>
    </row>
    <row r="3021" spans="1:14" x14ac:dyDescent="0.35">
      <c r="A3021">
        <v>1274061</v>
      </c>
      <c r="B3021" s="1" t="s">
        <v>6262</v>
      </c>
      <c r="C3021">
        <v>15978.6</v>
      </c>
      <c r="D3021">
        <v>221</v>
      </c>
      <c r="E3021" s="1" t="s">
        <v>6562</v>
      </c>
      <c r="F3021" s="1" t="s">
        <v>15</v>
      </c>
      <c r="G3021" s="1" t="s">
        <v>22</v>
      </c>
      <c r="H3021">
        <v>50</v>
      </c>
      <c r="I3021">
        <v>15</v>
      </c>
      <c r="J3021">
        <v>41</v>
      </c>
      <c r="K3021" s="1" t="s">
        <v>90</v>
      </c>
      <c r="L3021" s="1" t="s">
        <v>24</v>
      </c>
      <c r="M3021" s="1" t="s">
        <v>6552</v>
      </c>
      <c r="N3021" s="1" t="s">
        <v>6563</v>
      </c>
    </row>
    <row r="3022" spans="1:14" x14ac:dyDescent="0.35">
      <c r="A3022">
        <v>1207015</v>
      </c>
      <c r="B3022" s="1" t="s">
        <v>6262</v>
      </c>
      <c r="C3022">
        <v>15978.6</v>
      </c>
      <c r="D3022">
        <v>221</v>
      </c>
      <c r="E3022" s="1" t="s">
        <v>6564</v>
      </c>
      <c r="F3022" s="1" t="s">
        <v>15</v>
      </c>
      <c r="G3022" s="1" t="s">
        <v>16</v>
      </c>
      <c r="H3022">
        <v>220</v>
      </c>
      <c r="I3022">
        <v>97</v>
      </c>
      <c r="J3022">
        <v>590</v>
      </c>
      <c r="K3022" s="1" t="s">
        <v>17</v>
      </c>
      <c r="L3022" s="1" t="s">
        <v>18</v>
      </c>
      <c r="M3022" s="1" t="s">
        <v>6565</v>
      </c>
      <c r="N3022" s="1" t="s">
        <v>6566</v>
      </c>
    </row>
    <row r="3023" spans="1:14" x14ac:dyDescent="0.35">
      <c r="A3023">
        <v>1207067</v>
      </c>
      <c r="B3023" s="1" t="s">
        <v>6262</v>
      </c>
      <c r="C3023">
        <v>15978.6</v>
      </c>
      <c r="D3023">
        <v>221</v>
      </c>
      <c r="E3023" s="1" t="s">
        <v>6567</v>
      </c>
      <c r="F3023" s="1" t="s">
        <v>15</v>
      </c>
      <c r="G3023" s="1" t="s">
        <v>32</v>
      </c>
      <c r="H3023">
        <v>100</v>
      </c>
      <c r="I3023">
        <v>23</v>
      </c>
      <c r="J3023">
        <v>93</v>
      </c>
      <c r="K3023" s="1" t="s">
        <v>90</v>
      </c>
      <c r="L3023" s="1" t="s">
        <v>24</v>
      </c>
      <c r="M3023" s="1" t="s">
        <v>6565</v>
      </c>
      <c r="N3023" s="1" t="s">
        <v>6568</v>
      </c>
    </row>
    <row r="3024" spans="1:14" x14ac:dyDescent="0.35">
      <c r="A3024">
        <v>1207068</v>
      </c>
      <c r="B3024" s="1" t="s">
        <v>6262</v>
      </c>
      <c r="C3024">
        <v>15978.6</v>
      </c>
      <c r="D3024">
        <v>221</v>
      </c>
      <c r="E3024" s="1" t="s">
        <v>6569</v>
      </c>
      <c r="F3024" s="1" t="s">
        <v>15</v>
      </c>
      <c r="G3024" s="1" t="s">
        <v>22</v>
      </c>
      <c r="H3024">
        <v>50</v>
      </c>
      <c r="I3024">
        <v>19</v>
      </c>
      <c r="J3024">
        <v>9</v>
      </c>
      <c r="K3024" s="1" t="s">
        <v>23</v>
      </c>
      <c r="L3024" s="1" t="s">
        <v>24</v>
      </c>
      <c r="M3024" s="1" t="s">
        <v>6565</v>
      </c>
      <c r="N3024" s="1" t="s">
        <v>6570</v>
      </c>
    </row>
    <row r="3025" spans="1:14" x14ac:dyDescent="0.35">
      <c r="A3025">
        <v>1207073</v>
      </c>
      <c r="B3025" s="1" t="s">
        <v>6262</v>
      </c>
      <c r="C3025">
        <v>15978.6</v>
      </c>
      <c r="D3025">
        <v>221</v>
      </c>
      <c r="E3025" s="1" t="s">
        <v>3639</v>
      </c>
      <c r="F3025" s="1" t="s">
        <v>15</v>
      </c>
      <c r="G3025" s="1" t="s">
        <v>22</v>
      </c>
      <c r="H3025">
        <v>17</v>
      </c>
      <c r="I3025">
        <v>3</v>
      </c>
      <c r="K3025" s="1" t="s">
        <v>23</v>
      </c>
      <c r="L3025" s="1" t="s">
        <v>24</v>
      </c>
      <c r="M3025" s="1" t="s">
        <v>6565</v>
      </c>
      <c r="N3025" s="1" t="s">
        <v>6571</v>
      </c>
    </row>
    <row r="3026" spans="1:14" x14ac:dyDescent="0.35">
      <c r="A3026">
        <v>1207069</v>
      </c>
      <c r="B3026" s="1" t="s">
        <v>6262</v>
      </c>
      <c r="C3026">
        <v>15978.6</v>
      </c>
      <c r="D3026">
        <v>221</v>
      </c>
      <c r="E3026" s="1" t="s">
        <v>6572</v>
      </c>
      <c r="F3026" s="1" t="s">
        <v>15</v>
      </c>
      <c r="G3026" s="1" t="s">
        <v>22</v>
      </c>
      <c r="H3026">
        <v>33</v>
      </c>
      <c r="I3026">
        <v>12</v>
      </c>
      <c r="J3026">
        <v>3</v>
      </c>
      <c r="K3026" s="1" t="s">
        <v>90</v>
      </c>
      <c r="L3026" s="1" t="s">
        <v>24</v>
      </c>
      <c r="M3026" s="1" t="s">
        <v>6565</v>
      </c>
      <c r="N3026" s="1" t="s">
        <v>6573</v>
      </c>
    </row>
    <row r="3027" spans="1:14" x14ac:dyDescent="0.35">
      <c r="A3027">
        <v>1222002</v>
      </c>
      <c r="B3027" s="1" t="s">
        <v>6262</v>
      </c>
      <c r="C3027">
        <v>15978.6</v>
      </c>
      <c r="D3027">
        <v>221</v>
      </c>
      <c r="E3027" s="1" t="s">
        <v>6574</v>
      </c>
      <c r="F3027" s="1" t="s">
        <v>15</v>
      </c>
      <c r="G3027" s="1" t="s">
        <v>32</v>
      </c>
      <c r="H3027">
        <v>133</v>
      </c>
      <c r="I3027">
        <v>32</v>
      </c>
      <c r="J3027">
        <v>205</v>
      </c>
      <c r="K3027" s="1" t="s">
        <v>17</v>
      </c>
      <c r="L3027" s="1" t="s">
        <v>18</v>
      </c>
      <c r="M3027" s="1" t="s">
        <v>6575</v>
      </c>
      <c r="N3027" s="1" t="s">
        <v>6576</v>
      </c>
    </row>
    <row r="3028" spans="1:14" x14ac:dyDescent="0.35">
      <c r="A3028">
        <v>1207052</v>
      </c>
      <c r="B3028" s="1" t="s">
        <v>6262</v>
      </c>
      <c r="C3028">
        <v>15978.6</v>
      </c>
      <c r="D3028">
        <v>221</v>
      </c>
      <c r="E3028" s="1" t="s">
        <v>6577</v>
      </c>
      <c r="F3028" s="1" t="s">
        <v>15</v>
      </c>
      <c r="G3028" s="1" t="s">
        <v>22</v>
      </c>
      <c r="H3028">
        <v>58</v>
      </c>
      <c r="I3028">
        <v>24</v>
      </c>
      <c r="J3028">
        <v>85</v>
      </c>
      <c r="K3028" s="1" t="s">
        <v>61</v>
      </c>
      <c r="L3028" s="1" t="s">
        <v>24</v>
      </c>
      <c r="M3028" s="1" t="s">
        <v>6575</v>
      </c>
      <c r="N3028" s="1" t="s">
        <v>6578</v>
      </c>
    </row>
    <row r="3029" spans="1:14" x14ac:dyDescent="0.35">
      <c r="A3029">
        <v>1206063</v>
      </c>
      <c r="B3029" s="1" t="s">
        <v>6262</v>
      </c>
      <c r="C3029">
        <v>15978.6</v>
      </c>
      <c r="D3029">
        <v>221</v>
      </c>
      <c r="E3029" s="1" t="s">
        <v>6579</v>
      </c>
      <c r="F3029" s="1" t="s">
        <v>15</v>
      </c>
      <c r="G3029" s="1" t="s">
        <v>22</v>
      </c>
      <c r="H3029">
        <v>108</v>
      </c>
      <c r="I3029">
        <v>25</v>
      </c>
      <c r="J3029">
        <v>151</v>
      </c>
      <c r="K3029" s="1" t="s">
        <v>90</v>
      </c>
      <c r="L3029" s="1" t="s">
        <v>24</v>
      </c>
      <c r="M3029" s="1" t="s">
        <v>6575</v>
      </c>
      <c r="N3029" s="1" t="s">
        <v>6580</v>
      </c>
    </row>
    <row r="3030" spans="1:14" x14ac:dyDescent="0.35">
      <c r="A3030">
        <v>1223002</v>
      </c>
      <c r="B3030" s="1" t="s">
        <v>6262</v>
      </c>
      <c r="C3030">
        <v>15978.6</v>
      </c>
      <c r="D3030">
        <v>221</v>
      </c>
      <c r="E3030" s="1" t="s">
        <v>6581</v>
      </c>
      <c r="F3030" s="1" t="s">
        <v>15</v>
      </c>
      <c r="G3030" s="1" t="s">
        <v>32</v>
      </c>
      <c r="H3030">
        <v>120</v>
      </c>
      <c r="I3030">
        <v>26</v>
      </c>
      <c r="J3030">
        <v>272</v>
      </c>
      <c r="K3030" s="1" t="s">
        <v>17</v>
      </c>
      <c r="L3030" s="1" t="s">
        <v>24</v>
      </c>
      <c r="M3030" s="1" t="s">
        <v>6582</v>
      </c>
      <c r="N3030" s="1" t="s">
        <v>6583</v>
      </c>
    </row>
    <row r="3031" spans="1:14" x14ac:dyDescent="0.35">
      <c r="A3031">
        <v>1223018</v>
      </c>
      <c r="B3031" s="1" t="s">
        <v>6262</v>
      </c>
      <c r="C3031">
        <v>15978.6</v>
      </c>
      <c r="D3031">
        <v>221</v>
      </c>
      <c r="E3031" s="1" t="s">
        <v>6584</v>
      </c>
      <c r="F3031" s="1" t="s">
        <v>15</v>
      </c>
      <c r="G3031" s="1" t="s">
        <v>22</v>
      </c>
      <c r="H3031">
        <v>56</v>
      </c>
      <c r="I3031">
        <v>22</v>
      </c>
      <c r="K3031" s="1" t="s">
        <v>23</v>
      </c>
      <c r="L3031" s="1" t="s">
        <v>24</v>
      </c>
      <c r="M3031" s="1" t="s">
        <v>6582</v>
      </c>
      <c r="N3031" s="1" t="s">
        <v>6585</v>
      </c>
    </row>
    <row r="3032" spans="1:14" x14ac:dyDescent="0.35">
      <c r="A3032">
        <v>1223005</v>
      </c>
      <c r="B3032" s="1" t="s">
        <v>6262</v>
      </c>
      <c r="C3032">
        <v>15978.6</v>
      </c>
      <c r="D3032">
        <v>221</v>
      </c>
      <c r="E3032" s="1" t="s">
        <v>6586</v>
      </c>
      <c r="F3032" s="1" t="s">
        <v>15</v>
      </c>
      <c r="G3032" s="1" t="s">
        <v>22</v>
      </c>
      <c r="H3032">
        <v>70</v>
      </c>
      <c r="I3032">
        <v>17</v>
      </c>
      <c r="J3032">
        <v>32</v>
      </c>
      <c r="K3032" s="1" t="s">
        <v>95</v>
      </c>
      <c r="L3032" s="1" t="s">
        <v>120</v>
      </c>
      <c r="M3032" s="1" t="s">
        <v>6582</v>
      </c>
      <c r="N3032" s="1" t="s">
        <v>6587</v>
      </c>
    </row>
    <row r="3033" spans="1:14" x14ac:dyDescent="0.35">
      <c r="A3033">
        <v>1223006</v>
      </c>
      <c r="B3033" s="1" t="s">
        <v>6262</v>
      </c>
      <c r="C3033">
        <v>15978.6</v>
      </c>
      <c r="D3033">
        <v>221</v>
      </c>
      <c r="E3033" s="1" t="s">
        <v>6588</v>
      </c>
      <c r="F3033" s="1" t="s">
        <v>15</v>
      </c>
      <c r="G3033" s="1" t="s">
        <v>22</v>
      </c>
      <c r="H3033">
        <v>31</v>
      </c>
      <c r="I3033">
        <v>12</v>
      </c>
      <c r="K3033" s="1" t="s">
        <v>90</v>
      </c>
      <c r="L3033" s="1" t="s">
        <v>24</v>
      </c>
      <c r="M3033" s="1" t="s">
        <v>6582</v>
      </c>
      <c r="N3033" s="1" t="s">
        <v>6589</v>
      </c>
    </row>
    <row r="3034" spans="1:14" x14ac:dyDescent="0.35">
      <c r="A3034">
        <v>1213059</v>
      </c>
      <c r="B3034" s="1" t="s">
        <v>6262</v>
      </c>
      <c r="C3034">
        <v>15978.6</v>
      </c>
      <c r="D3034">
        <v>221</v>
      </c>
      <c r="E3034" s="1" t="s">
        <v>6590</v>
      </c>
      <c r="F3034" s="1" t="s">
        <v>15</v>
      </c>
      <c r="G3034" s="1" t="s">
        <v>16</v>
      </c>
      <c r="H3034">
        <v>367</v>
      </c>
      <c r="I3034">
        <v>44</v>
      </c>
      <c r="J3034">
        <v>721</v>
      </c>
      <c r="K3034" s="1" t="s">
        <v>23</v>
      </c>
      <c r="L3034" s="1" t="s">
        <v>24</v>
      </c>
      <c r="M3034" s="1" t="s">
        <v>6591</v>
      </c>
      <c r="N3034" s="1" t="s">
        <v>6592</v>
      </c>
    </row>
    <row r="3035" spans="1:14" x14ac:dyDescent="0.35">
      <c r="A3035">
        <v>1213035</v>
      </c>
      <c r="B3035" s="1" t="s">
        <v>6262</v>
      </c>
      <c r="C3035">
        <v>15978.6</v>
      </c>
      <c r="D3035">
        <v>221</v>
      </c>
      <c r="E3035" s="1" t="s">
        <v>6593</v>
      </c>
      <c r="F3035" s="1" t="s">
        <v>15</v>
      </c>
      <c r="G3035" s="1" t="s">
        <v>32</v>
      </c>
      <c r="H3035">
        <v>102</v>
      </c>
      <c r="I3035">
        <v>78</v>
      </c>
      <c r="J3035">
        <v>212</v>
      </c>
      <c r="K3035" s="1" t="s">
        <v>61</v>
      </c>
      <c r="L3035" s="1" t="s">
        <v>24</v>
      </c>
      <c r="M3035" s="1" t="s">
        <v>6591</v>
      </c>
      <c r="N3035" s="1" t="s">
        <v>6594</v>
      </c>
    </row>
    <row r="3036" spans="1:14" x14ac:dyDescent="0.35">
      <c r="A3036">
        <v>1213013</v>
      </c>
      <c r="B3036" s="1" t="s">
        <v>6262</v>
      </c>
      <c r="C3036">
        <v>15978.6</v>
      </c>
      <c r="D3036">
        <v>221</v>
      </c>
      <c r="E3036" s="1" t="s">
        <v>6595</v>
      </c>
      <c r="F3036" s="1" t="s">
        <v>15</v>
      </c>
      <c r="G3036" s="1" t="s">
        <v>32</v>
      </c>
      <c r="H3036">
        <v>120</v>
      </c>
      <c r="I3036">
        <v>33</v>
      </c>
      <c r="J3036">
        <v>261</v>
      </c>
      <c r="K3036" s="1" t="s">
        <v>17</v>
      </c>
      <c r="L3036" s="1" t="s">
        <v>18</v>
      </c>
      <c r="M3036" s="1" t="s">
        <v>6591</v>
      </c>
      <c r="N3036" s="1" t="s">
        <v>6596</v>
      </c>
    </row>
    <row r="3037" spans="1:14" x14ac:dyDescent="0.35">
      <c r="A3037">
        <v>1213062</v>
      </c>
      <c r="B3037" s="1" t="s">
        <v>6262</v>
      </c>
      <c r="C3037">
        <v>15978.6</v>
      </c>
      <c r="D3037">
        <v>221</v>
      </c>
      <c r="E3037" s="1" t="s">
        <v>6597</v>
      </c>
      <c r="F3037" s="1" t="s">
        <v>15</v>
      </c>
      <c r="G3037" s="1" t="s">
        <v>32</v>
      </c>
      <c r="H3037">
        <v>230</v>
      </c>
      <c r="I3037">
        <v>36</v>
      </c>
      <c r="K3037" s="1" t="s">
        <v>90</v>
      </c>
      <c r="L3037" s="1" t="s">
        <v>24</v>
      </c>
      <c r="M3037" s="1" t="s">
        <v>6591</v>
      </c>
      <c r="N3037" s="1" t="s">
        <v>6598</v>
      </c>
    </row>
    <row r="3038" spans="1:14" x14ac:dyDescent="0.35">
      <c r="A3038">
        <v>1213057</v>
      </c>
      <c r="B3038" s="1" t="s">
        <v>6262</v>
      </c>
      <c r="C3038">
        <v>15978.6</v>
      </c>
      <c r="D3038">
        <v>221</v>
      </c>
      <c r="E3038" s="1" t="s">
        <v>6599</v>
      </c>
      <c r="F3038" s="1" t="s">
        <v>15</v>
      </c>
      <c r="G3038" s="1" t="s">
        <v>32</v>
      </c>
      <c r="H3038">
        <v>114</v>
      </c>
      <c r="I3038">
        <v>32</v>
      </c>
      <c r="J3038">
        <v>215</v>
      </c>
      <c r="K3038" s="1" t="s">
        <v>84</v>
      </c>
      <c r="L3038" s="1" t="s">
        <v>24</v>
      </c>
      <c r="M3038" s="1" t="s">
        <v>6591</v>
      </c>
      <c r="N3038" s="1" t="s">
        <v>6600</v>
      </c>
    </row>
    <row r="3039" spans="1:14" x14ac:dyDescent="0.35">
      <c r="A3039">
        <v>1213024</v>
      </c>
      <c r="B3039" s="1" t="s">
        <v>6262</v>
      </c>
      <c r="C3039">
        <v>15978.6</v>
      </c>
      <c r="D3039">
        <v>221</v>
      </c>
      <c r="E3039" s="1" t="s">
        <v>6601</v>
      </c>
      <c r="F3039" s="1" t="s">
        <v>15</v>
      </c>
      <c r="G3039" s="1" t="s">
        <v>32</v>
      </c>
      <c r="H3039">
        <v>106</v>
      </c>
      <c r="I3039">
        <v>17</v>
      </c>
      <c r="J3039">
        <v>160</v>
      </c>
      <c r="K3039" s="1" t="s">
        <v>61</v>
      </c>
      <c r="L3039" s="1" t="s">
        <v>24</v>
      </c>
      <c r="M3039" s="1" t="s">
        <v>6591</v>
      </c>
      <c r="N3039" s="1" t="s">
        <v>6602</v>
      </c>
    </row>
    <row r="3040" spans="1:14" x14ac:dyDescent="0.35">
      <c r="A3040">
        <v>1213058</v>
      </c>
      <c r="B3040" s="1" t="s">
        <v>6262</v>
      </c>
      <c r="C3040">
        <v>15978.6</v>
      </c>
      <c r="D3040">
        <v>221</v>
      </c>
      <c r="E3040" s="1" t="s">
        <v>6603</v>
      </c>
      <c r="F3040" s="1" t="s">
        <v>15</v>
      </c>
      <c r="G3040" s="1" t="s">
        <v>22</v>
      </c>
      <c r="H3040">
        <v>66</v>
      </c>
      <c r="I3040">
        <v>19</v>
      </c>
      <c r="J3040">
        <v>34</v>
      </c>
      <c r="K3040" s="1" t="s">
        <v>90</v>
      </c>
      <c r="L3040" s="1" t="s">
        <v>24</v>
      </c>
      <c r="M3040" s="1" t="s">
        <v>6591</v>
      </c>
      <c r="N3040" s="1" t="s">
        <v>6604</v>
      </c>
    </row>
    <row r="3041" spans="1:14" x14ac:dyDescent="0.35">
      <c r="A3041">
        <v>1203022</v>
      </c>
      <c r="B3041" s="1" t="s">
        <v>6262</v>
      </c>
      <c r="C3041">
        <v>15978.6</v>
      </c>
      <c r="D3041">
        <v>221</v>
      </c>
      <c r="E3041" s="1" t="s">
        <v>6605</v>
      </c>
      <c r="F3041" s="1" t="s">
        <v>15</v>
      </c>
      <c r="G3041" s="1" t="s">
        <v>32</v>
      </c>
      <c r="H3041">
        <v>123</v>
      </c>
      <c r="I3041">
        <v>53</v>
      </c>
      <c r="J3041">
        <v>358</v>
      </c>
      <c r="K3041" s="1" t="s">
        <v>17</v>
      </c>
      <c r="L3041" s="1" t="s">
        <v>18</v>
      </c>
      <c r="M3041" s="1" t="s">
        <v>6606</v>
      </c>
      <c r="N3041" s="1" t="s">
        <v>6607</v>
      </c>
    </row>
    <row r="3042" spans="1:14" x14ac:dyDescent="0.35">
      <c r="A3042">
        <v>1202029</v>
      </c>
      <c r="B3042" s="1" t="s">
        <v>6262</v>
      </c>
      <c r="C3042">
        <v>15978.6</v>
      </c>
      <c r="D3042">
        <v>221</v>
      </c>
      <c r="E3042" s="1" t="s">
        <v>6608</v>
      </c>
      <c r="F3042" s="1" t="s">
        <v>15</v>
      </c>
      <c r="G3042" s="1" t="s">
        <v>32</v>
      </c>
      <c r="H3042">
        <v>102</v>
      </c>
      <c r="I3042">
        <v>26</v>
      </c>
      <c r="K3042" s="1" t="s">
        <v>84</v>
      </c>
      <c r="L3042" s="1" t="s">
        <v>24</v>
      </c>
      <c r="M3042" s="1" t="s">
        <v>6606</v>
      </c>
      <c r="N3042" s="1" t="s">
        <v>6609</v>
      </c>
    </row>
    <row r="3043" spans="1:14" x14ac:dyDescent="0.35">
      <c r="A3043">
        <v>1202028</v>
      </c>
      <c r="B3043" s="1" t="s">
        <v>6262</v>
      </c>
      <c r="C3043">
        <v>15978.6</v>
      </c>
      <c r="D3043">
        <v>221</v>
      </c>
      <c r="E3043" s="1" t="s">
        <v>6610</v>
      </c>
      <c r="F3043" s="1" t="s">
        <v>15</v>
      </c>
      <c r="G3043" s="1" t="s">
        <v>32</v>
      </c>
      <c r="H3043">
        <v>108</v>
      </c>
      <c r="I3043">
        <v>37</v>
      </c>
      <c r="J3043">
        <v>100</v>
      </c>
      <c r="K3043" s="1" t="s">
        <v>84</v>
      </c>
      <c r="L3043" s="1" t="s">
        <v>24</v>
      </c>
      <c r="M3043" s="1" t="s">
        <v>6606</v>
      </c>
      <c r="N3043" s="1" t="s">
        <v>6611</v>
      </c>
    </row>
    <row r="3044" spans="1:14" x14ac:dyDescent="0.35">
      <c r="A3044">
        <v>1202017</v>
      </c>
      <c r="B3044" s="1" t="s">
        <v>6262</v>
      </c>
      <c r="C3044">
        <v>15978.6</v>
      </c>
      <c r="D3044">
        <v>221</v>
      </c>
      <c r="E3044" s="1" t="s">
        <v>6612</v>
      </c>
      <c r="F3044" s="1" t="s">
        <v>15</v>
      </c>
      <c r="G3044" s="1" t="s">
        <v>22</v>
      </c>
      <c r="H3044">
        <v>28</v>
      </c>
      <c r="I3044">
        <v>15</v>
      </c>
      <c r="J3044">
        <v>292</v>
      </c>
      <c r="K3044" s="1" t="s">
        <v>17</v>
      </c>
      <c r="L3044" s="1" t="s">
        <v>18</v>
      </c>
      <c r="M3044" s="1" t="s">
        <v>6606</v>
      </c>
      <c r="N3044" s="1" t="s">
        <v>6613</v>
      </c>
    </row>
    <row r="3045" spans="1:14" x14ac:dyDescent="0.35">
      <c r="A3045">
        <v>1201016</v>
      </c>
      <c r="B3045" s="1" t="s">
        <v>6262</v>
      </c>
      <c r="C3045">
        <v>15978.6</v>
      </c>
      <c r="D3045">
        <v>221</v>
      </c>
      <c r="E3045" s="1" t="s">
        <v>6614</v>
      </c>
      <c r="F3045" s="1" t="s">
        <v>15</v>
      </c>
      <c r="G3045" s="1" t="s">
        <v>32</v>
      </c>
      <c r="H3045">
        <v>349</v>
      </c>
      <c r="I3045">
        <v>42</v>
      </c>
      <c r="J3045">
        <v>859</v>
      </c>
      <c r="K3045" s="1" t="s">
        <v>17</v>
      </c>
      <c r="L3045" s="1" t="s">
        <v>18</v>
      </c>
      <c r="M3045" s="1" t="s">
        <v>6615</v>
      </c>
      <c r="N3045" s="1" t="s">
        <v>6616</v>
      </c>
    </row>
    <row r="3046" spans="1:14" x14ac:dyDescent="0.35">
      <c r="A3046">
        <v>1225002</v>
      </c>
      <c r="B3046" s="1" t="s">
        <v>6262</v>
      </c>
      <c r="C3046">
        <v>15978.6</v>
      </c>
      <c r="D3046">
        <v>221</v>
      </c>
      <c r="E3046" s="1" t="s">
        <v>6617</v>
      </c>
      <c r="F3046" s="1" t="s">
        <v>15</v>
      </c>
      <c r="G3046" s="1" t="s">
        <v>52</v>
      </c>
      <c r="H3046">
        <v>31</v>
      </c>
      <c r="I3046">
        <v>20</v>
      </c>
      <c r="J3046">
        <v>5</v>
      </c>
      <c r="K3046" s="1" t="s">
        <v>17</v>
      </c>
      <c r="L3046" s="1" t="s">
        <v>24</v>
      </c>
      <c r="M3046" s="1" t="s">
        <v>6618</v>
      </c>
      <c r="N3046" s="1" t="s">
        <v>6619</v>
      </c>
    </row>
    <row r="3047" spans="1:14" x14ac:dyDescent="0.35">
      <c r="A3047">
        <v>1225013</v>
      </c>
      <c r="B3047" s="1" t="s">
        <v>6262</v>
      </c>
      <c r="C3047">
        <v>15978.6</v>
      </c>
      <c r="D3047">
        <v>221</v>
      </c>
      <c r="E3047" s="1" t="s">
        <v>6620</v>
      </c>
      <c r="F3047" s="1" t="s">
        <v>15</v>
      </c>
      <c r="G3047" s="1" t="s">
        <v>52</v>
      </c>
      <c r="H3047">
        <v>84</v>
      </c>
      <c r="I3047">
        <v>14</v>
      </c>
      <c r="K3047" s="1" t="s">
        <v>17</v>
      </c>
      <c r="L3047" s="1" t="s">
        <v>24</v>
      </c>
      <c r="M3047" s="1" t="s">
        <v>6618</v>
      </c>
      <c r="N3047" s="1" t="s">
        <v>6621</v>
      </c>
    </row>
    <row r="3048" spans="1:14" x14ac:dyDescent="0.35">
      <c r="A3048">
        <v>1214010</v>
      </c>
      <c r="B3048" s="1" t="s">
        <v>6262</v>
      </c>
      <c r="C3048">
        <v>15978.6</v>
      </c>
      <c r="D3048">
        <v>221</v>
      </c>
      <c r="E3048" s="1" t="s">
        <v>6622</v>
      </c>
      <c r="F3048" s="1" t="s">
        <v>15</v>
      </c>
      <c r="G3048" s="1" t="s">
        <v>22</v>
      </c>
      <c r="H3048">
        <v>50</v>
      </c>
      <c r="I3048">
        <v>4</v>
      </c>
      <c r="K3048" s="1" t="s">
        <v>17</v>
      </c>
      <c r="L3048" s="1" t="s">
        <v>24</v>
      </c>
      <c r="M3048" s="1" t="s">
        <v>6623</v>
      </c>
      <c r="N3048" s="1" t="s">
        <v>6624</v>
      </c>
    </row>
    <row r="3049" spans="1:14" x14ac:dyDescent="0.35">
      <c r="A3049">
        <v>1214022</v>
      </c>
      <c r="B3049" s="1" t="s">
        <v>6262</v>
      </c>
      <c r="C3049">
        <v>15978.6</v>
      </c>
      <c r="D3049">
        <v>221</v>
      </c>
      <c r="E3049" s="1" t="s">
        <v>6625</v>
      </c>
      <c r="F3049" s="1" t="s">
        <v>15</v>
      </c>
      <c r="G3049" s="1" t="s">
        <v>22</v>
      </c>
      <c r="H3049">
        <v>38</v>
      </c>
      <c r="I3049">
        <v>10</v>
      </c>
      <c r="K3049" s="1" t="s">
        <v>17</v>
      </c>
      <c r="L3049" s="1" t="s">
        <v>24</v>
      </c>
      <c r="M3049" s="1" t="s">
        <v>6623</v>
      </c>
      <c r="N3049" s="1" t="s">
        <v>6626</v>
      </c>
    </row>
    <row r="3050" spans="1:14" x14ac:dyDescent="0.35">
      <c r="A3050">
        <v>1214011</v>
      </c>
      <c r="B3050" s="1" t="s">
        <v>6262</v>
      </c>
      <c r="C3050">
        <v>15978.6</v>
      </c>
      <c r="D3050">
        <v>221</v>
      </c>
      <c r="E3050" s="1" t="s">
        <v>6627</v>
      </c>
      <c r="F3050" s="1" t="s">
        <v>15</v>
      </c>
      <c r="G3050" s="1" t="s">
        <v>22</v>
      </c>
      <c r="H3050">
        <v>50</v>
      </c>
      <c r="I3050">
        <v>21</v>
      </c>
      <c r="J3050">
        <v>21</v>
      </c>
      <c r="K3050" s="1" t="s">
        <v>572</v>
      </c>
      <c r="L3050" s="1" t="s">
        <v>24</v>
      </c>
      <c r="M3050" s="1" t="s">
        <v>6623</v>
      </c>
      <c r="N3050" s="1" t="s">
        <v>6628</v>
      </c>
    </row>
    <row r="3051" spans="1:14" x14ac:dyDescent="0.35">
      <c r="A3051">
        <v>1224002</v>
      </c>
      <c r="B3051" s="1" t="s">
        <v>6262</v>
      </c>
      <c r="C3051">
        <v>15978.6</v>
      </c>
      <c r="D3051">
        <v>221</v>
      </c>
      <c r="E3051" s="1" t="s">
        <v>6629</v>
      </c>
      <c r="F3051" s="1" t="s">
        <v>15</v>
      </c>
      <c r="G3051" s="1" t="s">
        <v>22</v>
      </c>
      <c r="H3051">
        <v>58</v>
      </c>
      <c r="I3051">
        <v>27</v>
      </c>
      <c r="J3051">
        <v>95</v>
      </c>
      <c r="K3051" s="1" t="s">
        <v>17</v>
      </c>
      <c r="L3051" s="1" t="s">
        <v>18</v>
      </c>
      <c r="M3051" s="1" t="s">
        <v>6630</v>
      </c>
      <c r="N3051" s="1" t="s">
        <v>6631</v>
      </c>
    </row>
    <row r="3052" spans="1:14" x14ac:dyDescent="0.35">
      <c r="A3052">
        <v>1203055</v>
      </c>
      <c r="B3052" s="1" t="s">
        <v>6262</v>
      </c>
      <c r="C3052">
        <v>15978.6</v>
      </c>
      <c r="D3052">
        <v>221</v>
      </c>
      <c r="E3052" s="1" t="s">
        <v>6632</v>
      </c>
      <c r="F3052" s="1" t="s">
        <v>15</v>
      </c>
      <c r="G3052" s="1" t="s">
        <v>32</v>
      </c>
      <c r="H3052">
        <v>106</v>
      </c>
      <c r="I3052">
        <v>41</v>
      </c>
      <c r="J3052">
        <v>400</v>
      </c>
      <c r="K3052" s="1" t="s">
        <v>17</v>
      </c>
      <c r="L3052" s="1" t="s">
        <v>18</v>
      </c>
      <c r="M3052" s="1" t="s">
        <v>6633</v>
      </c>
      <c r="N3052" s="1" t="s">
        <v>6634</v>
      </c>
    </row>
    <row r="3053" spans="1:14" x14ac:dyDescent="0.35">
      <c r="A3053">
        <v>1221002</v>
      </c>
      <c r="B3053" s="1" t="s">
        <v>6262</v>
      </c>
      <c r="C3053">
        <v>15978.6</v>
      </c>
      <c r="D3053">
        <v>221</v>
      </c>
      <c r="E3053" s="1" t="s">
        <v>6635</v>
      </c>
      <c r="F3053" s="1" t="s">
        <v>15</v>
      </c>
      <c r="G3053" s="1" t="s">
        <v>22</v>
      </c>
      <c r="H3053">
        <v>62</v>
      </c>
      <c r="I3053">
        <v>20</v>
      </c>
      <c r="J3053">
        <v>96</v>
      </c>
      <c r="K3053" s="1" t="s">
        <v>23</v>
      </c>
      <c r="L3053" s="1" t="s">
        <v>24</v>
      </c>
      <c r="M3053" s="1" t="s">
        <v>6633</v>
      </c>
      <c r="N3053" s="1" t="s">
        <v>6636</v>
      </c>
    </row>
    <row r="3054" spans="1:14" x14ac:dyDescent="0.35">
      <c r="A3054">
        <v>1203044</v>
      </c>
      <c r="B3054" s="1" t="s">
        <v>6262</v>
      </c>
      <c r="C3054">
        <v>15978.6</v>
      </c>
      <c r="D3054">
        <v>221</v>
      </c>
      <c r="E3054" s="1" t="s">
        <v>6637</v>
      </c>
      <c r="F3054" s="1" t="s">
        <v>15</v>
      </c>
      <c r="G3054" s="1" t="s">
        <v>32</v>
      </c>
      <c r="H3054">
        <v>104</v>
      </c>
      <c r="I3054">
        <v>58</v>
      </c>
      <c r="J3054">
        <v>479</v>
      </c>
      <c r="K3054" s="1" t="s">
        <v>17</v>
      </c>
      <c r="L3054" s="1" t="s">
        <v>24</v>
      </c>
      <c r="M3054" s="1" t="s">
        <v>6638</v>
      </c>
      <c r="N3054" s="1" t="s">
        <v>6639</v>
      </c>
    </row>
    <row r="3055" spans="1:14" x14ac:dyDescent="0.35">
      <c r="A3055">
        <v>1216011</v>
      </c>
      <c r="B3055" s="1" t="s">
        <v>6262</v>
      </c>
      <c r="C3055">
        <v>15978.6</v>
      </c>
      <c r="D3055">
        <v>221</v>
      </c>
      <c r="E3055" s="1" t="s">
        <v>6640</v>
      </c>
      <c r="F3055" s="1" t="s">
        <v>15</v>
      </c>
      <c r="G3055" s="1" t="s">
        <v>32</v>
      </c>
      <c r="H3055">
        <v>100</v>
      </c>
      <c r="I3055">
        <v>24</v>
      </c>
      <c r="J3055">
        <v>145</v>
      </c>
      <c r="K3055" s="1" t="s">
        <v>17</v>
      </c>
      <c r="L3055" s="1" t="s">
        <v>18</v>
      </c>
      <c r="M3055" s="1" t="s">
        <v>6641</v>
      </c>
      <c r="N3055" s="1" t="s">
        <v>6642</v>
      </c>
    </row>
    <row r="3056" spans="1:14" x14ac:dyDescent="0.35">
      <c r="A3056">
        <v>1205024</v>
      </c>
      <c r="B3056" s="1" t="s">
        <v>6262</v>
      </c>
      <c r="C3056">
        <v>15978.6</v>
      </c>
      <c r="D3056">
        <v>221</v>
      </c>
      <c r="E3056" s="1" t="s">
        <v>6643</v>
      </c>
      <c r="F3056" s="1" t="s">
        <v>15</v>
      </c>
      <c r="G3056" s="1" t="s">
        <v>32</v>
      </c>
      <c r="H3056">
        <v>108</v>
      </c>
      <c r="I3056">
        <v>33</v>
      </c>
      <c r="J3056">
        <v>252</v>
      </c>
      <c r="K3056" s="1" t="s">
        <v>17</v>
      </c>
      <c r="L3056" s="1" t="s">
        <v>18</v>
      </c>
      <c r="M3056" s="1" t="s">
        <v>6644</v>
      </c>
      <c r="N3056" s="1" t="s">
        <v>6645</v>
      </c>
    </row>
    <row r="3057" spans="1:14" x14ac:dyDescent="0.35">
      <c r="A3057">
        <v>1218125</v>
      </c>
      <c r="B3057" s="1" t="s">
        <v>6262</v>
      </c>
      <c r="C3057">
        <v>15978.6</v>
      </c>
      <c r="D3057">
        <v>221</v>
      </c>
      <c r="E3057" s="1" t="s">
        <v>6646</v>
      </c>
      <c r="F3057" s="1" t="s">
        <v>15</v>
      </c>
      <c r="G3057" s="1" t="s">
        <v>32</v>
      </c>
      <c r="H3057">
        <v>148</v>
      </c>
      <c r="I3057">
        <v>36</v>
      </c>
      <c r="J3057">
        <v>317</v>
      </c>
      <c r="K3057" s="1" t="s">
        <v>17</v>
      </c>
      <c r="L3057" s="1" t="s">
        <v>18</v>
      </c>
      <c r="M3057" s="1" t="s">
        <v>6647</v>
      </c>
      <c r="N3057" s="1" t="s">
        <v>6648</v>
      </c>
    </row>
    <row r="3058" spans="1:14" x14ac:dyDescent="0.35">
      <c r="A3058">
        <v>1218026</v>
      </c>
      <c r="B3058" s="1" t="s">
        <v>6262</v>
      </c>
      <c r="C3058">
        <v>15978.6</v>
      </c>
      <c r="D3058">
        <v>221</v>
      </c>
      <c r="E3058" s="1" t="s">
        <v>6649</v>
      </c>
      <c r="F3058" s="1" t="s">
        <v>15</v>
      </c>
      <c r="G3058" s="1" t="s">
        <v>32</v>
      </c>
      <c r="H3058">
        <v>100</v>
      </c>
      <c r="I3058">
        <v>30</v>
      </c>
      <c r="J3058">
        <v>190</v>
      </c>
      <c r="K3058" s="1" t="s">
        <v>61</v>
      </c>
      <c r="L3058" s="1" t="s">
        <v>24</v>
      </c>
      <c r="M3058" s="1" t="s">
        <v>6647</v>
      </c>
      <c r="N3058" s="1" t="s">
        <v>6650</v>
      </c>
    </row>
    <row r="3059" spans="1:14" x14ac:dyDescent="0.35">
      <c r="A3059">
        <v>1218024</v>
      </c>
      <c r="B3059" s="1" t="s">
        <v>6262</v>
      </c>
      <c r="C3059">
        <v>15978.6</v>
      </c>
      <c r="D3059">
        <v>221</v>
      </c>
      <c r="E3059" s="1" t="s">
        <v>6651</v>
      </c>
      <c r="F3059" s="1" t="s">
        <v>15</v>
      </c>
      <c r="G3059" s="1" t="s">
        <v>32</v>
      </c>
      <c r="H3059">
        <v>172</v>
      </c>
      <c r="I3059">
        <v>28</v>
      </c>
      <c r="J3059">
        <v>129</v>
      </c>
      <c r="K3059" s="1" t="s">
        <v>84</v>
      </c>
      <c r="L3059" s="1" t="s">
        <v>24</v>
      </c>
      <c r="M3059" s="1" t="s">
        <v>6647</v>
      </c>
      <c r="N3059" s="1" t="s">
        <v>6652</v>
      </c>
    </row>
    <row r="3060" spans="1:14" x14ac:dyDescent="0.35">
      <c r="A3060">
        <v>1218025</v>
      </c>
      <c r="B3060" s="1" t="s">
        <v>6262</v>
      </c>
      <c r="C3060">
        <v>15978.6</v>
      </c>
      <c r="D3060">
        <v>221</v>
      </c>
      <c r="E3060" s="1" t="s">
        <v>6653</v>
      </c>
      <c r="F3060" s="1" t="s">
        <v>15</v>
      </c>
      <c r="G3060" s="1" t="s">
        <v>22</v>
      </c>
      <c r="H3060">
        <v>50</v>
      </c>
      <c r="I3060">
        <v>12</v>
      </c>
      <c r="J3060">
        <v>11</v>
      </c>
      <c r="K3060" s="1" t="s">
        <v>90</v>
      </c>
      <c r="L3060" s="1" t="s">
        <v>24</v>
      </c>
      <c r="M3060" s="1" t="s">
        <v>6647</v>
      </c>
      <c r="N3060" s="1" t="s">
        <v>6654</v>
      </c>
    </row>
    <row r="3061" spans="1:14" x14ac:dyDescent="0.35">
      <c r="A3061">
        <v>1218029</v>
      </c>
      <c r="B3061" s="1" t="s">
        <v>6262</v>
      </c>
      <c r="C3061">
        <v>15978.6</v>
      </c>
      <c r="D3061">
        <v>221</v>
      </c>
      <c r="E3061" s="1" t="s">
        <v>6655</v>
      </c>
      <c r="F3061" s="1" t="s">
        <v>15</v>
      </c>
      <c r="G3061" s="1" t="s">
        <v>22</v>
      </c>
      <c r="H3061">
        <v>47</v>
      </c>
      <c r="I3061">
        <v>28</v>
      </c>
      <c r="J3061">
        <v>1</v>
      </c>
      <c r="K3061" s="1" t="s">
        <v>23</v>
      </c>
      <c r="L3061" s="1" t="s">
        <v>24</v>
      </c>
      <c r="M3061" s="1" t="s">
        <v>6647</v>
      </c>
      <c r="N3061" s="1" t="s">
        <v>6656</v>
      </c>
    </row>
    <row r="3062" spans="1:14" x14ac:dyDescent="0.35">
      <c r="A3062">
        <v>1218013</v>
      </c>
      <c r="B3062" s="1" t="s">
        <v>6262</v>
      </c>
      <c r="C3062">
        <v>15978.6</v>
      </c>
      <c r="D3062">
        <v>221</v>
      </c>
      <c r="E3062" s="1" t="s">
        <v>6657</v>
      </c>
      <c r="F3062" s="1" t="s">
        <v>15</v>
      </c>
      <c r="G3062" s="1" t="s">
        <v>22</v>
      </c>
      <c r="H3062">
        <v>68</v>
      </c>
      <c r="I3062">
        <v>23</v>
      </c>
      <c r="J3062">
        <v>61</v>
      </c>
      <c r="K3062" s="1" t="s">
        <v>84</v>
      </c>
      <c r="L3062" s="1" t="s">
        <v>24</v>
      </c>
      <c r="M3062" s="1" t="s">
        <v>6647</v>
      </c>
      <c r="N3062" s="1" t="s">
        <v>6658</v>
      </c>
    </row>
    <row r="3063" spans="1:14" x14ac:dyDescent="0.35">
      <c r="A3063">
        <v>1209010</v>
      </c>
      <c r="B3063" s="1" t="s">
        <v>6262</v>
      </c>
      <c r="C3063">
        <v>15978.6</v>
      </c>
      <c r="D3063">
        <v>221</v>
      </c>
      <c r="E3063" s="1" t="s">
        <v>6659</v>
      </c>
      <c r="F3063" s="1" t="s">
        <v>15</v>
      </c>
      <c r="G3063" s="1" t="s">
        <v>32</v>
      </c>
      <c r="H3063">
        <v>121</v>
      </c>
      <c r="I3063">
        <v>19</v>
      </c>
      <c r="J3063">
        <v>152</v>
      </c>
      <c r="K3063" s="1" t="s">
        <v>61</v>
      </c>
      <c r="L3063" s="1" t="s">
        <v>24</v>
      </c>
      <c r="M3063" s="1" t="s">
        <v>6660</v>
      </c>
      <c r="N3063" s="1" t="s">
        <v>6661</v>
      </c>
    </row>
    <row r="3064" spans="1:14" x14ac:dyDescent="0.35">
      <c r="A3064">
        <v>1209077</v>
      </c>
      <c r="B3064" s="1" t="s">
        <v>6262</v>
      </c>
      <c r="C3064">
        <v>15978.6</v>
      </c>
      <c r="D3064">
        <v>221</v>
      </c>
      <c r="E3064" s="1" t="s">
        <v>6662</v>
      </c>
      <c r="F3064" s="1" t="s">
        <v>15</v>
      </c>
      <c r="G3064" s="1" t="s">
        <v>32</v>
      </c>
      <c r="H3064">
        <v>103</v>
      </c>
      <c r="I3064">
        <v>48</v>
      </c>
      <c r="J3064">
        <v>186</v>
      </c>
      <c r="K3064" s="1" t="s">
        <v>17</v>
      </c>
      <c r="L3064" s="1" t="s">
        <v>18</v>
      </c>
      <c r="M3064" s="1" t="s">
        <v>6660</v>
      </c>
      <c r="N3064" s="1" t="s">
        <v>6663</v>
      </c>
    </row>
    <row r="3065" spans="1:14" x14ac:dyDescent="0.35">
      <c r="A3065">
        <v>1209076</v>
      </c>
      <c r="B3065" s="1" t="s">
        <v>6262</v>
      </c>
      <c r="C3065">
        <v>15978.6</v>
      </c>
      <c r="D3065">
        <v>221</v>
      </c>
      <c r="E3065" s="1" t="s">
        <v>6664</v>
      </c>
      <c r="F3065" s="1" t="s">
        <v>15</v>
      </c>
      <c r="G3065" s="1" t="s">
        <v>32</v>
      </c>
      <c r="H3065">
        <v>105</v>
      </c>
      <c r="I3065">
        <v>30</v>
      </c>
      <c r="J3065">
        <v>186</v>
      </c>
      <c r="K3065" s="1" t="s">
        <v>17</v>
      </c>
      <c r="L3065" s="1" t="s">
        <v>18</v>
      </c>
      <c r="M3065" s="1" t="s">
        <v>6660</v>
      </c>
      <c r="N3065" s="1" t="s">
        <v>6665</v>
      </c>
    </row>
    <row r="3066" spans="1:14" x14ac:dyDescent="0.35">
      <c r="A3066">
        <v>1209021</v>
      </c>
      <c r="B3066" s="1" t="s">
        <v>6262</v>
      </c>
      <c r="C3066">
        <v>15978.6</v>
      </c>
      <c r="D3066">
        <v>221</v>
      </c>
      <c r="E3066" s="1" t="s">
        <v>6666</v>
      </c>
      <c r="F3066" s="1" t="s">
        <v>15</v>
      </c>
      <c r="G3066" s="1" t="s">
        <v>32</v>
      </c>
      <c r="H3066">
        <v>98</v>
      </c>
      <c r="I3066">
        <v>42</v>
      </c>
      <c r="J3066">
        <v>112</v>
      </c>
      <c r="K3066" s="1" t="s">
        <v>61</v>
      </c>
      <c r="L3066" s="1" t="s">
        <v>24</v>
      </c>
      <c r="M3066" s="1" t="s">
        <v>6660</v>
      </c>
      <c r="N3066" s="1" t="s">
        <v>6667</v>
      </c>
    </row>
    <row r="3067" spans="1:14" x14ac:dyDescent="0.35">
      <c r="A3067">
        <v>1209065</v>
      </c>
      <c r="B3067" s="1" t="s">
        <v>6262</v>
      </c>
      <c r="C3067">
        <v>15978.6</v>
      </c>
      <c r="D3067">
        <v>221</v>
      </c>
      <c r="E3067" s="1" t="s">
        <v>6668</v>
      </c>
      <c r="F3067" s="1" t="s">
        <v>15</v>
      </c>
      <c r="G3067" s="1" t="s">
        <v>22</v>
      </c>
      <c r="H3067">
        <v>54</v>
      </c>
      <c r="I3067">
        <v>13</v>
      </c>
      <c r="J3067">
        <v>110</v>
      </c>
      <c r="K3067" s="1" t="s">
        <v>17</v>
      </c>
      <c r="L3067" s="1" t="s">
        <v>18</v>
      </c>
      <c r="M3067" s="1" t="s">
        <v>6660</v>
      </c>
      <c r="N3067" s="1" t="s">
        <v>6669</v>
      </c>
    </row>
    <row r="3068" spans="1:14" x14ac:dyDescent="0.35">
      <c r="A3068">
        <v>1209081</v>
      </c>
      <c r="B3068" s="1" t="s">
        <v>6262</v>
      </c>
      <c r="C3068">
        <v>15978.6</v>
      </c>
      <c r="D3068">
        <v>221</v>
      </c>
      <c r="E3068" s="1" t="s">
        <v>1623</v>
      </c>
      <c r="F3068" s="1" t="s">
        <v>15</v>
      </c>
      <c r="G3068" s="1" t="s">
        <v>22</v>
      </c>
      <c r="H3068">
        <v>93</v>
      </c>
      <c r="I3068">
        <v>23</v>
      </c>
      <c r="J3068">
        <v>94</v>
      </c>
      <c r="K3068" s="1" t="s">
        <v>23</v>
      </c>
      <c r="L3068" s="1" t="s">
        <v>24</v>
      </c>
      <c r="M3068" s="1" t="s">
        <v>6660</v>
      </c>
      <c r="N3068" s="1" t="s">
        <v>6670</v>
      </c>
    </row>
    <row r="3069" spans="1:14" x14ac:dyDescent="0.35">
      <c r="A3069">
        <v>1203033</v>
      </c>
      <c r="B3069" s="1" t="s">
        <v>6262</v>
      </c>
      <c r="C3069">
        <v>15978.6</v>
      </c>
      <c r="D3069">
        <v>221</v>
      </c>
      <c r="E3069" s="1" t="s">
        <v>6671</v>
      </c>
      <c r="F3069" s="1" t="s">
        <v>15</v>
      </c>
      <c r="G3069" s="1" t="s">
        <v>32</v>
      </c>
      <c r="H3069">
        <v>110</v>
      </c>
      <c r="I3069">
        <v>29</v>
      </c>
      <c r="J3069">
        <v>226</v>
      </c>
      <c r="K3069" s="1" t="s">
        <v>17</v>
      </c>
      <c r="L3069" s="1" t="s">
        <v>24</v>
      </c>
      <c r="M3069" s="1" t="s">
        <v>6672</v>
      </c>
      <c r="N3069" s="1" t="s">
        <v>6673</v>
      </c>
    </row>
    <row r="3070" spans="1:14" x14ac:dyDescent="0.35">
      <c r="A3070">
        <v>1203067</v>
      </c>
      <c r="B3070" s="1" t="s">
        <v>6262</v>
      </c>
      <c r="C3070">
        <v>15978.6</v>
      </c>
      <c r="D3070">
        <v>221</v>
      </c>
      <c r="E3070" s="1" t="s">
        <v>6674</v>
      </c>
      <c r="F3070" s="1" t="s">
        <v>15</v>
      </c>
      <c r="G3070" s="1" t="s">
        <v>22</v>
      </c>
      <c r="H3070">
        <v>23</v>
      </c>
      <c r="I3070">
        <v>9</v>
      </c>
      <c r="K3070" s="1" t="s">
        <v>146</v>
      </c>
      <c r="L3070" s="1" t="s">
        <v>24</v>
      </c>
      <c r="M3070" s="1" t="s">
        <v>6672</v>
      </c>
      <c r="N3070" s="1" t="s">
        <v>6675</v>
      </c>
    </row>
    <row r="3071" spans="1:14" x14ac:dyDescent="0.35">
      <c r="A3071">
        <v>1203066</v>
      </c>
      <c r="B3071" s="1" t="s">
        <v>6262</v>
      </c>
      <c r="C3071">
        <v>15978.6</v>
      </c>
      <c r="D3071">
        <v>221</v>
      </c>
      <c r="E3071" s="1" t="s">
        <v>6676</v>
      </c>
      <c r="F3071" s="1" t="s">
        <v>15</v>
      </c>
      <c r="G3071" s="1" t="s">
        <v>22</v>
      </c>
      <c r="H3071">
        <v>51</v>
      </c>
      <c r="I3071">
        <v>5</v>
      </c>
      <c r="K3071" s="1" t="s">
        <v>17</v>
      </c>
      <c r="L3071" s="1" t="s">
        <v>24</v>
      </c>
      <c r="M3071" s="1" t="s">
        <v>6672</v>
      </c>
      <c r="N3071" s="1" t="s">
        <v>6677</v>
      </c>
    </row>
    <row r="3072" spans="1:14" x14ac:dyDescent="0.35">
      <c r="A3072">
        <v>1204056</v>
      </c>
      <c r="B3072" s="1" t="s">
        <v>6262</v>
      </c>
      <c r="C3072">
        <v>15978.6</v>
      </c>
      <c r="D3072">
        <v>221</v>
      </c>
      <c r="E3072" s="1" t="s">
        <v>6678</v>
      </c>
      <c r="F3072" s="1" t="s">
        <v>15</v>
      </c>
      <c r="G3072" s="1" t="s">
        <v>32</v>
      </c>
      <c r="H3072">
        <v>124</v>
      </c>
      <c r="I3072">
        <v>38</v>
      </c>
      <c r="J3072">
        <v>389</v>
      </c>
      <c r="K3072" s="1" t="s">
        <v>17</v>
      </c>
      <c r="L3072" s="1" t="s">
        <v>18</v>
      </c>
      <c r="M3072" s="1" t="s">
        <v>6679</v>
      </c>
      <c r="N3072" s="1" t="s">
        <v>6680</v>
      </c>
    </row>
    <row r="3073" spans="1:14" x14ac:dyDescent="0.35">
      <c r="A3073">
        <v>1205013</v>
      </c>
      <c r="B3073" s="1" t="s">
        <v>6262</v>
      </c>
      <c r="C3073">
        <v>15978.6</v>
      </c>
      <c r="D3073">
        <v>221</v>
      </c>
      <c r="E3073" s="1" t="s">
        <v>6681</v>
      </c>
      <c r="F3073" s="1" t="s">
        <v>15</v>
      </c>
      <c r="G3073" s="1" t="s">
        <v>16</v>
      </c>
      <c r="H3073">
        <v>204</v>
      </c>
      <c r="I3073">
        <v>106</v>
      </c>
      <c r="J3073">
        <v>738</v>
      </c>
      <c r="K3073" s="1" t="s">
        <v>17</v>
      </c>
      <c r="L3073" s="1" t="s">
        <v>18</v>
      </c>
      <c r="M3073" s="1" t="s">
        <v>6682</v>
      </c>
      <c r="N3073" s="1" t="s">
        <v>6683</v>
      </c>
    </row>
    <row r="3074" spans="1:14" x14ac:dyDescent="0.35">
      <c r="A3074">
        <v>1205142</v>
      </c>
      <c r="B3074" s="1" t="s">
        <v>6262</v>
      </c>
      <c r="C3074">
        <v>15978.6</v>
      </c>
      <c r="D3074">
        <v>221</v>
      </c>
      <c r="E3074" s="1" t="s">
        <v>6684</v>
      </c>
      <c r="F3074" s="1" t="s">
        <v>15</v>
      </c>
      <c r="G3074" s="1" t="s">
        <v>22</v>
      </c>
      <c r="H3074">
        <v>60</v>
      </c>
      <c r="I3074">
        <v>20</v>
      </c>
      <c r="J3074">
        <v>59</v>
      </c>
      <c r="K3074" s="1" t="s">
        <v>572</v>
      </c>
      <c r="L3074" s="1" t="s">
        <v>24</v>
      </c>
      <c r="M3074" s="1" t="s">
        <v>6682</v>
      </c>
      <c r="N3074" s="1" t="s">
        <v>6685</v>
      </c>
    </row>
    <row r="3075" spans="1:14" x14ac:dyDescent="0.35">
      <c r="A3075">
        <v>1205046</v>
      </c>
      <c r="B3075" s="1" t="s">
        <v>6262</v>
      </c>
      <c r="C3075">
        <v>15978.6</v>
      </c>
      <c r="D3075">
        <v>221</v>
      </c>
      <c r="E3075" s="1" t="s">
        <v>6686</v>
      </c>
      <c r="F3075" s="1" t="s">
        <v>15</v>
      </c>
      <c r="G3075" s="1" t="s">
        <v>32</v>
      </c>
      <c r="H3075">
        <v>107</v>
      </c>
      <c r="I3075">
        <v>90</v>
      </c>
      <c r="J3075">
        <v>181</v>
      </c>
      <c r="K3075" s="1" t="s">
        <v>17</v>
      </c>
      <c r="L3075" s="1" t="s">
        <v>18</v>
      </c>
      <c r="M3075" s="1" t="s">
        <v>6687</v>
      </c>
      <c r="N3075" s="1" t="s">
        <v>6688</v>
      </c>
    </row>
    <row r="3076" spans="1:14" x14ac:dyDescent="0.35">
      <c r="A3076">
        <v>1205061</v>
      </c>
      <c r="B3076" s="1" t="s">
        <v>6262</v>
      </c>
      <c r="C3076">
        <v>15978.6</v>
      </c>
      <c r="D3076">
        <v>221</v>
      </c>
      <c r="E3076" s="1" t="s">
        <v>6689</v>
      </c>
      <c r="F3076" s="1" t="s">
        <v>15</v>
      </c>
      <c r="G3076" s="1" t="s">
        <v>32</v>
      </c>
      <c r="H3076">
        <v>162</v>
      </c>
      <c r="I3076">
        <v>26</v>
      </c>
      <c r="J3076">
        <v>283</v>
      </c>
      <c r="K3076" s="1" t="s">
        <v>819</v>
      </c>
      <c r="L3076" s="1" t="s">
        <v>120</v>
      </c>
      <c r="M3076" s="1" t="s">
        <v>6687</v>
      </c>
      <c r="N3076" s="1" t="s">
        <v>6690</v>
      </c>
    </row>
    <row r="3077" spans="1:14" x14ac:dyDescent="0.35">
      <c r="A3077">
        <v>3402081</v>
      </c>
      <c r="B3077" s="1" t="s">
        <v>6691</v>
      </c>
      <c r="C3077">
        <v>3802.7</v>
      </c>
      <c r="D3077">
        <v>1199</v>
      </c>
      <c r="E3077" s="1" t="s">
        <v>6692</v>
      </c>
      <c r="F3077" s="1" t="s">
        <v>220</v>
      </c>
      <c r="G3077" s="1" t="s">
        <v>32</v>
      </c>
      <c r="H3077">
        <v>25</v>
      </c>
      <c r="I3077">
        <v>15</v>
      </c>
      <c r="J3077">
        <v>43</v>
      </c>
      <c r="K3077" s="1" t="s">
        <v>23</v>
      </c>
      <c r="L3077" s="1" t="s">
        <v>24</v>
      </c>
      <c r="M3077" s="1" t="s">
        <v>6693</v>
      </c>
      <c r="N3077" s="1" t="s">
        <v>6694</v>
      </c>
    </row>
    <row r="3078" spans="1:14" x14ac:dyDescent="0.35">
      <c r="A3078">
        <v>3402076</v>
      </c>
      <c r="B3078" s="1" t="s">
        <v>6691</v>
      </c>
      <c r="C3078">
        <v>3802.7</v>
      </c>
      <c r="D3078">
        <v>1199</v>
      </c>
      <c r="E3078" s="1" t="s">
        <v>6695</v>
      </c>
      <c r="F3078" s="1" t="s">
        <v>220</v>
      </c>
      <c r="G3078" s="1" t="s">
        <v>32</v>
      </c>
      <c r="H3078">
        <v>25</v>
      </c>
      <c r="I3078">
        <v>21</v>
      </c>
      <c r="J3078">
        <v>110</v>
      </c>
      <c r="K3078" s="1" t="s">
        <v>23</v>
      </c>
      <c r="L3078" s="1" t="s">
        <v>24</v>
      </c>
      <c r="M3078" s="1" t="s">
        <v>6693</v>
      </c>
      <c r="N3078" s="1" t="s">
        <v>6696</v>
      </c>
    </row>
    <row r="3079" spans="1:14" x14ac:dyDescent="0.35">
      <c r="A3079">
        <v>3402080</v>
      </c>
      <c r="B3079" s="1" t="s">
        <v>6691</v>
      </c>
      <c r="C3079">
        <v>3802.7</v>
      </c>
      <c r="D3079">
        <v>1199</v>
      </c>
      <c r="E3079" s="1" t="s">
        <v>6697</v>
      </c>
      <c r="F3079" s="1" t="s">
        <v>71</v>
      </c>
      <c r="G3079" s="1" t="s">
        <v>32</v>
      </c>
      <c r="H3079">
        <v>25</v>
      </c>
      <c r="I3079">
        <v>16</v>
      </c>
      <c r="J3079">
        <v>32</v>
      </c>
      <c r="K3079" s="1" t="s">
        <v>90</v>
      </c>
      <c r="L3079" s="1" t="s">
        <v>24</v>
      </c>
      <c r="M3079" s="1" t="s">
        <v>6693</v>
      </c>
      <c r="N3079" s="1" t="s">
        <v>6698</v>
      </c>
    </row>
    <row r="3080" spans="1:14" x14ac:dyDescent="0.35">
      <c r="A3080">
        <v>3402042</v>
      </c>
      <c r="B3080" s="1" t="s">
        <v>6691</v>
      </c>
      <c r="C3080">
        <v>3802.7</v>
      </c>
      <c r="D3080">
        <v>1199</v>
      </c>
      <c r="E3080" s="1" t="s">
        <v>6699</v>
      </c>
      <c r="F3080" s="1" t="s">
        <v>71</v>
      </c>
      <c r="G3080" s="1" t="s">
        <v>32</v>
      </c>
      <c r="H3080">
        <v>25</v>
      </c>
      <c r="I3080">
        <v>6</v>
      </c>
      <c r="J3080">
        <v>72</v>
      </c>
      <c r="K3080" s="1" t="s">
        <v>84</v>
      </c>
      <c r="L3080" s="1" t="s">
        <v>24</v>
      </c>
      <c r="M3080" s="1" t="s">
        <v>6693</v>
      </c>
      <c r="N3080" s="1" t="s">
        <v>6700</v>
      </c>
    </row>
    <row r="3081" spans="1:14" x14ac:dyDescent="0.35">
      <c r="A3081">
        <v>3471121</v>
      </c>
      <c r="B3081" s="1" t="s">
        <v>6691</v>
      </c>
      <c r="C3081">
        <v>3802.7</v>
      </c>
      <c r="D3081">
        <v>1199</v>
      </c>
      <c r="E3081" s="1" t="s">
        <v>6701</v>
      </c>
      <c r="F3081" s="1" t="s">
        <v>1431</v>
      </c>
      <c r="G3081" s="1" t="s">
        <v>32</v>
      </c>
      <c r="H3081">
        <v>25</v>
      </c>
      <c r="I3081">
        <v>27</v>
      </c>
      <c r="J3081">
        <v>147</v>
      </c>
      <c r="K3081" s="1" t="s">
        <v>124</v>
      </c>
      <c r="L3081" s="1" t="s">
        <v>24</v>
      </c>
      <c r="M3081" s="1" t="s">
        <v>6693</v>
      </c>
      <c r="N3081" s="1" t="s">
        <v>6702</v>
      </c>
    </row>
    <row r="3082" spans="1:14" x14ac:dyDescent="0.35">
      <c r="A3082">
        <v>3471074</v>
      </c>
      <c r="B3082" s="1" t="s">
        <v>6691</v>
      </c>
      <c r="C3082">
        <v>3802.7</v>
      </c>
      <c r="D3082">
        <v>1199</v>
      </c>
      <c r="E3082" s="1" t="s">
        <v>6703</v>
      </c>
      <c r="F3082" s="1" t="s">
        <v>15</v>
      </c>
      <c r="G3082" s="1" t="s">
        <v>16</v>
      </c>
      <c r="H3082">
        <v>285</v>
      </c>
      <c r="I3082">
        <v>104</v>
      </c>
      <c r="J3082">
        <v>54</v>
      </c>
      <c r="K3082" s="1" t="s">
        <v>974</v>
      </c>
      <c r="L3082" s="1" t="s">
        <v>24</v>
      </c>
      <c r="M3082" s="1" t="s">
        <v>6693</v>
      </c>
      <c r="N3082" s="1" t="s">
        <v>6704</v>
      </c>
    </row>
    <row r="3083" spans="1:14" x14ac:dyDescent="0.35">
      <c r="A3083">
        <v>3402016</v>
      </c>
      <c r="B3083" s="1" t="s">
        <v>6691</v>
      </c>
      <c r="C3083">
        <v>3802.7</v>
      </c>
      <c r="D3083">
        <v>1199</v>
      </c>
      <c r="E3083" s="1" t="s">
        <v>6705</v>
      </c>
      <c r="F3083" s="1" t="s">
        <v>15</v>
      </c>
      <c r="G3083" s="1" t="s">
        <v>16</v>
      </c>
      <c r="H3083">
        <v>264</v>
      </c>
      <c r="I3083">
        <v>106</v>
      </c>
      <c r="J3083">
        <v>962</v>
      </c>
      <c r="K3083" s="1" t="s">
        <v>17</v>
      </c>
      <c r="L3083" s="1" t="s">
        <v>18</v>
      </c>
      <c r="M3083" s="1" t="s">
        <v>6693</v>
      </c>
      <c r="N3083" s="1" t="s">
        <v>6706</v>
      </c>
    </row>
    <row r="3084" spans="1:14" x14ac:dyDescent="0.35">
      <c r="A3084">
        <v>3402064</v>
      </c>
      <c r="B3084" s="1" t="s">
        <v>6691</v>
      </c>
      <c r="C3084">
        <v>3802.7</v>
      </c>
      <c r="D3084">
        <v>1199</v>
      </c>
      <c r="E3084" s="1" t="s">
        <v>6707</v>
      </c>
      <c r="F3084" s="1" t="s">
        <v>15</v>
      </c>
      <c r="G3084" s="1" t="s">
        <v>32</v>
      </c>
      <c r="H3084">
        <v>98</v>
      </c>
      <c r="I3084">
        <v>23</v>
      </c>
      <c r="J3084">
        <v>154</v>
      </c>
      <c r="K3084" s="1" t="s">
        <v>84</v>
      </c>
      <c r="L3084" s="1" t="s">
        <v>24</v>
      </c>
      <c r="M3084" s="1" t="s">
        <v>6693</v>
      </c>
      <c r="N3084" s="1" t="s">
        <v>6708</v>
      </c>
    </row>
    <row r="3085" spans="1:14" x14ac:dyDescent="0.35">
      <c r="A3085">
        <v>3402031</v>
      </c>
      <c r="B3085" s="1" t="s">
        <v>6691</v>
      </c>
      <c r="C3085">
        <v>3802.7</v>
      </c>
      <c r="D3085">
        <v>1199</v>
      </c>
      <c r="E3085" s="1" t="s">
        <v>6709</v>
      </c>
      <c r="F3085" s="1" t="s">
        <v>15</v>
      </c>
      <c r="G3085" s="1" t="s">
        <v>32</v>
      </c>
      <c r="H3085">
        <v>112</v>
      </c>
      <c r="I3085">
        <v>55</v>
      </c>
      <c r="J3085">
        <v>389</v>
      </c>
      <c r="K3085" s="1" t="s">
        <v>444</v>
      </c>
      <c r="L3085" s="1" t="s">
        <v>24</v>
      </c>
      <c r="M3085" s="1" t="s">
        <v>6693</v>
      </c>
      <c r="N3085" s="1" t="s">
        <v>6710</v>
      </c>
    </row>
    <row r="3086" spans="1:14" x14ac:dyDescent="0.35">
      <c r="A3086">
        <v>3402084</v>
      </c>
      <c r="B3086" s="1" t="s">
        <v>6691</v>
      </c>
      <c r="C3086">
        <v>3802.7</v>
      </c>
      <c r="D3086">
        <v>1199</v>
      </c>
      <c r="E3086" s="1" t="s">
        <v>6711</v>
      </c>
      <c r="F3086" s="1" t="s">
        <v>15</v>
      </c>
      <c r="G3086" s="1" t="s">
        <v>32</v>
      </c>
      <c r="H3086">
        <v>120</v>
      </c>
      <c r="I3086">
        <v>62</v>
      </c>
      <c r="J3086">
        <v>330</v>
      </c>
      <c r="K3086" s="1" t="s">
        <v>23</v>
      </c>
      <c r="L3086" s="1" t="s">
        <v>24</v>
      </c>
      <c r="M3086" s="1" t="s">
        <v>6693</v>
      </c>
      <c r="N3086" s="1" t="s">
        <v>6712</v>
      </c>
    </row>
    <row r="3087" spans="1:14" x14ac:dyDescent="0.35">
      <c r="A3087">
        <v>3402020</v>
      </c>
      <c r="B3087" s="1" t="s">
        <v>6691</v>
      </c>
      <c r="C3087">
        <v>3802.7</v>
      </c>
      <c r="D3087">
        <v>1199</v>
      </c>
      <c r="E3087" s="1" t="s">
        <v>6713</v>
      </c>
      <c r="F3087" s="1" t="s">
        <v>15</v>
      </c>
      <c r="G3087" s="1" t="s">
        <v>22</v>
      </c>
      <c r="H3087">
        <v>48</v>
      </c>
      <c r="I3087">
        <v>43</v>
      </c>
      <c r="J3087">
        <v>205</v>
      </c>
      <c r="K3087" s="1" t="s">
        <v>572</v>
      </c>
      <c r="L3087" s="1" t="s">
        <v>24</v>
      </c>
      <c r="M3087" s="1" t="s">
        <v>6693</v>
      </c>
      <c r="N3087" s="1" t="s">
        <v>6714</v>
      </c>
    </row>
    <row r="3088" spans="1:14" x14ac:dyDescent="0.35">
      <c r="A3088">
        <v>3402086</v>
      </c>
      <c r="B3088" s="1" t="s">
        <v>6691</v>
      </c>
      <c r="C3088">
        <v>3802.7</v>
      </c>
      <c r="D3088">
        <v>1199</v>
      </c>
      <c r="E3088" s="1" t="s">
        <v>6715</v>
      </c>
      <c r="F3088" s="1" t="s">
        <v>15</v>
      </c>
      <c r="G3088" s="1" t="s">
        <v>22</v>
      </c>
      <c r="H3088">
        <v>50</v>
      </c>
      <c r="I3088">
        <v>39</v>
      </c>
      <c r="J3088">
        <v>271</v>
      </c>
      <c r="K3088" s="1" t="s">
        <v>84</v>
      </c>
      <c r="L3088" s="1" t="s">
        <v>24</v>
      </c>
      <c r="M3088" s="1" t="s">
        <v>6693</v>
      </c>
      <c r="N3088" s="1" t="s">
        <v>6716</v>
      </c>
    </row>
    <row r="3089" spans="1:14" x14ac:dyDescent="0.35">
      <c r="A3089">
        <v>3402053</v>
      </c>
      <c r="B3089" s="1" t="s">
        <v>6691</v>
      </c>
      <c r="C3089">
        <v>3802.7</v>
      </c>
      <c r="D3089">
        <v>1199</v>
      </c>
      <c r="E3089" s="1" t="s">
        <v>6717</v>
      </c>
      <c r="F3089" s="1" t="s">
        <v>15</v>
      </c>
      <c r="G3089" s="1" t="s">
        <v>22</v>
      </c>
      <c r="H3089">
        <v>52</v>
      </c>
      <c r="I3089">
        <v>39</v>
      </c>
      <c r="J3089">
        <v>173</v>
      </c>
      <c r="K3089" s="1" t="s">
        <v>84</v>
      </c>
      <c r="L3089" s="1" t="s">
        <v>24</v>
      </c>
      <c r="M3089" s="1" t="s">
        <v>6693</v>
      </c>
      <c r="N3089" s="1" t="s">
        <v>6718</v>
      </c>
    </row>
    <row r="3090" spans="1:14" x14ac:dyDescent="0.35">
      <c r="A3090">
        <v>3402075</v>
      </c>
      <c r="B3090" s="1" t="s">
        <v>6691</v>
      </c>
      <c r="C3090">
        <v>3802.7</v>
      </c>
      <c r="D3090">
        <v>1199</v>
      </c>
      <c r="E3090" s="1" t="s">
        <v>6719</v>
      </c>
      <c r="F3090" s="1" t="s">
        <v>15</v>
      </c>
      <c r="G3090" s="1" t="s">
        <v>22</v>
      </c>
      <c r="H3090">
        <v>50</v>
      </c>
      <c r="I3090">
        <v>31</v>
      </c>
      <c r="J3090">
        <v>44</v>
      </c>
      <c r="K3090" s="1" t="s">
        <v>84</v>
      </c>
      <c r="L3090" s="1" t="s">
        <v>24</v>
      </c>
      <c r="M3090" s="1" t="s">
        <v>6693</v>
      </c>
      <c r="N3090" s="1" t="s">
        <v>6720</v>
      </c>
    </row>
    <row r="3091" spans="1:14" x14ac:dyDescent="0.35">
      <c r="A3091">
        <v>3402077</v>
      </c>
      <c r="B3091" s="1" t="s">
        <v>6691</v>
      </c>
      <c r="C3091">
        <v>3802.7</v>
      </c>
      <c r="D3091">
        <v>1199</v>
      </c>
      <c r="E3091" s="1" t="s">
        <v>6721</v>
      </c>
      <c r="F3091" s="1" t="s">
        <v>15</v>
      </c>
      <c r="G3091" s="1" t="s">
        <v>22</v>
      </c>
      <c r="H3091">
        <v>58</v>
      </c>
      <c r="I3091">
        <v>28</v>
      </c>
      <c r="J3091">
        <v>136</v>
      </c>
      <c r="K3091" s="1" t="s">
        <v>90</v>
      </c>
      <c r="L3091" s="1" t="s">
        <v>24</v>
      </c>
      <c r="M3091" s="1" t="s">
        <v>6693</v>
      </c>
      <c r="N3091" s="1" t="s">
        <v>6722</v>
      </c>
    </row>
    <row r="3092" spans="1:14" x14ac:dyDescent="0.35">
      <c r="A3092">
        <v>3402097</v>
      </c>
      <c r="B3092" s="1" t="s">
        <v>6691</v>
      </c>
      <c r="C3092">
        <v>3802.7</v>
      </c>
      <c r="D3092">
        <v>1199</v>
      </c>
      <c r="E3092" s="1" t="s">
        <v>6723</v>
      </c>
      <c r="F3092" s="1" t="s">
        <v>15</v>
      </c>
      <c r="G3092" s="1" t="s">
        <v>22</v>
      </c>
      <c r="H3092">
        <v>50</v>
      </c>
      <c r="I3092">
        <v>25</v>
      </c>
      <c r="K3092" s="1" t="s">
        <v>17</v>
      </c>
      <c r="L3092" s="1" t="s">
        <v>18</v>
      </c>
      <c r="M3092" s="1" t="s">
        <v>6693</v>
      </c>
      <c r="N3092" s="1" t="s">
        <v>6724</v>
      </c>
    </row>
    <row r="3093" spans="1:14" x14ac:dyDescent="0.35">
      <c r="A3093">
        <v>3403026</v>
      </c>
      <c r="B3093" s="1" t="s">
        <v>6691</v>
      </c>
      <c r="C3093">
        <v>3802.7</v>
      </c>
      <c r="D3093">
        <v>1199</v>
      </c>
      <c r="E3093" s="1" t="s">
        <v>6725</v>
      </c>
      <c r="F3093" s="1" t="s">
        <v>71</v>
      </c>
      <c r="G3093" s="1" t="s">
        <v>32</v>
      </c>
      <c r="H3093">
        <v>28</v>
      </c>
      <c r="I3093">
        <v>21</v>
      </c>
      <c r="J3093">
        <v>16</v>
      </c>
      <c r="K3093" s="1" t="s">
        <v>23</v>
      </c>
      <c r="L3093" s="1" t="s">
        <v>24</v>
      </c>
      <c r="M3093" s="1" t="s">
        <v>6726</v>
      </c>
      <c r="N3093" s="1" t="s">
        <v>6727</v>
      </c>
    </row>
    <row r="3094" spans="1:14" x14ac:dyDescent="0.35">
      <c r="A3094">
        <v>3403010</v>
      </c>
      <c r="B3094" s="1" t="s">
        <v>6691</v>
      </c>
      <c r="C3094">
        <v>3802.7</v>
      </c>
      <c r="D3094">
        <v>1199</v>
      </c>
      <c r="E3094" s="1" t="s">
        <v>6728</v>
      </c>
      <c r="F3094" s="1" t="s">
        <v>15</v>
      </c>
      <c r="G3094" s="1" t="s">
        <v>16</v>
      </c>
      <c r="H3094">
        <v>207</v>
      </c>
      <c r="I3094">
        <v>113</v>
      </c>
      <c r="J3094">
        <v>379</v>
      </c>
      <c r="K3094" s="1" t="s">
        <v>17</v>
      </c>
      <c r="L3094" s="1" t="s">
        <v>18</v>
      </c>
      <c r="M3094" s="1" t="s">
        <v>6726</v>
      </c>
      <c r="N3094" s="1" t="s">
        <v>6729</v>
      </c>
    </row>
    <row r="3095" spans="1:14" x14ac:dyDescent="0.35">
      <c r="A3095">
        <v>3403023</v>
      </c>
      <c r="B3095" s="1" t="s">
        <v>6691</v>
      </c>
      <c r="C3095">
        <v>3802.7</v>
      </c>
      <c r="D3095">
        <v>1199</v>
      </c>
      <c r="E3095" s="1" t="s">
        <v>2309</v>
      </c>
      <c r="F3095" s="1" t="s">
        <v>15</v>
      </c>
      <c r="G3095" s="1" t="s">
        <v>32</v>
      </c>
      <c r="H3095">
        <v>109</v>
      </c>
      <c r="I3095">
        <v>31</v>
      </c>
      <c r="J3095">
        <v>187</v>
      </c>
      <c r="K3095" s="1" t="s">
        <v>23</v>
      </c>
      <c r="L3095" s="1" t="s">
        <v>24</v>
      </c>
      <c r="M3095" s="1" t="s">
        <v>6726</v>
      </c>
      <c r="N3095" s="1" t="s">
        <v>6730</v>
      </c>
    </row>
    <row r="3096" spans="1:14" x14ac:dyDescent="0.35">
      <c r="A3096">
        <v>3403027</v>
      </c>
      <c r="B3096" s="1" t="s">
        <v>6691</v>
      </c>
      <c r="C3096">
        <v>3802.7</v>
      </c>
      <c r="D3096">
        <v>1199</v>
      </c>
      <c r="E3096" s="1" t="s">
        <v>6731</v>
      </c>
      <c r="F3096" s="1" t="s">
        <v>15</v>
      </c>
      <c r="G3096" s="1" t="s">
        <v>22</v>
      </c>
      <c r="H3096">
        <v>69</v>
      </c>
      <c r="I3096">
        <v>27</v>
      </c>
      <c r="J3096">
        <v>19</v>
      </c>
      <c r="K3096" s="1" t="s">
        <v>17</v>
      </c>
      <c r="L3096" s="1" t="s">
        <v>18</v>
      </c>
      <c r="M3096" s="1" t="s">
        <v>6726</v>
      </c>
      <c r="N3096" s="1" t="s">
        <v>6732</v>
      </c>
    </row>
    <row r="3097" spans="1:14" x14ac:dyDescent="0.35">
      <c r="A3097">
        <v>3403024</v>
      </c>
      <c r="B3097" s="1" t="s">
        <v>6691</v>
      </c>
      <c r="C3097">
        <v>3802.7</v>
      </c>
      <c r="D3097">
        <v>1199</v>
      </c>
      <c r="E3097" s="1" t="s">
        <v>6733</v>
      </c>
      <c r="F3097" s="1" t="s">
        <v>15</v>
      </c>
      <c r="G3097" s="1" t="s">
        <v>22</v>
      </c>
      <c r="H3097">
        <v>50</v>
      </c>
      <c r="I3097">
        <v>28</v>
      </c>
      <c r="J3097">
        <v>124</v>
      </c>
      <c r="K3097" s="1" t="s">
        <v>444</v>
      </c>
      <c r="L3097" s="1" t="s">
        <v>24</v>
      </c>
      <c r="M3097" s="1" t="s">
        <v>6726</v>
      </c>
      <c r="N3097" s="1" t="s">
        <v>6734</v>
      </c>
    </row>
    <row r="3098" spans="1:14" x14ac:dyDescent="0.35">
      <c r="A3098">
        <v>3403021</v>
      </c>
      <c r="B3098" s="1" t="s">
        <v>6691</v>
      </c>
      <c r="C3098">
        <v>3802.7</v>
      </c>
      <c r="D3098">
        <v>1199</v>
      </c>
      <c r="E3098" s="1" t="s">
        <v>6735</v>
      </c>
      <c r="F3098" s="1" t="s">
        <v>15</v>
      </c>
      <c r="G3098" s="1" t="s">
        <v>22</v>
      </c>
      <c r="H3098">
        <v>50</v>
      </c>
      <c r="I3098">
        <v>32</v>
      </c>
      <c r="J3098">
        <v>146</v>
      </c>
      <c r="K3098" s="1" t="s">
        <v>90</v>
      </c>
      <c r="L3098" s="1" t="s">
        <v>24</v>
      </c>
      <c r="M3098" s="1" t="s">
        <v>6726</v>
      </c>
      <c r="N3098" s="1" t="s">
        <v>6736</v>
      </c>
    </row>
    <row r="3099" spans="1:14" x14ac:dyDescent="0.35">
      <c r="A3099">
        <v>3403022</v>
      </c>
      <c r="B3099" s="1" t="s">
        <v>6691</v>
      </c>
      <c r="C3099">
        <v>3802.7</v>
      </c>
      <c r="D3099">
        <v>1199</v>
      </c>
      <c r="E3099" s="1" t="s">
        <v>6737</v>
      </c>
      <c r="F3099" s="1" t="s">
        <v>15</v>
      </c>
      <c r="G3099" s="1" t="s">
        <v>22</v>
      </c>
      <c r="H3099">
        <v>57</v>
      </c>
      <c r="I3099">
        <v>17</v>
      </c>
      <c r="J3099">
        <v>57</v>
      </c>
      <c r="K3099" s="1" t="s">
        <v>95</v>
      </c>
      <c r="L3099" s="1" t="s">
        <v>24</v>
      </c>
      <c r="M3099" s="1" t="s">
        <v>6726</v>
      </c>
      <c r="N3099" s="1" t="s">
        <v>6738</v>
      </c>
    </row>
    <row r="3100" spans="1:14" x14ac:dyDescent="0.35">
      <c r="A3100">
        <v>3403025</v>
      </c>
      <c r="B3100" s="1" t="s">
        <v>6691</v>
      </c>
      <c r="C3100">
        <v>3802.7</v>
      </c>
      <c r="D3100">
        <v>1199</v>
      </c>
      <c r="E3100" s="1" t="s">
        <v>6739</v>
      </c>
      <c r="F3100" s="1" t="s">
        <v>15</v>
      </c>
      <c r="G3100" s="1" t="s">
        <v>22</v>
      </c>
      <c r="H3100">
        <v>52</v>
      </c>
      <c r="I3100">
        <v>17</v>
      </c>
      <c r="J3100">
        <v>9</v>
      </c>
      <c r="K3100" s="1" t="s">
        <v>819</v>
      </c>
      <c r="L3100" s="1" t="s">
        <v>24</v>
      </c>
      <c r="M3100" s="1" t="s">
        <v>6726</v>
      </c>
      <c r="N3100" s="1" t="s">
        <v>6740</v>
      </c>
    </row>
    <row r="3101" spans="1:14" x14ac:dyDescent="0.35">
      <c r="A3101">
        <v>3403038</v>
      </c>
      <c r="B3101" s="1" t="s">
        <v>6691</v>
      </c>
      <c r="C3101">
        <v>3802.7</v>
      </c>
      <c r="D3101">
        <v>1199</v>
      </c>
      <c r="E3101" s="1" t="s">
        <v>6741</v>
      </c>
      <c r="F3101" s="1" t="s">
        <v>15</v>
      </c>
      <c r="G3101" s="1" t="s">
        <v>22</v>
      </c>
      <c r="H3101">
        <v>55</v>
      </c>
      <c r="I3101">
        <v>20</v>
      </c>
      <c r="K3101" s="1" t="s">
        <v>23</v>
      </c>
      <c r="L3101" s="1" t="s">
        <v>24</v>
      </c>
      <c r="M3101" s="1" t="s">
        <v>6726</v>
      </c>
      <c r="N3101" s="1" t="s">
        <v>6742</v>
      </c>
    </row>
    <row r="3102" spans="1:14" x14ac:dyDescent="0.35">
      <c r="A3102">
        <v>3471085</v>
      </c>
      <c r="B3102" s="1" t="s">
        <v>6691</v>
      </c>
      <c r="C3102">
        <v>3802.7</v>
      </c>
      <c r="D3102">
        <v>1199</v>
      </c>
      <c r="E3102" s="1" t="s">
        <v>6743</v>
      </c>
      <c r="F3102" s="1" t="s">
        <v>6744</v>
      </c>
      <c r="G3102" s="1" t="s">
        <v>129</v>
      </c>
      <c r="H3102">
        <v>1296</v>
      </c>
      <c r="I3102">
        <v>27</v>
      </c>
      <c r="J3102">
        <v>13</v>
      </c>
      <c r="K3102" s="1" t="s">
        <v>24</v>
      </c>
      <c r="L3102" s="1" t="s">
        <v>32</v>
      </c>
      <c r="M3102" s="1" t="s">
        <v>6745</v>
      </c>
      <c r="N3102" s="1" t="s">
        <v>6746</v>
      </c>
    </row>
    <row r="3103" spans="1:14" x14ac:dyDescent="0.35">
      <c r="A3103">
        <v>3471374</v>
      </c>
      <c r="B3103" s="1" t="s">
        <v>6691</v>
      </c>
      <c r="C3103">
        <v>3802.7</v>
      </c>
      <c r="D3103">
        <v>1199</v>
      </c>
      <c r="E3103" s="1" t="s">
        <v>6747</v>
      </c>
      <c r="F3103" s="1" t="s">
        <v>119</v>
      </c>
      <c r="G3103" s="1" t="s">
        <v>130</v>
      </c>
      <c r="H3103">
        <v>16</v>
      </c>
      <c r="I3103">
        <v>18</v>
      </c>
      <c r="J3103">
        <v>61</v>
      </c>
      <c r="K3103" s="1" t="s">
        <v>23</v>
      </c>
      <c r="L3103" s="1" t="s">
        <v>24</v>
      </c>
      <c r="M3103" s="1" t="s">
        <v>6745</v>
      </c>
      <c r="N3103" s="1" t="s">
        <v>6748</v>
      </c>
    </row>
    <row r="3104" spans="1:14" x14ac:dyDescent="0.35">
      <c r="A3104">
        <v>3471325</v>
      </c>
      <c r="B3104" s="1" t="s">
        <v>6691</v>
      </c>
      <c r="C3104">
        <v>3802.7</v>
      </c>
      <c r="D3104">
        <v>1199</v>
      </c>
      <c r="E3104" s="1" t="s">
        <v>6749</v>
      </c>
      <c r="F3104" s="1" t="s">
        <v>71</v>
      </c>
      <c r="G3104" s="1" t="s">
        <v>32</v>
      </c>
      <c r="H3104">
        <v>23</v>
      </c>
      <c r="I3104">
        <v>16</v>
      </c>
      <c r="J3104">
        <v>47</v>
      </c>
      <c r="K3104" s="1" t="s">
        <v>84</v>
      </c>
      <c r="L3104" s="1" t="s">
        <v>24</v>
      </c>
      <c r="M3104" s="1" t="s">
        <v>6745</v>
      </c>
      <c r="N3104" s="1" t="s">
        <v>6750</v>
      </c>
    </row>
    <row r="3105" spans="1:14" x14ac:dyDescent="0.35">
      <c r="A3105">
        <v>3471107</v>
      </c>
      <c r="B3105" s="1" t="s">
        <v>6691</v>
      </c>
      <c r="C3105">
        <v>3802.7</v>
      </c>
      <c r="D3105">
        <v>1199</v>
      </c>
      <c r="E3105" s="1" t="s">
        <v>6751</v>
      </c>
      <c r="F3105" s="1" t="s">
        <v>71</v>
      </c>
      <c r="G3105" s="1" t="s">
        <v>32</v>
      </c>
      <c r="H3105">
        <v>34</v>
      </c>
      <c r="I3105">
        <v>19</v>
      </c>
      <c r="J3105">
        <v>80</v>
      </c>
      <c r="K3105" s="1" t="s">
        <v>444</v>
      </c>
      <c r="L3105" s="1" t="s">
        <v>24</v>
      </c>
      <c r="M3105" s="1" t="s">
        <v>6745</v>
      </c>
      <c r="N3105" s="1" t="s">
        <v>6752</v>
      </c>
    </row>
    <row r="3106" spans="1:14" x14ac:dyDescent="0.35">
      <c r="A3106">
        <v>3471379</v>
      </c>
      <c r="B3106" s="1" t="s">
        <v>6691</v>
      </c>
      <c r="C3106">
        <v>3802.7</v>
      </c>
      <c r="D3106">
        <v>1199</v>
      </c>
      <c r="E3106" s="1" t="s">
        <v>6753</v>
      </c>
      <c r="F3106" s="1" t="s">
        <v>71</v>
      </c>
      <c r="G3106" s="1" t="s">
        <v>32</v>
      </c>
      <c r="H3106">
        <v>25</v>
      </c>
      <c r="I3106">
        <v>23</v>
      </c>
      <c r="J3106">
        <v>43</v>
      </c>
      <c r="K3106" s="1" t="s">
        <v>90</v>
      </c>
      <c r="L3106" s="1" t="s">
        <v>120</v>
      </c>
      <c r="M3106" s="1" t="s">
        <v>6745</v>
      </c>
      <c r="N3106" s="1" t="s">
        <v>6754</v>
      </c>
    </row>
    <row r="3107" spans="1:14" x14ac:dyDescent="0.35">
      <c r="A3107">
        <v>3471096</v>
      </c>
      <c r="B3107" s="1" t="s">
        <v>6691</v>
      </c>
      <c r="C3107">
        <v>3802.7</v>
      </c>
      <c r="D3107">
        <v>1199</v>
      </c>
      <c r="E3107" s="1" t="s">
        <v>6755</v>
      </c>
      <c r="F3107" s="1" t="s">
        <v>334</v>
      </c>
      <c r="G3107" s="1" t="s">
        <v>16</v>
      </c>
      <c r="H3107">
        <v>42</v>
      </c>
      <c r="I3107">
        <v>24</v>
      </c>
      <c r="J3107">
        <v>262</v>
      </c>
      <c r="K3107" s="1" t="s">
        <v>84</v>
      </c>
      <c r="L3107" s="1" t="s">
        <v>24</v>
      </c>
      <c r="M3107" s="1" t="s">
        <v>6745</v>
      </c>
      <c r="N3107" s="1" t="s">
        <v>6756</v>
      </c>
    </row>
    <row r="3108" spans="1:14" x14ac:dyDescent="0.35">
      <c r="A3108">
        <v>3471041</v>
      </c>
      <c r="B3108" s="1" t="s">
        <v>6691</v>
      </c>
      <c r="C3108">
        <v>3802.7</v>
      </c>
      <c r="D3108">
        <v>1199</v>
      </c>
      <c r="E3108" s="1" t="s">
        <v>6757</v>
      </c>
      <c r="F3108" s="1" t="s">
        <v>15</v>
      </c>
      <c r="G3108" s="1" t="s">
        <v>16</v>
      </c>
      <c r="H3108">
        <v>200</v>
      </c>
      <c r="I3108">
        <v>76</v>
      </c>
      <c r="J3108">
        <v>302</v>
      </c>
      <c r="K3108" s="1" t="s">
        <v>444</v>
      </c>
      <c r="L3108" s="1" t="s">
        <v>24</v>
      </c>
      <c r="M3108" s="1" t="s">
        <v>6745</v>
      </c>
      <c r="N3108" s="1" t="s">
        <v>6758</v>
      </c>
    </row>
    <row r="3109" spans="1:14" x14ac:dyDescent="0.35">
      <c r="A3109">
        <v>3471063</v>
      </c>
      <c r="B3109" s="1" t="s">
        <v>6691</v>
      </c>
      <c r="C3109">
        <v>3802.7</v>
      </c>
      <c r="D3109">
        <v>1199</v>
      </c>
      <c r="E3109" s="1" t="s">
        <v>6759</v>
      </c>
      <c r="F3109" s="1" t="s">
        <v>15</v>
      </c>
      <c r="G3109" s="1" t="s">
        <v>16</v>
      </c>
      <c r="H3109">
        <v>320</v>
      </c>
      <c r="I3109">
        <v>105</v>
      </c>
      <c r="J3109">
        <v>742</v>
      </c>
      <c r="K3109" s="1" t="s">
        <v>84</v>
      </c>
      <c r="L3109" s="1" t="s">
        <v>24</v>
      </c>
      <c r="M3109" s="1" t="s">
        <v>6745</v>
      </c>
      <c r="N3109" s="1" t="s">
        <v>6760</v>
      </c>
    </row>
    <row r="3110" spans="1:14" x14ac:dyDescent="0.35">
      <c r="A3110">
        <v>3471234</v>
      </c>
      <c r="B3110" s="1" t="s">
        <v>6691</v>
      </c>
      <c r="C3110">
        <v>3802.7</v>
      </c>
      <c r="D3110">
        <v>1199</v>
      </c>
      <c r="E3110" s="1" t="s">
        <v>6761</v>
      </c>
      <c r="F3110" s="1" t="s">
        <v>15</v>
      </c>
      <c r="G3110" s="1" t="s">
        <v>16</v>
      </c>
      <c r="H3110">
        <v>210</v>
      </c>
      <c r="I3110">
        <v>90</v>
      </c>
      <c r="J3110">
        <v>479</v>
      </c>
      <c r="K3110" s="1" t="s">
        <v>137</v>
      </c>
      <c r="L3110" s="1" t="s">
        <v>18</v>
      </c>
      <c r="M3110" s="1" t="s">
        <v>6745</v>
      </c>
      <c r="N3110" s="1" t="s">
        <v>6762</v>
      </c>
    </row>
    <row r="3111" spans="1:14" x14ac:dyDescent="0.35">
      <c r="A3111">
        <v>3471052</v>
      </c>
      <c r="B3111" s="1" t="s">
        <v>6691</v>
      </c>
      <c r="C3111">
        <v>3802.7</v>
      </c>
      <c r="D3111">
        <v>1199</v>
      </c>
      <c r="E3111" s="1" t="s">
        <v>6763</v>
      </c>
      <c r="F3111" s="1" t="s">
        <v>15</v>
      </c>
      <c r="G3111" s="1" t="s">
        <v>16</v>
      </c>
      <c r="H3111">
        <v>300</v>
      </c>
      <c r="I3111">
        <v>115</v>
      </c>
      <c r="J3111">
        <v>1508</v>
      </c>
      <c r="K3111" s="1" t="s">
        <v>84</v>
      </c>
      <c r="L3111" s="1" t="s">
        <v>24</v>
      </c>
      <c r="M3111" s="1" t="s">
        <v>6745</v>
      </c>
      <c r="N3111" s="1" t="s">
        <v>6764</v>
      </c>
    </row>
    <row r="3112" spans="1:14" x14ac:dyDescent="0.35">
      <c r="A3112">
        <v>3471380</v>
      </c>
      <c r="B3112" s="1" t="s">
        <v>6691</v>
      </c>
      <c r="C3112">
        <v>3802.7</v>
      </c>
      <c r="D3112">
        <v>1199</v>
      </c>
      <c r="E3112" s="1" t="s">
        <v>6765</v>
      </c>
      <c r="F3112" s="1" t="s">
        <v>15</v>
      </c>
      <c r="G3112" s="1" t="s">
        <v>32</v>
      </c>
      <c r="H3112">
        <v>103</v>
      </c>
      <c r="I3112">
        <v>62</v>
      </c>
      <c r="J3112">
        <v>243</v>
      </c>
      <c r="K3112" s="1" t="s">
        <v>90</v>
      </c>
      <c r="L3112" s="1" t="s">
        <v>24</v>
      </c>
      <c r="M3112" s="1" t="s">
        <v>6745</v>
      </c>
      <c r="N3112" s="1" t="s">
        <v>6766</v>
      </c>
    </row>
    <row r="3113" spans="1:14" x14ac:dyDescent="0.35">
      <c r="A3113">
        <v>3471030</v>
      </c>
      <c r="B3113" s="1" t="s">
        <v>6691</v>
      </c>
      <c r="C3113">
        <v>3802.7</v>
      </c>
      <c r="D3113">
        <v>1199</v>
      </c>
      <c r="E3113" s="1" t="s">
        <v>6767</v>
      </c>
      <c r="F3113" s="1" t="s">
        <v>15</v>
      </c>
      <c r="G3113" s="1" t="s">
        <v>32</v>
      </c>
      <c r="H3113">
        <v>102</v>
      </c>
      <c r="I3113">
        <v>74</v>
      </c>
      <c r="J3113">
        <v>235</v>
      </c>
      <c r="K3113" s="1" t="s">
        <v>27</v>
      </c>
      <c r="L3113" s="1" t="s">
        <v>24</v>
      </c>
      <c r="M3113" s="1" t="s">
        <v>6745</v>
      </c>
      <c r="N3113" s="1" t="s">
        <v>6768</v>
      </c>
    </row>
    <row r="3114" spans="1:14" x14ac:dyDescent="0.35">
      <c r="A3114">
        <v>3471373</v>
      </c>
      <c r="B3114" s="1" t="s">
        <v>6691</v>
      </c>
      <c r="C3114">
        <v>3802.7</v>
      </c>
      <c r="D3114">
        <v>1199</v>
      </c>
      <c r="E3114" s="1" t="s">
        <v>6769</v>
      </c>
      <c r="F3114" s="1" t="s">
        <v>15</v>
      </c>
      <c r="G3114" s="1" t="s">
        <v>32</v>
      </c>
      <c r="H3114">
        <v>101</v>
      </c>
      <c r="I3114">
        <v>234</v>
      </c>
      <c r="J3114">
        <v>185</v>
      </c>
      <c r="K3114" s="1" t="s">
        <v>23</v>
      </c>
      <c r="L3114" s="1" t="s">
        <v>24</v>
      </c>
      <c r="M3114" s="1" t="s">
        <v>6745</v>
      </c>
      <c r="N3114" s="1" t="s">
        <v>6770</v>
      </c>
    </row>
    <row r="3115" spans="1:14" x14ac:dyDescent="0.35">
      <c r="A3115">
        <v>3471026</v>
      </c>
      <c r="B3115" s="1" t="s">
        <v>6691</v>
      </c>
      <c r="C3115">
        <v>3802.7</v>
      </c>
      <c r="D3115">
        <v>1199</v>
      </c>
      <c r="E3115" s="1" t="s">
        <v>6771</v>
      </c>
      <c r="F3115" s="1" t="s">
        <v>15</v>
      </c>
      <c r="G3115" s="1" t="s">
        <v>22</v>
      </c>
      <c r="H3115">
        <v>98</v>
      </c>
      <c r="I3115">
        <v>28</v>
      </c>
      <c r="J3115">
        <v>144</v>
      </c>
      <c r="K3115" s="1" t="s">
        <v>444</v>
      </c>
      <c r="L3115" s="1" t="s">
        <v>24</v>
      </c>
      <c r="M3115" s="1" t="s">
        <v>6745</v>
      </c>
      <c r="N3115" s="1" t="s">
        <v>6772</v>
      </c>
    </row>
    <row r="3116" spans="1:14" x14ac:dyDescent="0.35">
      <c r="A3116">
        <v>3471377</v>
      </c>
      <c r="B3116" s="1" t="s">
        <v>6691</v>
      </c>
      <c r="C3116">
        <v>3802.7</v>
      </c>
      <c r="D3116">
        <v>1199</v>
      </c>
      <c r="E3116" s="1" t="s">
        <v>6773</v>
      </c>
      <c r="F3116" s="1" t="s">
        <v>15</v>
      </c>
      <c r="G3116" s="1" t="s">
        <v>22</v>
      </c>
      <c r="H3116">
        <v>53</v>
      </c>
      <c r="I3116">
        <v>35</v>
      </c>
      <c r="J3116">
        <v>171</v>
      </c>
      <c r="K3116" s="1" t="s">
        <v>137</v>
      </c>
      <c r="L3116" s="1" t="s">
        <v>24</v>
      </c>
      <c r="M3116" s="1" t="s">
        <v>6745</v>
      </c>
      <c r="N3116" s="1" t="s">
        <v>6774</v>
      </c>
    </row>
    <row r="3117" spans="1:14" x14ac:dyDescent="0.35">
      <c r="A3117">
        <v>3471336</v>
      </c>
      <c r="B3117" s="1" t="s">
        <v>6691</v>
      </c>
      <c r="C3117">
        <v>3802.7</v>
      </c>
      <c r="D3117">
        <v>1199</v>
      </c>
      <c r="E3117" s="1" t="s">
        <v>6775</v>
      </c>
      <c r="F3117" s="1" t="s">
        <v>15</v>
      </c>
      <c r="G3117" s="1" t="s">
        <v>22</v>
      </c>
      <c r="H3117">
        <v>50</v>
      </c>
      <c r="I3117">
        <v>26</v>
      </c>
      <c r="J3117">
        <v>163</v>
      </c>
      <c r="K3117" s="1" t="s">
        <v>84</v>
      </c>
      <c r="L3117" s="1" t="s">
        <v>24</v>
      </c>
      <c r="M3117" s="1" t="s">
        <v>6745</v>
      </c>
      <c r="N3117" s="1" t="s">
        <v>6776</v>
      </c>
    </row>
    <row r="3118" spans="1:14" x14ac:dyDescent="0.35">
      <c r="A3118">
        <v>3471381</v>
      </c>
      <c r="B3118" s="1" t="s">
        <v>6691</v>
      </c>
      <c r="C3118">
        <v>3802.7</v>
      </c>
      <c r="D3118">
        <v>1199</v>
      </c>
      <c r="E3118" s="1" t="s">
        <v>6777</v>
      </c>
      <c r="F3118" s="1" t="s">
        <v>15</v>
      </c>
      <c r="G3118" s="1" t="s">
        <v>22</v>
      </c>
      <c r="H3118">
        <v>49</v>
      </c>
      <c r="I3118">
        <v>44</v>
      </c>
      <c r="K3118" s="1" t="s">
        <v>90</v>
      </c>
      <c r="L3118" s="1" t="s">
        <v>24</v>
      </c>
      <c r="M3118" s="1" t="s">
        <v>6745</v>
      </c>
      <c r="N3118" s="1" t="s">
        <v>6778</v>
      </c>
    </row>
    <row r="3119" spans="1:14" x14ac:dyDescent="0.35">
      <c r="A3119">
        <v>3471282</v>
      </c>
      <c r="B3119" s="1" t="s">
        <v>6691</v>
      </c>
      <c r="C3119">
        <v>3802.7</v>
      </c>
      <c r="D3119">
        <v>1199</v>
      </c>
      <c r="E3119" s="1" t="s">
        <v>6779</v>
      </c>
      <c r="F3119" s="1" t="s">
        <v>15</v>
      </c>
      <c r="G3119" s="1" t="s">
        <v>22</v>
      </c>
      <c r="H3119">
        <v>46</v>
      </c>
      <c r="I3119">
        <v>48</v>
      </c>
      <c r="J3119">
        <v>155</v>
      </c>
      <c r="K3119" s="1" t="s">
        <v>84</v>
      </c>
      <c r="L3119" s="1" t="s">
        <v>24</v>
      </c>
      <c r="M3119" s="1" t="s">
        <v>6745</v>
      </c>
      <c r="N3119" s="1" t="s">
        <v>6780</v>
      </c>
    </row>
    <row r="3120" spans="1:14" x14ac:dyDescent="0.35">
      <c r="A3120">
        <v>3401015</v>
      </c>
      <c r="B3120" s="1" t="s">
        <v>6691</v>
      </c>
      <c r="C3120">
        <v>3802.7</v>
      </c>
      <c r="D3120">
        <v>1199</v>
      </c>
      <c r="E3120" s="1" t="s">
        <v>6781</v>
      </c>
      <c r="F3120" s="1" t="s">
        <v>15</v>
      </c>
      <c r="G3120" s="1" t="s">
        <v>16</v>
      </c>
      <c r="H3120">
        <v>241</v>
      </c>
      <c r="I3120">
        <v>61</v>
      </c>
      <c r="J3120">
        <v>719</v>
      </c>
      <c r="K3120" s="1" t="s">
        <v>17</v>
      </c>
      <c r="L3120" s="1" t="s">
        <v>18</v>
      </c>
      <c r="M3120" s="1" t="s">
        <v>6782</v>
      </c>
      <c r="N3120" s="1" t="s">
        <v>6783</v>
      </c>
    </row>
    <row r="3121" spans="1:14" x14ac:dyDescent="0.35">
      <c r="A3121">
        <v>3401052</v>
      </c>
      <c r="B3121" s="1" t="s">
        <v>6691</v>
      </c>
      <c r="C3121">
        <v>3802.7</v>
      </c>
      <c r="D3121">
        <v>1199</v>
      </c>
      <c r="E3121" s="1" t="s">
        <v>6784</v>
      </c>
      <c r="F3121" s="1" t="s">
        <v>15</v>
      </c>
      <c r="G3121" s="1" t="s">
        <v>32</v>
      </c>
      <c r="H3121">
        <v>187</v>
      </c>
      <c r="I3121">
        <v>36</v>
      </c>
      <c r="J3121">
        <v>283</v>
      </c>
      <c r="K3121" s="1" t="s">
        <v>17</v>
      </c>
      <c r="L3121" s="1" t="s">
        <v>18</v>
      </c>
      <c r="M3121" s="1" t="s">
        <v>6782</v>
      </c>
      <c r="N3121" s="1" t="s">
        <v>6785</v>
      </c>
    </row>
    <row r="3122" spans="1:14" x14ac:dyDescent="0.35">
      <c r="A3122">
        <v>3401053</v>
      </c>
      <c r="B3122" s="1" t="s">
        <v>6691</v>
      </c>
      <c r="C3122">
        <v>3802.7</v>
      </c>
      <c r="D3122">
        <v>1199</v>
      </c>
      <c r="E3122" s="1" t="s">
        <v>6786</v>
      </c>
      <c r="F3122" s="1" t="s">
        <v>15</v>
      </c>
      <c r="G3122" s="1" t="s">
        <v>22</v>
      </c>
      <c r="H3122">
        <v>50</v>
      </c>
      <c r="I3122">
        <v>34</v>
      </c>
      <c r="J3122">
        <v>51</v>
      </c>
      <c r="K3122" s="1" t="s">
        <v>23</v>
      </c>
      <c r="L3122" s="1" t="s">
        <v>24</v>
      </c>
      <c r="M3122" s="1" t="s">
        <v>6782</v>
      </c>
      <c r="N3122" s="1" t="s">
        <v>6787</v>
      </c>
    </row>
    <row r="3123" spans="1:14" x14ac:dyDescent="0.35">
      <c r="A3123">
        <v>3401048</v>
      </c>
      <c r="B3123" s="1" t="s">
        <v>6691</v>
      </c>
      <c r="C3123">
        <v>3802.7</v>
      </c>
      <c r="D3123">
        <v>1199</v>
      </c>
      <c r="E3123" s="1" t="s">
        <v>6788</v>
      </c>
      <c r="F3123" s="1" t="s">
        <v>15</v>
      </c>
      <c r="G3123" s="1" t="s">
        <v>22</v>
      </c>
      <c r="H3123">
        <v>52</v>
      </c>
      <c r="I3123">
        <v>19</v>
      </c>
      <c r="J3123">
        <v>74</v>
      </c>
      <c r="K3123" s="1" t="s">
        <v>23</v>
      </c>
      <c r="L3123" s="1" t="s">
        <v>24</v>
      </c>
      <c r="M3123" s="1" t="s">
        <v>6782</v>
      </c>
      <c r="N3123" s="1" t="s">
        <v>6789</v>
      </c>
    </row>
    <row r="3124" spans="1:14" x14ac:dyDescent="0.35">
      <c r="A3124">
        <v>3401058</v>
      </c>
      <c r="B3124" s="1" t="s">
        <v>6691</v>
      </c>
      <c r="C3124">
        <v>3802.7</v>
      </c>
      <c r="D3124">
        <v>1199</v>
      </c>
      <c r="E3124" s="1" t="s">
        <v>6790</v>
      </c>
      <c r="F3124" s="1" t="s">
        <v>15</v>
      </c>
      <c r="G3124" s="1" t="s">
        <v>22</v>
      </c>
      <c r="H3124">
        <v>50</v>
      </c>
      <c r="I3124">
        <v>32</v>
      </c>
      <c r="J3124">
        <v>21</v>
      </c>
      <c r="K3124" s="1" t="s">
        <v>23</v>
      </c>
      <c r="L3124" s="1" t="s">
        <v>24</v>
      </c>
      <c r="M3124" s="1" t="s">
        <v>6782</v>
      </c>
      <c r="N3124" s="1" t="s">
        <v>6791</v>
      </c>
    </row>
    <row r="3125" spans="1:14" x14ac:dyDescent="0.35">
      <c r="A3125">
        <v>3401037</v>
      </c>
      <c r="B3125" s="1" t="s">
        <v>6691</v>
      </c>
      <c r="C3125">
        <v>3802.7</v>
      </c>
      <c r="D3125">
        <v>1199</v>
      </c>
      <c r="E3125" s="1" t="s">
        <v>6792</v>
      </c>
      <c r="F3125" s="1" t="s">
        <v>15</v>
      </c>
      <c r="G3125" s="1" t="s">
        <v>22</v>
      </c>
      <c r="H3125">
        <v>52</v>
      </c>
      <c r="I3125">
        <v>27</v>
      </c>
      <c r="J3125">
        <v>109</v>
      </c>
      <c r="K3125" s="1" t="s">
        <v>84</v>
      </c>
      <c r="L3125" s="1" t="s">
        <v>24</v>
      </c>
      <c r="M3125" s="1" t="s">
        <v>6782</v>
      </c>
      <c r="N3125" s="1" t="s">
        <v>6793</v>
      </c>
    </row>
    <row r="3126" spans="1:14" x14ac:dyDescent="0.35">
      <c r="A3126">
        <v>3401026</v>
      </c>
      <c r="B3126" s="1" t="s">
        <v>6691</v>
      </c>
      <c r="C3126">
        <v>3802.7</v>
      </c>
      <c r="D3126">
        <v>1199</v>
      </c>
      <c r="E3126" s="1" t="s">
        <v>6794</v>
      </c>
      <c r="F3126" s="1" t="s">
        <v>15</v>
      </c>
      <c r="G3126" s="1" t="s">
        <v>22</v>
      </c>
      <c r="H3126">
        <v>50</v>
      </c>
      <c r="I3126">
        <v>19</v>
      </c>
      <c r="J3126">
        <v>91</v>
      </c>
      <c r="K3126" s="1" t="s">
        <v>84</v>
      </c>
      <c r="L3126" s="1" t="s">
        <v>24</v>
      </c>
      <c r="M3126" s="1" t="s">
        <v>6782</v>
      </c>
      <c r="N3126" s="1" t="s">
        <v>6795</v>
      </c>
    </row>
    <row r="3127" spans="1:14" x14ac:dyDescent="0.35">
      <c r="A3127">
        <v>3401051</v>
      </c>
      <c r="B3127" s="1" t="s">
        <v>6691</v>
      </c>
      <c r="C3127">
        <v>3802.7</v>
      </c>
      <c r="D3127">
        <v>1199</v>
      </c>
      <c r="E3127" s="1" t="s">
        <v>6796</v>
      </c>
      <c r="F3127" s="1" t="s">
        <v>15</v>
      </c>
      <c r="G3127" s="1" t="s">
        <v>22</v>
      </c>
      <c r="H3127">
        <v>50</v>
      </c>
      <c r="I3127">
        <v>27</v>
      </c>
      <c r="J3127">
        <v>121</v>
      </c>
      <c r="K3127" s="1" t="s">
        <v>23</v>
      </c>
      <c r="L3127" s="1" t="s">
        <v>24</v>
      </c>
      <c r="M3127" s="1" t="s">
        <v>6782</v>
      </c>
      <c r="N3127" s="1" t="s">
        <v>6797</v>
      </c>
    </row>
    <row r="3128" spans="1:14" x14ac:dyDescent="0.35">
      <c r="A3128">
        <v>3401050</v>
      </c>
      <c r="B3128" s="1" t="s">
        <v>6691</v>
      </c>
      <c r="C3128">
        <v>3802.7</v>
      </c>
      <c r="D3128">
        <v>1199</v>
      </c>
      <c r="E3128" s="1" t="s">
        <v>6798</v>
      </c>
      <c r="F3128" s="1" t="s">
        <v>15</v>
      </c>
      <c r="G3128" s="1" t="s">
        <v>22</v>
      </c>
      <c r="H3128">
        <v>51</v>
      </c>
      <c r="I3128">
        <v>22</v>
      </c>
      <c r="J3128">
        <v>52</v>
      </c>
      <c r="K3128" s="1" t="s">
        <v>84</v>
      </c>
      <c r="L3128" s="1" t="s">
        <v>24</v>
      </c>
      <c r="M3128" s="1" t="s">
        <v>6782</v>
      </c>
      <c r="N3128" s="1" t="s">
        <v>6799</v>
      </c>
    </row>
    <row r="3129" spans="1:14" x14ac:dyDescent="0.35">
      <c r="A3129">
        <v>3404070</v>
      </c>
      <c r="B3129" s="1" t="s">
        <v>6691</v>
      </c>
      <c r="C3129">
        <v>3802.7</v>
      </c>
      <c r="D3129">
        <v>1199</v>
      </c>
      <c r="E3129" s="1" t="s">
        <v>6800</v>
      </c>
      <c r="F3129" s="1" t="s">
        <v>220</v>
      </c>
      <c r="G3129" s="1" t="s">
        <v>32</v>
      </c>
      <c r="H3129">
        <v>35</v>
      </c>
      <c r="I3129">
        <v>30</v>
      </c>
      <c r="J3129">
        <v>152</v>
      </c>
      <c r="K3129" s="1" t="s">
        <v>84</v>
      </c>
      <c r="L3129" s="1" t="s">
        <v>24</v>
      </c>
      <c r="M3129" s="1" t="s">
        <v>6801</v>
      </c>
      <c r="N3129" s="1" t="s">
        <v>6802</v>
      </c>
    </row>
    <row r="3130" spans="1:14" x14ac:dyDescent="0.35">
      <c r="A3130">
        <v>3471362</v>
      </c>
      <c r="B3130" s="1" t="s">
        <v>6691</v>
      </c>
      <c r="C3130">
        <v>3802.7</v>
      </c>
      <c r="D3130">
        <v>1199</v>
      </c>
      <c r="E3130" s="1" t="s">
        <v>6803</v>
      </c>
      <c r="F3130" s="1" t="s">
        <v>119</v>
      </c>
      <c r="G3130" s="1" t="s">
        <v>16</v>
      </c>
      <c r="H3130">
        <v>12</v>
      </c>
      <c r="I3130">
        <v>18</v>
      </c>
      <c r="J3130">
        <v>142</v>
      </c>
      <c r="K3130" s="1" t="s">
        <v>61</v>
      </c>
      <c r="L3130" s="1" t="s">
        <v>24</v>
      </c>
      <c r="M3130" s="1" t="s">
        <v>6801</v>
      </c>
      <c r="N3130" s="1" t="s">
        <v>6804</v>
      </c>
    </row>
    <row r="3131" spans="1:14" x14ac:dyDescent="0.35">
      <c r="A3131">
        <v>3404187</v>
      </c>
      <c r="B3131" s="1" t="s">
        <v>6691</v>
      </c>
      <c r="C3131">
        <v>3802.7</v>
      </c>
      <c r="D3131">
        <v>1199</v>
      </c>
      <c r="E3131" s="1" t="s">
        <v>6805</v>
      </c>
      <c r="F3131" s="1" t="s">
        <v>71</v>
      </c>
      <c r="G3131" s="1" t="s">
        <v>32</v>
      </c>
      <c r="H3131">
        <v>49</v>
      </c>
      <c r="I3131">
        <v>32</v>
      </c>
      <c r="J3131">
        <v>199</v>
      </c>
      <c r="K3131" s="1" t="s">
        <v>90</v>
      </c>
      <c r="L3131" s="1" t="s">
        <v>24</v>
      </c>
      <c r="M3131" s="1" t="s">
        <v>6801</v>
      </c>
      <c r="N3131" s="1" t="s">
        <v>6806</v>
      </c>
    </row>
    <row r="3132" spans="1:14" x14ac:dyDescent="0.35">
      <c r="A3132">
        <v>3404180</v>
      </c>
      <c r="B3132" s="1" t="s">
        <v>6691</v>
      </c>
      <c r="C3132">
        <v>3802.7</v>
      </c>
      <c r="D3132">
        <v>1199</v>
      </c>
      <c r="E3132" s="1" t="s">
        <v>6807</v>
      </c>
      <c r="F3132" s="1" t="s">
        <v>71</v>
      </c>
      <c r="G3132" s="1" t="s">
        <v>32</v>
      </c>
      <c r="H3132">
        <v>25</v>
      </c>
      <c r="I3132">
        <v>14</v>
      </c>
      <c r="J3132">
        <v>25</v>
      </c>
      <c r="K3132" s="1" t="s">
        <v>84</v>
      </c>
      <c r="L3132" s="1" t="s">
        <v>24</v>
      </c>
      <c r="M3132" s="1" t="s">
        <v>6801</v>
      </c>
      <c r="N3132" s="1" t="s">
        <v>6808</v>
      </c>
    </row>
    <row r="3133" spans="1:14" x14ac:dyDescent="0.35">
      <c r="A3133">
        <v>3404022</v>
      </c>
      <c r="B3133" s="1" t="s">
        <v>6691</v>
      </c>
      <c r="C3133">
        <v>3802.7</v>
      </c>
      <c r="D3133">
        <v>1199</v>
      </c>
      <c r="E3133" s="1" t="s">
        <v>6809</v>
      </c>
      <c r="F3133" s="1" t="s">
        <v>129</v>
      </c>
      <c r="G3133" s="1" t="s">
        <v>130</v>
      </c>
      <c r="H3133">
        <v>202</v>
      </c>
      <c r="I3133">
        <v>59</v>
      </c>
      <c r="J3133">
        <v>395</v>
      </c>
      <c r="K3133" s="1" t="s">
        <v>124</v>
      </c>
      <c r="L3133" s="1" t="s">
        <v>18</v>
      </c>
      <c r="M3133" s="1" t="s">
        <v>6801</v>
      </c>
      <c r="N3133" s="1" t="s">
        <v>6810</v>
      </c>
    </row>
    <row r="3134" spans="1:14" x14ac:dyDescent="0.35">
      <c r="A3134">
        <v>3404015</v>
      </c>
      <c r="B3134" s="1" t="s">
        <v>6691</v>
      </c>
      <c r="C3134">
        <v>3802.7</v>
      </c>
      <c r="D3134">
        <v>1199</v>
      </c>
      <c r="E3134" s="1" t="s">
        <v>6811</v>
      </c>
      <c r="F3134" s="1" t="s">
        <v>15</v>
      </c>
      <c r="G3134" s="1" t="s">
        <v>130</v>
      </c>
      <c r="H3134">
        <v>729</v>
      </c>
      <c r="I3134">
        <v>280</v>
      </c>
      <c r="J3134">
        <v>3454</v>
      </c>
      <c r="K3134" s="1" t="s">
        <v>339</v>
      </c>
      <c r="L3134" s="1" t="s">
        <v>120</v>
      </c>
      <c r="M3134" s="1" t="s">
        <v>6801</v>
      </c>
      <c r="N3134" s="1" t="s">
        <v>6812</v>
      </c>
    </row>
    <row r="3135" spans="1:14" x14ac:dyDescent="0.35">
      <c r="A3135">
        <v>3404189</v>
      </c>
      <c r="B3135" s="1" t="s">
        <v>6691</v>
      </c>
      <c r="C3135">
        <v>3802.7</v>
      </c>
      <c r="D3135">
        <v>1199</v>
      </c>
      <c r="E3135" s="1" t="s">
        <v>6813</v>
      </c>
      <c r="F3135" s="1" t="s">
        <v>15</v>
      </c>
      <c r="G3135" s="1" t="s">
        <v>16</v>
      </c>
      <c r="H3135">
        <v>380</v>
      </c>
      <c r="I3135">
        <v>52</v>
      </c>
      <c r="J3135">
        <v>483</v>
      </c>
      <c r="K3135" s="1" t="s">
        <v>49</v>
      </c>
      <c r="L3135" s="1" t="s">
        <v>24</v>
      </c>
      <c r="M3135" s="1" t="s">
        <v>6801</v>
      </c>
      <c r="N3135" s="1" t="s">
        <v>6814</v>
      </c>
    </row>
    <row r="3136" spans="1:14" x14ac:dyDescent="0.35">
      <c r="A3136">
        <v>3404011</v>
      </c>
      <c r="B3136" s="1" t="s">
        <v>6691</v>
      </c>
      <c r="C3136">
        <v>3802.7</v>
      </c>
      <c r="D3136">
        <v>1199</v>
      </c>
      <c r="E3136" s="1" t="s">
        <v>6815</v>
      </c>
      <c r="F3136" s="1" t="s">
        <v>15</v>
      </c>
      <c r="G3136" s="1" t="s">
        <v>16</v>
      </c>
      <c r="H3136">
        <v>193</v>
      </c>
      <c r="I3136">
        <v>100</v>
      </c>
      <c r="J3136">
        <v>896</v>
      </c>
      <c r="K3136" s="1" t="s">
        <v>17</v>
      </c>
      <c r="L3136" s="1" t="s">
        <v>18</v>
      </c>
      <c r="M3136" s="1" t="s">
        <v>6801</v>
      </c>
      <c r="N3136" s="1" t="s">
        <v>6816</v>
      </c>
    </row>
    <row r="3137" spans="1:14" x14ac:dyDescent="0.35">
      <c r="A3137">
        <v>3404056</v>
      </c>
      <c r="B3137" s="1" t="s">
        <v>6691</v>
      </c>
      <c r="C3137">
        <v>3802.7</v>
      </c>
      <c r="D3137">
        <v>1199</v>
      </c>
      <c r="E3137" s="1" t="s">
        <v>6817</v>
      </c>
      <c r="F3137" s="1" t="s">
        <v>15</v>
      </c>
      <c r="G3137" s="1" t="s">
        <v>16</v>
      </c>
      <c r="H3137">
        <v>224</v>
      </c>
      <c r="I3137">
        <v>113</v>
      </c>
      <c r="J3137">
        <v>264</v>
      </c>
      <c r="K3137" s="1" t="s">
        <v>90</v>
      </c>
      <c r="L3137" s="1" t="s">
        <v>24</v>
      </c>
      <c r="M3137" s="1" t="s">
        <v>6801</v>
      </c>
      <c r="N3137" s="1" t="s">
        <v>6818</v>
      </c>
    </row>
    <row r="3138" spans="1:14" x14ac:dyDescent="0.35">
      <c r="A3138">
        <v>3404183</v>
      </c>
      <c r="B3138" s="1" t="s">
        <v>6691</v>
      </c>
      <c r="C3138">
        <v>3802.7</v>
      </c>
      <c r="D3138">
        <v>1199</v>
      </c>
      <c r="E3138" s="1" t="s">
        <v>6819</v>
      </c>
      <c r="F3138" s="1" t="s">
        <v>15</v>
      </c>
      <c r="G3138" s="1" t="s">
        <v>16</v>
      </c>
      <c r="H3138">
        <v>227</v>
      </c>
      <c r="I3138">
        <v>53</v>
      </c>
      <c r="J3138">
        <v>696</v>
      </c>
      <c r="K3138" s="1" t="s">
        <v>84</v>
      </c>
      <c r="L3138" s="1" t="s">
        <v>24</v>
      </c>
      <c r="M3138" s="1" t="s">
        <v>6801</v>
      </c>
      <c r="N3138" s="1" t="s">
        <v>6820</v>
      </c>
    </row>
    <row r="3139" spans="1:14" x14ac:dyDescent="0.35">
      <c r="A3139">
        <v>3404168</v>
      </c>
      <c r="B3139" s="1" t="s">
        <v>6691</v>
      </c>
      <c r="C3139">
        <v>3802.7</v>
      </c>
      <c r="D3139">
        <v>1199</v>
      </c>
      <c r="E3139" s="1" t="s">
        <v>6821</v>
      </c>
      <c r="F3139" s="1" t="s">
        <v>15</v>
      </c>
      <c r="G3139" s="1" t="s">
        <v>32</v>
      </c>
      <c r="H3139">
        <v>104</v>
      </c>
      <c r="I3139">
        <v>37</v>
      </c>
      <c r="J3139">
        <v>248</v>
      </c>
      <c r="K3139" s="1" t="s">
        <v>17</v>
      </c>
      <c r="L3139" s="1" t="s">
        <v>18</v>
      </c>
      <c r="M3139" s="1" t="s">
        <v>6801</v>
      </c>
      <c r="N3139" s="1" t="s">
        <v>6822</v>
      </c>
    </row>
    <row r="3140" spans="1:14" x14ac:dyDescent="0.35">
      <c r="A3140">
        <v>3404210</v>
      </c>
      <c r="B3140" s="1" t="s">
        <v>6691</v>
      </c>
      <c r="C3140">
        <v>3802.7</v>
      </c>
      <c r="D3140">
        <v>1199</v>
      </c>
      <c r="E3140" s="1" t="s">
        <v>6823</v>
      </c>
      <c r="F3140" s="1" t="s">
        <v>15</v>
      </c>
      <c r="G3140" s="1" t="s">
        <v>32</v>
      </c>
      <c r="H3140">
        <v>102</v>
      </c>
      <c r="I3140">
        <v>28</v>
      </c>
      <c r="K3140" s="1" t="s">
        <v>444</v>
      </c>
      <c r="L3140" s="1" t="s">
        <v>24</v>
      </c>
      <c r="M3140" s="1" t="s">
        <v>6801</v>
      </c>
      <c r="N3140" s="1" t="s">
        <v>6824</v>
      </c>
    </row>
    <row r="3141" spans="1:14" x14ac:dyDescent="0.35">
      <c r="A3141">
        <v>3404193</v>
      </c>
      <c r="B3141" s="1" t="s">
        <v>6691</v>
      </c>
      <c r="C3141">
        <v>3802.7</v>
      </c>
      <c r="D3141">
        <v>1199</v>
      </c>
      <c r="E3141" s="1" t="s">
        <v>6825</v>
      </c>
      <c r="F3141" s="1" t="s">
        <v>15</v>
      </c>
      <c r="G3141" s="1" t="s">
        <v>32</v>
      </c>
      <c r="H3141">
        <v>100</v>
      </c>
      <c r="I3141">
        <v>85</v>
      </c>
      <c r="J3141">
        <v>212</v>
      </c>
      <c r="K3141" s="1" t="s">
        <v>90</v>
      </c>
      <c r="L3141" s="1" t="s">
        <v>24</v>
      </c>
      <c r="M3141" s="1" t="s">
        <v>6801</v>
      </c>
      <c r="N3141" s="1" t="s">
        <v>6826</v>
      </c>
    </row>
    <row r="3142" spans="1:14" x14ac:dyDescent="0.35">
      <c r="A3142">
        <v>3404102</v>
      </c>
      <c r="B3142" s="1" t="s">
        <v>6691</v>
      </c>
      <c r="C3142">
        <v>3802.7</v>
      </c>
      <c r="D3142">
        <v>1199</v>
      </c>
      <c r="E3142" s="1" t="s">
        <v>6827</v>
      </c>
      <c r="F3142" s="1" t="s">
        <v>15</v>
      </c>
      <c r="G3142" s="1" t="s">
        <v>32</v>
      </c>
      <c r="H3142">
        <v>56</v>
      </c>
      <c r="I3142">
        <v>46</v>
      </c>
      <c r="J3142">
        <v>167</v>
      </c>
      <c r="K3142" s="1" t="s">
        <v>572</v>
      </c>
      <c r="L3142" s="1" t="s">
        <v>24</v>
      </c>
      <c r="M3142" s="1" t="s">
        <v>6801</v>
      </c>
      <c r="N3142" s="1" t="s">
        <v>6828</v>
      </c>
    </row>
    <row r="3143" spans="1:14" x14ac:dyDescent="0.35">
      <c r="A3143">
        <v>3404157</v>
      </c>
      <c r="B3143" s="1" t="s">
        <v>6691</v>
      </c>
      <c r="C3143">
        <v>3802.7</v>
      </c>
      <c r="D3143">
        <v>1199</v>
      </c>
      <c r="E3143" s="1" t="s">
        <v>6829</v>
      </c>
      <c r="F3143" s="1" t="s">
        <v>15</v>
      </c>
      <c r="G3143" s="1" t="s">
        <v>32</v>
      </c>
      <c r="H3143">
        <v>100</v>
      </c>
      <c r="I3143">
        <v>26</v>
      </c>
      <c r="J3143">
        <v>85</v>
      </c>
      <c r="K3143" s="1" t="s">
        <v>84</v>
      </c>
      <c r="L3143" s="1" t="s">
        <v>24</v>
      </c>
      <c r="M3143" s="1" t="s">
        <v>6801</v>
      </c>
      <c r="N3143" s="1" t="s">
        <v>6830</v>
      </c>
    </row>
    <row r="3144" spans="1:14" x14ac:dyDescent="0.35">
      <c r="A3144">
        <v>3404146</v>
      </c>
      <c r="B3144" s="1" t="s">
        <v>6691</v>
      </c>
      <c r="C3144">
        <v>3802.7</v>
      </c>
      <c r="D3144">
        <v>1199</v>
      </c>
      <c r="E3144" s="1" t="s">
        <v>6831</v>
      </c>
      <c r="F3144" s="1" t="s">
        <v>15</v>
      </c>
      <c r="G3144" s="1" t="s">
        <v>32</v>
      </c>
      <c r="H3144">
        <v>125</v>
      </c>
      <c r="I3144">
        <v>58</v>
      </c>
      <c r="J3144">
        <v>472</v>
      </c>
      <c r="K3144" s="1" t="s">
        <v>84</v>
      </c>
      <c r="L3144" s="1" t="s">
        <v>24</v>
      </c>
      <c r="M3144" s="1" t="s">
        <v>6801</v>
      </c>
      <c r="N3144" s="1" t="s">
        <v>6832</v>
      </c>
    </row>
    <row r="3145" spans="1:14" x14ac:dyDescent="0.35">
      <c r="A3145">
        <v>3404182</v>
      </c>
      <c r="B3145" s="1" t="s">
        <v>6691</v>
      </c>
      <c r="C3145">
        <v>3802.7</v>
      </c>
      <c r="D3145">
        <v>1199</v>
      </c>
      <c r="E3145" s="1" t="s">
        <v>6833</v>
      </c>
      <c r="F3145" s="1" t="s">
        <v>15</v>
      </c>
      <c r="G3145" s="1" t="s">
        <v>22</v>
      </c>
      <c r="H3145">
        <v>58</v>
      </c>
      <c r="I3145">
        <v>23</v>
      </c>
      <c r="J3145">
        <v>26</v>
      </c>
      <c r="K3145" s="1" t="s">
        <v>90</v>
      </c>
      <c r="L3145" s="1" t="s">
        <v>24</v>
      </c>
      <c r="M3145" s="1" t="s">
        <v>6801</v>
      </c>
      <c r="N3145" s="1" t="s">
        <v>6834</v>
      </c>
    </row>
    <row r="3146" spans="1:14" x14ac:dyDescent="0.35">
      <c r="A3146">
        <v>3404045</v>
      </c>
      <c r="B3146" s="1" t="s">
        <v>6691</v>
      </c>
      <c r="C3146">
        <v>3802.7</v>
      </c>
      <c r="D3146">
        <v>1199</v>
      </c>
      <c r="E3146" s="1" t="s">
        <v>6835</v>
      </c>
      <c r="F3146" s="1" t="s">
        <v>15</v>
      </c>
      <c r="G3146" s="1" t="s">
        <v>22</v>
      </c>
      <c r="H3146">
        <v>100</v>
      </c>
      <c r="I3146">
        <v>51</v>
      </c>
      <c r="J3146">
        <v>153</v>
      </c>
      <c r="K3146" s="1" t="s">
        <v>23</v>
      </c>
      <c r="L3146" s="1" t="s">
        <v>24</v>
      </c>
      <c r="M3146" s="1" t="s">
        <v>6801</v>
      </c>
      <c r="N3146" s="1" t="s">
        <v>6836</v>
      </c>
    </row>
    <row r="3147" spans="1:14" x14ac:dyDescent="0.35">
      <c r="A3147">
        <v>3404181</v>
      </c>
      <c r="B3147" s="1" t="s">
        <v>6691</v>
      </c>
      <c r="C3147">
        <v>3802.7</v>
      </c>
      <c r="D3147">
        <v>1199</v>
      </c>
      <c r="E3147" s="1" t="s">
        <v>6837</v>
      </c>
      <c r="F3147" s="1" t="s">
        <v>15</v>
      </c>
      <c r="G3147" s="1" t="s">
        <v>22</v>
      </c>
      <c r="H3147">
        <v>59</v>
      </c>
      <c r="I3147">
        <v>30</v>
      </c>
      <c r="J3147">
        <v>117</v>
      </c>
      <c r="K3147" s="1" t="s">
        <v>444</v>
      </c>
      <c r="L3147" s="1" t="s">
        <v>24</v>
      </c>
      <c r="M3147" s="1" t="s">
        <v>6801</v>
      </c>
      <c r="N3147" s="1" t="s">
        <v>6838</v>
      </c>
    </row>
    <row r="3148" spans="1:14" x14ac:dyDescent="0.35">
      <c r="A3148">
        <v>3404124</v>
      </c>
      <c r="B3148" s="1" t="s">
        <v>6691</v>
      </c>
      <c r="C3148">
        <v>3802.7</v>
      </c>
      <c r="D3148">
        <v>1199</v>
      </c>
      <c r="E3148" s="1" t="s">
        <v>6839</v>
      </c>
      <c r="F3148" s="1" t="s">
        <v>15</v>
      </c>
      <c r="G3148" s="1" t="s">
        <v>22</v>
      </c>
      <c r="H3148">
        <v>50</v>
      </c>
      <c r="I3148">
        <v>43</v>
      </c>
      <c r="J3148">
        <v>144</v>
      </c>
      <c r="K3148" s="1" t="s">
        <v>84</v>
      </c>
      <c r="L3148" s="1" t="s">
        <v>24</v>
      </c>
      <c r="M3148" s="1" t="s">
        <v>6801</v>
      </c>
      <c r="N3148" s="1" t="s">
        <v>6840</v>
      </c>
    </row>
    <row r="3149" spans="1:14" x14ac:dyDescent="0.35">
      <c r="A3149">
        <v>3404191</v>
      </c>
      <c r="B3149" s="1" t="s">
        <v>6691</v>
      </c>
      <c r="C3149">
        <v>3802.7</v>
      </c>
      <c r="D3149">
        <v>1199</v>
      </c>
      <c r="E3149" s="1" t="s">
        <v>6841</v>
      </c>
      <c r="F3149" s="1" t="s">
        <v>15</v>
      </c>
      <c r="G3149" s="1" t="s">
        <v>22</v>
      </c>
      <c r="H3149">
        <v>51</v>
      </c>
      <c r="I3149">
        <v>41</v>
      </c>
      <c r="J3149">
        <v>11</v>
      </c>
      <c r="K3149" s="1" t="s">
        <v>23</v>
      </c>
      <c r="L3149" s="1" t="s">
        <v>24</v>
      </c>
      <c r="M3149" s="1" t="s">
        <v>6801</v>
      </c>
      <c r="N3149" s="1" t="s">
        <v>6842</v>
      </c>
    </row>
    <row r="3150" spans="1:14" x14ac:dyDescent="0.35">
      <c r="A3150">
        <v>3404092</v>
      </c>
      <c r="B3150" s="1" t="s">
        <v>6691</v>
      </c>
      <c r="C3150">
        <v>3802.7</v>
      </c>
      <c r="D3150">
        <v>1199</v>
      </c>
      <c r="E3150" s="1" t="s">
        <v>6843</v>
      </c>
      <c r="F3150" s="1" t="s">
        <v>15</v>
      </c>
      <c r="G3150" s="1" t="s">
        <v>22</v>
      </c>
      <c r="H3150">
        <v>51</v>
      </c>
      <c r="I3150">
        <v>36</v>
      </c>
      <c r="J3150">
        <v>64</v>
      </c>
      <c r="K3150" s="1" t="s">
        <v>23</v>
      </c>
      <c r="L3150" s="1" t="s">
        <v>24</v>
      </c>
      <c r="M3150" s="1" t="s">
        <v>6801</v>
      </c>
      <c r="N3150" s="1" t="s">
        <v>6844</v>
      </c>
    </row>
    <row r="3151" spans="1:14" x14ac:dyDescent="0.35">
      <c r="A3151">
        <v>3404184</v>
      </c>
      <c r="B3151" s="1" t="s">
        <v>6691</v>
      </c>
      <c r="C3151">
        <v>3802.7</v>
      </c>
      <c r="D3151">
        <v>1199</v>
      </c>
      <c r="E3151" s="1" t="s">
        <v>6845</v>
      </c>
      <c r="F3151" s="1" t="s">
        <v>15</v>
      </c>
      <c r="G3151" s="1" t="s">
        <v>22</v>
      </c>
      <c r="H3151">
        <v>60</v>
      </c>
      <c r="I3151">
        <v>51</v>
      </c>
      <c r="J3151">
        <v>62</v>
      </c>
      <c r="K3151" s="1" t="s">
        <v>146</v>
      </c>
      <c r="L3151" s="1" t="s">
        <v>120</v>
      </c>
      <c r="M3151" s="1" t="s">
        <v>6801</v>
      </c>
      <c r="N3151" s="1" t="s">
        <v>6846</v>
      </c>
    </row>
    <row r="3152" spans="1:14" x14ac:dyDescent="0.35">
      <c r="A3152">
        <v>3404190</v>
      </c>
      <c r="B3152" s="1" t="s">
        <v>6691</v>
      </c>
      <c r="C3152">
        <v>3802.7</v>
      </c>
      <c r="D3152">
        <v>1199</v>
      </c>
      <c r="E3152" s="1" t="s">
        <v>6342</v>
      </c>
      <c r="F3152" s="1" t="s">
        <v>15</v>
      </c>
      <c r="G3152" s="1" t="s">
        <v>22</v>
      </c>
      <c r="H3152">
        <v>50</v>
      </c>
      <c r="I3152">
        <v>22</v>
      </c>
      <c r="J3152">
        <v>11</v>
      </c>
      <c r="K3152" s="1" t="s">
        <v>90</v>
      </c>
      <c r="L3152" s="1" t="s">
        <v>24</v>
      </c>
      <c r="M3152" s="1" t="s">
        <v>6801</v>
      </c>
      <c r="N3152" s="1" t="s">
        <v>6847</v>
      </c>
    </row>
    <row r="3153" spans="1:14" x14ac:dyDescent="0.35">
      <c r="A3153">
        <v>3404196</v>
      </c>
      <c r="B3153" s="1" t="s">
        <v>6691</v>
      </c>
      <c r="C3153">
        <v>3802.7</v>
      </c>
      <c r="D3153">
        <v>1199</v>
      </c>
      <c r="E3153" s="1" t="s">
        <v>6848</v>
      </c>
      <c r="F3153" s="1" t="s">
        <v>15</v>
      </c>
      <c r="G3153" s="1" t="s">
        <v>22</v>
      </c>
      <c r="H3153">
        <v>50</v>
      </c>
      <c r="I3153">
        <v>18</v>
      </c>
      <c r="J3153">
        <v>8</v>
      </c>
      <c r="K3153" s="1" t="s">
        <v>23</v>
      </c>
      <c r="L3153" s="1" t="s">
        <v>24</v>
      </c>
      <c r="M3153" s="1" t="s">
        <v>6801</v>
      </c>
      <c r="N3153" s="1" t="s">
        <v>6849</v>
      </c>
    </row>
    <row r="3154" spans="1:14" x14ac:dyDescent="0.35">
      <c r="A3154">
        <v>3404033</v>
      </c>
      <c r="B3154" s="1" t="s">
        <v>6691</v>
      </c>
      <c r="C3154">
        <v>3802.7</v>
      </c>
      <c r="D3154">
        <v>1199</v>
      </c>
      <c r="E3154" s="1" t="s">
        <v>6850</v>
      </c>
      <c r="F3154" s="1" t="s">
        <v>15</v>
      </c>
      <c r="G3154" s="1" t="s">
        <v>22</v>
      </c>
      <c r="H3154">
        <v>49</v>
      </c>
      <c r="I3154">
        <v>22</v>
      </c>
      <c r="J3154">
        <v>150</v>
      </c>
      <c r="K3154" s="1" t="s">
        <v>84</v>
      </c>
      <c r="L3154" s="1" t="s">
        <v>24</v>
      </c>
      <c r="M3154" s="1" t="s">
        <v>6801</v>
      </c>
      <c r="N3154" s="1" t="s">
        <v>6851</v>
      </c>
    </row>
    <row r="3155" spans="1:14" x14ac:dyDescent="0.35">
      <c r="A3155">
        <v>3404081</v>
      </c>
      <c r="B3155" s="1" t="s">
        <v>6691</v>
      </c>
      <c r="C3155">
        <v>3802.7</v>
      </c>
      <c r="D3155">
        <v>1199</v>
      </c>
      <c r="E3155" s="1" t="s">
        <v>6852</v>
      </c>
      <c r="F3155" s="1" t="s">
        <v>15</v>
      </c>
      <c r="G3155" s="1" t="s">
        <v>22</v>
      </c>
      <c r="H3155">
        <v>80</v>
      </c>
      <c r="I3155">
        <v>50</v>
      </c>
      <c r="J3155">
        <v>219</v>
      </c>
      <c r="K3155" s="1" t="s">
        <v>23</v>
      </c>
      <c r="L3155" s="1" t="s">
        <v>24</v>
      </c>
      <c r="M3155" s="1" t="s">
        <v>6801</v>
      </c>
      <c r="N3155" s="1" t="s">
        <v>6853</v>
      </c>
    </row>
    <row r="3156" spans="1:14" x14ac:dyDescent="0.35">
      <c r="A3156">
        <v>3404179</v>
      </c>
      <c r="B3156" s="1" t="s">
        <v>6691</v>
      </c>
      <c r="C3156">
        <v>3802.7</v>
      </c>
      <c r="D3156">
        <v>1199</v>
      </c>
      <c r="E3156" s="1" t="s">
        <v>6854</v>
      </c>
      <c r="F3156" s="1" t="s">
        <v>15</v>
      </c>
      <c r="G3156" s="1" t="s">
        <v>22</v>
      </c>
      <c r="H3156">
        <v>50</v>
      </c>
      <c r="I3156">
        <v>29</v>
      </c>
      <c r="J3156">
        <v>78</v>
      </c>
      <c r="K3156" s="1" t="s">
        <v>84</v>
      </c>
      <c r="L3156" s="1" t="s">
        <v>24</v>
      </c>
      <c r="M3156" s="1" t="s">
        <v>6801</v>
      </c>
      <c r="N3156" s="1" t="s">
        <v>6855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5A31-9E6C-46E6-AC26-58A400817A61}">
  <dimension ref="A1:M39"/>
  <sheetViews>
    <sheetView workbookViewId="0"/>
  </sheetViews>
  <sheetFormatPr defaultRowHeight="14.5" x14ac:dyDescent="0.35"/>
  <cols>
    <col min="1" max="1" width="23.54296875" bestFit="1" customWidth="1"/>
    <col min="2" max="2" width="10" bestFit="1" customWidth="1"/>
    <col min="3" max="3" width="13.453125" bestFit="1" customWidth="1"/>
    <col min="4" max="4" width="9.81640625" bestFit="1" customWidth="1"/>
    <col min="5" max="5" width="11" bestFit="1" customWidth="1"/>
    <col min="6" max="6" width="6.7265625" bestFit="1" customWidth="1"/>
    <col min="7" max="7" width="6.81640625" bestFit="1" customWidth="1"/>
    <col min="8" max="8" width="7.81640625" bestFit="1" customWidth="1"/>
    <col min="9" max="9" width="13.453125" bestFit="1" customWidth="1"/>
    <col min="10" max="10" width="7.81640625" bestFit="1" customWidth="1"/>
    <col min="11" max="11" width="9" bestFit="1" customWidth="1"/>
    <col min="12" max="12" width="13.453125" bestFit="1" customWidth="1"/>
    <col min="13" max="13" width="11" bestFit="1" customWidth="1"/>
  </cols>
  <sheetData>
    <row r="1" spans="1:13" x14ac:dyDescent="0.35">
      <c r="A1" s="5" t="s">
        <v>1</v>
      </c>
      <c r="B1" s="5" t="s">
        <v>6857</v>
      </c>
      <c r="C1" s="5" t="s">
        <v>6858</v>
      </c>
      <c r="D1" s="5" t="s">
        <v>6</v>
      </c>
      <c r="E1" s="5" t="s">
        <v>8</v>
      </c>
      <c r="F1" s="5" t="s">
        <v>6859</v>
      </c>
      <c r="G1" s="5" t="s">
        <v>6860</v>
      </c>
      <c r="H1" s="5" t="s">
        <v>6861</v>
      </c>
      <c r="I1" s="5" t="s">
        <v>6862</v>
      </c>
      <c r="J1" s="5" t="s">
        <v>6863</v>
      </c>
      <c r="K1" s="5" t="s">
        <v>6864</v>
      </c>
      <c r="L1" s="5" t="s">
        <v>6866</v>
      </c>
      <c r="M1" s="5" t="s">
        <v>6865</v>
      </c>
    </row>
    <row r="2" spans="1:13" x14ac:dyDescent="0.35">
      <c r="A2" s="2" t="str" cm="1">
        <f t="array" ref="A2:A39">_xlfn._xlws.SORT(_xlfn.UNIQUE(hospital_population_cleaned_table[province]))</f>
        <v>Aceh</v>
      </c>
      <c r="B2" s="3">
        <f>(_xlfn.XLOOKUP($A2,hospital_population_cleaned_table[province],hospital_population_cleaned_table[population_thousand]))*1000</f>
        <v>5695900</v>
      </c>
      <c r="C2" s="3">
        <f>COUNTIF(hospital_population_cleaned_table[province],$A2)</f>
        <v>79</v>
      </c>
      <c r="D2" s="3">
        <f>SUMIF(hospital_population_cleaned_table[province],$A2,hospital_population_cleaned_table[total_beds])</f>
        <v>11030</v>
      </c>
      <c r="E2" s="3">
        <f>SUMIF(hospital_population_cleaned_table[province],$A2,hospital_population_cleaned_table[total_labors])</f>
        <v>24643</v>
      </c>
      <c r="F2" s="3">
        <f>COUNTIFS( hospital_population_cleaned_table[province],$A2,hospital_population_cleaned_table[class],"A" )</f>
        <v>2</v>
      </c>
      <c r="G2" s="3">
        <f>COUNTIFS( hospital_population_cleaned_table[province],$A2,hospital_population_cleaned_table[class],"B" )</f>
        <v>13</v>
      </c>
      <c r="H2" s="3">
        <f>F2+G2</f>
        <v>15</v>
      </c>
      <c r="I2" s="4">
        <f>C2/$B2*100000</f>
        <v>1.3869625520110958</v>
      </c>
      <c r="J2" s="4">
        <f>D2/$B2*1000</f>
        <v>1.9364806264154919</v>
      </c>
      <c r="K2" s="4">
        <f>E2/$B2*1000</f>
        <v>4.3264453378746115</v>
      </c>
      <c r="L2" s="4">
        <f>D2/C2</f>
        <v>139.62025316455697</v>
      </c>
      <c r="M2" s="4">
        <f>E2/D2</f>
        <v>2.2341795104261104</v>
      </c>
    </row>
    <row r="3" spans="1:13" x14ac:dyDescent="0.35">
      <c r="A3" s="2" t="str">
        <v>Bali</v>
      </c>
      <c r="B3" s="3">
        <f>(_xlfn.XLOOKUP($A3,hospital_population_cleaned_table[province],hospital_population_cleaned_table[population_thousand]))*1000</f>
        <v>4488200</v>
      </c>
      <c r="C3" s="3">
        <f>COUNTIF(hospital_population_cleaned_table[province],$A3)</f>
        <v>79</v>
      </c>
      <c r="D3" s="3">
        <f>SUMIF(hospital_population_cleaned_table[province],$A3,hospital_population_cleaned_table[total_beds])</f>
        <v>9203</v>
      </c>
      <c r="E3" s="3">
        <f>SUMIF(hospital_population_cleaned_table[province],$A3,hospital_population_cleaned_table[total_labors])</f>
        <v>22833</v>
      </c>
      <c r="F3" s="3">
        <f>COUNTIFS( hospital_population_cleaned_table[province],$A3,hospital_population_cleaned_table[class],"A" )</f>
        <v>3</v>
      </c>
      <c r="G3" s="3">
        <f>COUNTIFS( hospital_population_cleaned_table[province],$A3,hospital_population_cleaned_table[class],"B" )</f>
        <v>12</v>
      </c>
      <c r="H3" s="3">
        <f t="shared" ref="H3:H39" si="0">F3+G3</f>
        <v>15</v>
      </c>
      <c r="I3" s="4">
        <f t="shared" ref="I3:I39" si="1">C3/$B3*100000</f>
        <v>1.7601711153691904</v>
      </c>
      <c r="J3" s="4">
        <f t="shared" ref="J3:J39" si="2">D3/$B3*1000</f>
        <v>2.0504879461699566</v>
      </c>
      <c r="K3" s="4">
        <f t="shared" ref="K3:K39" si="3">E3/$B3*1000</f>
        <v>5.0873401363575601</v>
      </c>
      <c r="L3" s="4">
        <f t="shared" ref="L3:L39" si="4">D3/C3</f>
        <v>116.49367088607595</v>
      </c>
      <c r="M3" s="4">
        <f t="shared" ref="M3:M39" si="5">E3/D3</f>
        <v>2.4810387916983592</v>
      </c>
    </row>
    <row r="4" spans="1:13" x14ac:dyDescent="0.35">
      <c r="A4" s="2" t="str">
        <v>Banten</v>
      </c>
      <c r="B4" s="3">
        <f>(_xlfn.XLOOKUP($A4,hospital_population_cleaned_table[province],hospital_population_cleaned_table[population_thousand]))*1000</f>
        <v>12641300</v>
      </c>
      <c r="C4" s="3">
        <f>COUNTIF(hospital_population_cleaned_table[province],$A4)</f>
        <v>129</v>
      </c>
      <c r="D4" s="3">
        <f>SUMIF(hospital_population_cleaned_table[province],$A4,hospital_population_cleaned_table[total_beds])</f>
        <v>15846</v>
      </c>
      <c r="E4" s="3">
        <f>SUMIF(hospital_population_cleaned_table[province],$A4,hospital_population_cleaned_table[total_labors])</f>
        <v>29083</v>
      </c>
      <c r="F4" s="3">
        <f>COUNTIFS( hospital_population_cleaned_table[province],$A4,hospital_population_cleaned_table[class],"A" )</f>
        <v>0</v>
      </c>
      <c r="G4" s="3">
        <f>COUNTIFS( hospital_population_cleaned_table[province],$A4,hospital_population_cleaned_table[class],"B" )</f>
        <v>22</v>
      </c>
      <c r="H4" s="3">
        <f t="shared" si="0"/>
        <v>22</v>
      </c>
      <c r="I4" s="4">
        <f t="shared" si="1"/>
        <v>1.0204646673997135</v>
      </c>
      <c r="J4" s="4">
        <f t="shared" si="2"/>
        <v>1.2535103193500667</v>
      </c>
      <c r="K4" s="4">
        <f t="shared" si="3"/>
        <v>2.3006336373632457</v>
      </c>
      <c r="L4" s="4">
        <f t="shared" si="4"/>
        <v>122.83720930232558</v>
      </c>
      <c r="M4" s="4">
        <f t="shared" si="5"/>
        <v>1.8353527704152468</v>
      </c>
    </row>
    <row r="5" spans="1:13" x14ac:dyDescent="0.35">
      <c r="A5" s="2" t="str">
        <v>Bengkulu</v>
      </c>
      <c r="B5" s="3">
        <f>(_xlfn.XLOOKUP($A5,hospital_population_cleaned_table[province],hospital_population_cleaned_table[population_thousand]))*1000</f>
        <v>2163300</v>
      </c>
      <c r="C5" s="3">
        <f>COUNTIF(hospital_population_cleaned_table[province],$A5)</f>
        <v>26</v>
      </c>
      <c r="D5" s="3">
        <f>SUMIF(hospital_population_cleaned_table[province],$A5,hospital_population_cleaned_table[total_beds])</f>
        <v>2735</v>
      </c>
      <c r="E5" s="3">
        <f>SUMIF(hospital_population_cleaned_table[province],$A5,hospital_population_cleaned_table[total_labors])</f>
        <v>6997</v>
      </c>
      <c r="F5" s="3">
        <f>COUNTIFS( hospital_population_cleaned_table[province],$A5,hospital_population_cleaned_table[class],"A" )</f>
        <v>0</v>
      </c>
      <c r="G5" s="3">
        <f>COUNTIFS( hospital_population_cleaned_table[province],$A5,hospital_population_cleaned_table[class],"B" )</f>
        <v>2</v>
      </c>
      <c r="H5" s="3">
        <f t="shared" si="0"/>
        <v>2</v>
      </c>
      <c r="I5" s="4">
        <f t="shared" si="1"/>
        <v>1.2018675172190636</v>
      </c>
      <c r="J5" s="4">
        <f t="shared" si="2"/>
        <v>1.2642721767669765</v>
      </c>
      <c r="K5" s="4">
        <f t="shared" si="3"/>
        <v>3.2344103915314566</v>
      </c>
      <c r="L5" s="4">
        <f t="shared" si="4"/>
        <v>105.19230769230769</v>
      </c>
      <c r="M5" s="4">
        <f t="shared" si="5"/>
        <v>2.5583180987202927</v>
      </c>
    </row>
    <row r="6" spans="1:13" x14ac:dyDescent="0.35">
      <c r="A6" s="2" t="str">
        <v>DKI Jakarta</v>
      </c>
      <c r="B6" s="3">
        <f>(_xlfn.XLOOKUP($A6,hospital_population_cleaned_table[province],hospital_population_cleaned_table[population_thousand]))*1000</f>
        <v>10669700</v>
      </c>
      <c r="C6" s="3">
        <f>COUNTIF(hospital_population_cleaned_table[province],$A6)</f>
        <v>188</v>
      </c>
      <c r="D6" s="3">
        <f>SUMIF(hospital_population_cleaned_table[province],$A6,hospital_population_cleaned_table[total_beds])</f>
        <v>28391</v>
      </c>
      <c r="E6" s="3">
        <f>SUMIF(hospital_population_cleaned_table[province],$A6,hospital_population_cleaned_table[total_labors])</f>
        <v>82785</v>
      </c>
      <c r="F6" s="3">
        <f>COUNTIFS( hospital_population_cleaned_table[province],$A6,hospital_population_cleaned_table[class],"A" )</f>
        <v>19</v>
      </c>
      <c r="G6" s="3">
        <f>COUNTIFS( hospital_population_cleaned_table[province],$A6,hospital_population_cleaned_table[class],"B" )</f>
        <v>60</v>
      </c>
      <c r="H6" s="3">
        <f t="shared" si="0"/>
        <v>79</v>
      </c>
      <c r="I6" s="4">
        <f t="shared" si="1"/>
        <v>1.7619989315538394</v>
      </c>
      <c r="J6" s="4">
        <f t="shared" si="2"/>
        <v>2.6608995566885669</v>
      </c>
      <c r="K6" s="4">
        <f t="shared" si="3"/>
        <v>7.7588873164193934</v>
      </c>
      <c r="L6" s="4">
        <f t="shared" si="4"/>
        <v>151.0159574468085</v>
      </c>
      <c r="M6" s="4">
        <f t="shared" si="5"/>
        <v>2.9158888380120462</v>
      </c>
    </row>
    <row r="7" spans="1:13" x14ac:dyDescent="0.35">
      <c r="A7" s="2" t="str">
        <v>Gorontalo</v>
      </c>
      <c r="B7" s="3">
        <f>(_xlfn.XLOOKUP($A7,hospital_population_cleaned_table[province],hospital_population_cleaned_table[population_thousand]))*1000</f>
        <v>1256400</v>
      </c>
      <c r="C7" s="3">
        <f>COUNTIF(hospital_population_cleaned_table[province],$A7)</f>
        <v>19</v>
      </c>
      <c r="D7" s="3">
        <f>SUMIF(hospital_population_cleaned_table[province],$A7,hospital_population_cleaned_table[total_beds])</f>
        <v>2400</v>
      </c>
      <c r="E7" s="3">
        <f>SUMIF(hospital_population_cleaned_table[province],$A7,hospital_population_cleaned_table[total_labors])</f>
        <v>5391</v>
      </c>
      <c r="F7" s="3">
        <f>COUNTIFS( hospital_population_cleaned_table[province],$A7,hospital_population_cleaned_table[class],"A" )</f>
        <v>0</v>
      </c>
      <c r="G7" s="3">
        <f>COUNTIFS( hospital_population_cleaned_table[province],$A7,hospital_population_cleaned_table[class],"B" )</f>
        <v>2</v>
      </c>
      <c r="H7" s="3">
        <f t="shared" si="0"/>
        <v>2</v>
      </c>
      <c r="I7" s="4">
        <f t="shared" si="1"/>
        <v>1.5122572429162686</v>
      </c>
      <c r="J7" s="4">
        <f t="shared" si="2"/>
        <v>1.9102196752626552</v>
      </c>
      <c r="K7" s="4">
        <f t="shared" si="3"/>
        <v>4.2908309455587395</v>
      </c>
      <c r="L7" s="4">
        <f t="shared" si="4"/>
        <v>126.31578947368421</v>
      </c>
      <c r="M7" s="4">
        <f t="shared" si="5"/>
        <v>2.2462499999999999</v>
      </c>
    </row>
    <row r="8" spans="1:13" x14ac:dyDescent="0.35">
      <c r="A8" s="2" t="str">
        <v>Jambi</v>
      </c>
      <c r="B8" s="3">
        <f>(_xlfn.XLOOKUP($A8,hospital_population_cleaned_table[province],hospital_population_cleaned_table[population_thousand]))*1000</f>
        <v>3811700</v>
      </c>
      <c r="C8" s="3">
        <f>COUNTIF(hospital_population_cleaned_table[province],$A8)</f>
        <v>42</v>
      </c>
      <c r="D8" s="3">
        <f>SUMIF(hospital_population_cleaned_table[province],$A8,hospital_population_cleaned_table[total_beds])</f>
        <v>4585</v>
      </c>
      <c r="E8" s="3">
        <f>SUMIF(hospital_population_cleaned_table[province],$A8,hospital_population_cleaned_table[total_labors])</f>
        <v>9867</v>
      </c>
      <c r="F8" s="3">
        <f>COUNTIFS( hospital_population_cleaned_table[province],$A8,hospital_population_cleaned_table[class],"A" )</f>
        <v>0</v>
      </c>
      <c r="G8" s="3">
        <f>COUNTIFS( hospital_population_cleaned_table[province],$A8,hospital_population_cleaned_table[class],"B" )</f>
        <v>4</v>
      </c>
      <c r="H8" s="3">
        <f t="shared" si="0"/>
        <v>4</v>
      </c>
      <c r="I8" s="4">
        <f t="shared" si="1"/>
        <v>1.1018705564446309</v>
      </c>
      <c r="J8" s="4">
        <f t="shared" si="2"/>
        <v>1.2028753574520554</v>
      </c>
      <c r="K8" s="4">
        <f t="shared" si="3"/>
        <v>2.5886087572474223</v>
      </c>
      <c r="L8" s="4">
        <f t="shared" si="4"/>
        <v>109.16666666666667</v>
      </c>
      <c r="M8" s="4">
        <f t="shared" si="5"/>
        <v>2.1520174482006542</v>
      </c>
    </row>
    <row r="9" spans="1:13" x14ac:dyDescent="0.35">
      <c r="A9" s="2" t="str">
        <v>Jawa Barat</v>
      </c>
      <c r="B9" s="3">
        <f>(_xlfn.XLOOKUP($A9,hospital_population_cleaned_table[province],hospital_population_cleaned_table[population_thousand]))*1000</f>
        <v>51163900</v>
      </c>
      <c r="C9" s="3">
        <f>COUNTIF(hospital_population_cleaned_table[province],$A9)</f>
        <v>421</v>
      </c>
      <c r="D9" s="3">
        <f>SUMIF(hospital_population_cleaned_table[province],$A9,hospital_population_cleaned_table[total_beds])</f>
        <v>59802</v>
      </c>
      <c r="E9" s="3">
        <f>SUMIF(hospital_population_cleaned_table[province],$A9,hospital_population_cleaned_table[total_labors])</f>
        <v>113887</v>
      </c>
      <c r="F9" s="3">
        <f>COUNTIFS( hospital_population_cleaned_table[province],$A9,hospital_population_cleaned_table[class],"A" )</f>
        <v>10</v>
      </c>
      <c r="G9" s="3">
        <f>COUNTIFS( hospital_population_cleaned_table[province],$A9,hospital_population_cleaned_table[class],"B" )</f>
        <v>79</v>
      </c>
      <c r="H9" s="3">
        <f t="shared" si="0"/>
        <v>89</v>
      </c>
      <c r="I9" s="4">
        <f t="shared" si="1"/>
        <v>0.82284579557070503</v>
      </c>
      <c r="J9" s="4">
        <f t="shared" si="2"/>
        <v>1.1688319303258743</v>
      </c>
      <c r="K9" s="4">
        <f t="shared" si="3"/>
        <v>2.225924919718786</v>
      </c>
      <c r="L9" s="4">
        <f t="shared" si="4"/>
        <v>142.04750593824227</v>
      </c>
      <c r="M9" s="4">
        <f t="shared" si="5"/>
        <v>1.9044011905956322</v>
      </c>
    </row>
    <row r="10" spans="1:13" x14ac:dyDescent="0.35">
      <c r="A10" s="2" t="str">
        <v>Jawa Tengah</v>
      </c>
      <c r="B10" s="3">
        <f>(_xlfn.XLOOKUP($A10,hospital_population_cleaned_table[province],hospital_population_cleaned_table[population_thousand]))*1000</f>
        <v>38565000</v>
      </c>
      <c r="C10" s="3">
        <f>COUNTIF(hospital_population_cleaned_table[province],$A10)</f>
        <v>355</v>
      </c>
      <c r="D10" s="3">
        <f>SUMIF(hospital_population_cleaned_table[province],$A10,hospital_population_cleaned_table[total_beds])</f>
        <v>47410</v>
      </c>
      <c r="E10" s="3">
        <f>SUMIF(hospital_population_cleaned_table[province],$A10,hospital_population_cleaned_table[total_labors])</f>
        <v>102862</v>
      </c>
      <c r="F10" s="3">
        <f>COUNTIFS( hospital_population_cleaned_table[province],$A10,hospital_population_cleaned_table[class],"A" )</f>
        <v>10</v>
      </c>
      <c r="G10" s="3">
        <f>COUNTIFS( hospital_population_cleaned_table[province],$A10,hospital_population_cleaned_table[class],"B" )</f>
        <v>34</v>
      </c>
      <c r="H10" s="3">
        <f t="shared" si="0"/>
        <v>44</v>
      </c>
      <c r="I10" s="4">
        <f t="shared" si="1"/>
        <v>0.92052379100220416</v>
      </c>
      <c r="J10" s="4">
        <f t="shared" si="2"/>
        <v>1.2293530403215351</v>
      </c>
      <c r="K10" s="4">
        <f t="shared" si="3"/>
        <v>2.6672371321146118</v>
      </c>
      <c r="L10" s="4">
        <f t="shared" si="4"/>
        <v>133.54929577464787</v>
      </c>
      <c r="M10" s="4">
        <f t="shared" si="5"/>
        <v>2.1696266610419741</v>
      </c>
    </row>
    <row r="11" spans="1:13" x14ac:dyDescent="0.35">
      <c r="A11" s="2" t="str">
        <v>Jawa Timur</v>
      </c>
      <c r="B11" s="3">
        <f>(_xlfn.XLOOKUP($A11,hospital_population_cleaned_table[province],hospital_population_cleaned_table[population_thousand]))*1000</f>
        <v>42352000</v>
      </c>
      <c r="C11" s="3">
        <f>COUNTIF(hospital_population_cleaned_table[province],$A11)</f>
        <v>432</v>
      </c>
      <c r="D11" s="3">
        <f>SUMIF(hospital_population_cleaned_table[province],$A11,hospital_population_cleaned_table[total_beds])</f>
        <v>52252</v>
      </c>
      <c r="E11" s="3">
        <f>SUMIF(hospital_population_cleaned_table[province],$A11,hospital_population_cleaned_table[total_labors])</f>
        <v>116483</v>
      </c>
      <c r="F11" s="3">
        <f>COUNTIFS( hospital_population_cleaned_table[province],$A11,hospital_population_cleaned_table[class],"A" )</f>
        <v>7</v>
      </c>
      <c r="G11" s="3">
        <f>COUNTIFS( hospital_population_cleaned_table[province],$A11,hospital_population_cleaned_table[class],"B" )</f>
        <v>62</v>
      </c>
      <c r="H11" s="3">
        <f t="shared" si="0"/>
        <v>69</v>
      </c>
      <c r="I11" s="4">
        <f t="shared" si="1"/>
        <v>1.0200226671703816</v>
      </c>
      <c r="J11" s="4">
        <f t="shared" si="2"/>
        <v>1.233755194559879</v>
      </c>
      <c r="K11" s="4">
        <f t="shared" si="3"/>
        <v>2.750354174537212</v>
      </c>
      <c r="L11" s="4">
        <f t="shared" si="4"/>
        <v>120.95370370370371</v>
      </c>
      <c r="M11" s="4">
        <f t="shared" si="5"/>
        <v>2.2292543826073645</v>
      </c>
    </row>
    <row r="12" spans="1:13" x14ac:dyDescent="0.35">
      <c r="A12" s="2" t="str">
        <v>Kalimantan Barat</v>
      </c>
      <c r="B12" s="3">
        <f>(_xlfn.XLOOKUP($A12,hospital_population_cleaned_table[province],hospital_population_cleaned_table[population_thousand]))*1000</f>
        <v>5835000</v>
      </c>
      <c r="C12" s="3">
        <f>COUNTIF(hospital_population_cleaned_table[province],$A12)</f>
        <v>58</v>
      </c>
      <c r="D12" s="3">
        <f>SUMIF(hospital_population_cleaned_table[province],$A12,hospital_population_cleaned_table[total_beds])</f>
        <v>6735</v>
      </c>
      <c r="E12" s="3">
        <f>SUMIF(hospital_population_cleaned_table[province],$A12,hospital_population_cleaned_table[total_labors])</f>
        <v>12785</v>
      </c>
      <c r="F12" s="3">
        <f>COUNTIFS( hospital_population_cleaned_table[province],$A12,hospital_population_cleaned_table[class],"A" )</f>
        <v>1</v>
      </c>
      <c r="G12" s="3">
        <f>COUNTIFS( hospital_population_cleaned_table[province],$A12,hospital_population_cleaned_table[class],"B" )</f>
        <v>4</v>
      </c>
      <c r="H12" s="3">
        <f t="shared" si="0"/>
        <v>5</v>
      </c>
      <c r="I12" s="4">
        <f t="shared" si="1"/>
        <v>0.99400171379605828</v>
      </c>
      <c r="J12" s="4">
        <f t="shared" si="2"/>
        <v>1.1542416452442159</v>
      </c>
      <c r="K12" s="4">
        <f t="shared" si="3"/>
        <v>2.191088260497001</v>
      </c>
      <c r="L12" s="4">
        <f t="shared" si="4"/>
        <v>116.12068965517241</v>
      </c>
      <c r="M12" s="4">
        <f t="shared" si="5"/>
        <v>1.8982925018559762</v>
      </c>
    </row>
    <row r="13" spans="1:13" x14ac:dyDescent="0.35">
      <c r="A13" s="2" t="str">
        <v>Kalimantan Selatan</v>
      </c>
      <c r="B13" s="3">
        <f>(_xlfn.XLOOKUP($A13,hospital_population_cleaned_table[province],hospital_population_cleaned_table[population_thousand]))*1000</f>
        <v>4372100</v>
      </c>
      <c r="C13" s="3">
        <f>COUNTIF(hospital_population_cleaned_table[province],$A13)</f>
        <v>50</v>
      </c>
      <c r="D13" s="3">
        <f>SUMIF(hospital_population_cleaned_table[province],$A13,hospital_population_cleaned_table[total_beds])</f>
        <v>6590</v>
      </c>
      <c r="E13" s="3">
        <f>SUMIF(hospital_population_cleaned_table[province],$A13,hospital_population_cleaned_table[total_labors])</f>
        <v>13178</v>
      </c>
      <c r="F13" s="3">
        <f>COUNTIFS( hospital_population_cleaned_table[province],$A13,hospital_population_cleaned_table[class],"A" )</f>
        <v>2</v>
      </c>
      <c r="G13" s="3">
        <f>COUNTIFS( hospital_population_cleaned_table[province],$A13,hospital_population_cleaned_table[class],"B" )</f>
        <v>7</v>
      </c>
      <c r="H13" s="3">
        <f t="shared" si="0"/>
        <v>9</v>
      </c>
      <c r="I13" s="4">
        <f t="shared" si="1"/>
        <v>1.1436151963587291</v>
      </c>
      <c r="J13" s="4">
        <f t="shared" si="2"/>
        <v>1.5072848288008052</v>
      </c>
      <c r="K13" s="4">
        <f t="shared" si="3"/>
        <v>3.0141122115230665</v>
      </c>
      <c r="L13" s="4">
        <f t="shared" si="4"/>
        <v>131.80000000000001</v>
      </c>
      <c r="M13" s="4">
        <f t="shared" si="5"/>
        <v>1.9996965098634294</v>
      </c>
    </row>
    <row r="14" spans="1:13" x14ac:dyDescent="0.35">
      <c r="A14" s="2" t="str">
        <v>Kalimantan Tengah</v>
      </c>
      <c r="B14" s="3">
        <f>(_xlfn.XLOOKUP($A14,hospital_population_cleaned_table[province],hospital_population_cleaned_table[population_thousand]))*1000</f>
        <v>2879500</v>
      </c>
      <c r="C14" s="3">
        <f>COUNTIF(hospital_population_cleaned_table[province],$A14)</f>
        <v>32</v>
      </c>
      <c r="D14" s="3">
        <f>SUMIF(hospital_population_cleaned_table[province],$A14,hospital_population_cleaned_table[total_beds])</f>
        <v>3539</v>
      </c>
      <c r="E14" s="3">
        <f>SUMIF(hospital_population_cleaned_table[province],$A14,hospital_population_cleaned_table[total_labors])</f>
        <v>7869</v>
      </c>
      <c r="F14" s="3">
        <f>COUNTIFS( hospital_population_cleaned_table[province],$A14,hospital_population_cleaned_table[class],"A" )</f>
        <v>0</v>
      </c>
      <c r="G14" s="3">
        <f>COUNTIFS( hospital_population_cleaned_table[province],$A14,hospital_population_cleaned_table[class],"B" )</f>
        <v>4</v>
      </c>
      <c r="H14" s="3">
        <f t="shared" si="0"/>
        <v>4</v>
      </c>
      <c r="I14" s="4">
        <f t="shared" si="1"/>
        <v>1.1113040458412919</v>
      </c>
      <c r="J14" s="4">
        <f t="shared" si="2"/>
        <v>1.2290328181976038</v>
      </c>
      <c r="K14" s="4">
        <f t="shared" si="3"/>
        <v>2.7327661052266019</v>
      </c>
      <c r="L14" s="4">
        <f t="shared" si="4"/>
        <v>110.59375</v>
      </c>
      <c r="M14" s="4">
        <f t="shared" si="5"/>
        <v>2.2235094659508334</v>
      </c>
    </row>
    <row r="15" spans="1:13" x14ac:dyDescent="0.35">
      <c r="A15" s="2" t="str">
        <v>Kalimantan Timur</v>
      </c>
      <c r="B15" s="3">
        <f>(_xlfn.XLOOKUP($A15,hospital_population_cleaned_table[province],hospital_population_cleaned_table[population_thousand]))*1000</f>
        <v>4478400</v>
      </c>
      <c r="C15" s="3">
        <f>COUNTIF(hospital_population_cleaned_table[province],$A15)</f>
        <v>58</v>
      </c>
      <c r="D15" s="3">
        <f>SUMIF(hospital_population_cleaned_table[province],$A15,hospital_population_cleaned_table[total_beds])</f>
        <v>6804</v>
      </c>
      <c r="E15" s="3">
        <f>SUMIF(hospital_population_cleaned_table[province],$A15,hospital_population_cleaned_table[total_labors])</f>
        <v>16632</v>
      </c>
      <c r="F15" s="3">
        <f>COUNTIFS( hospital_population_cleaned_table[province],$A15,hospital_population_cleaned_table[class],"A" )</f>
        <v>3</v>
      </c>
      <c r="G15" s="3">
        <f>COUNTIFS( hospital_population_cleaned_table[province],$A15,hospital_population_cleaned_table[class],"B" )</f>
        <v>5</v>
      </c>
      <c r="H15" s="3">
        <f t="shared" si="0"/>
        <v>8</v>
      </c>
      <c r="I15" s="4">
        <f t="shared" si="1"/>
        <v>1.2951053947838513</v>
      </c>
      <c r="J15" s="4">
        <f t="shared" si="2"/>
        <v>1.5192926045016075</v>
      </c>
      <c r="K15" s="4">
        <f t="shared" si="3"/>
        <v>3.7138263665594855</v>
      </c>
      <c r="L15" s="4">
        <f t="shared" si="4"/>
        <v>117.31034482758621</v>
      </c>
      <c r="M15" s="4">
        <f t="shared" si="5"/>
        <v>2.4444444444444446</v>
      </c>
    </row>
    <row r="16" spans="1:13" x14ac:dyDescent="0.35">
      <c r="A16" s="2" t="str">
        <v>Kalimantan Utara</v>
      </c>
      <c r="B16" s="3">
        <f>(_xlfn.XLOOKUP($A16,hospital_population_cleaned_table[province],hospital_population_cleaned_table[population_thousand]))*1000</f>
        <v>758800</v>
      </c>
      <c r="C16" s="3">
        <f>COUNTIF(hospital_population_cleaned_table[province],$A16)</f>
        <v>17</v>
      </c>
      <c r="D16" s="3">
        <f>SUMIF(hospital_population_cleaned_table[province],$A16,hospital_population_cleaned_table[total_beds])</f>
        <v>1786</v>
      </c>
      <c r="E16" s="3">
        <f>SUMIF(hospital_population_cleaned_table[province],$A16,hospital_population_cleaned_table[total_labors])</f>
        <v>2763</v>
      </c>
      <c r="F16" s="3">
        <f>COUNTIFS( hospital_population_cleaned_table[province],$A16,hospital_population_cleaned_table[class],"A" )</f>
        <v>0</v>
      </c>
      <c r="G16" s="3">
        <f>COUNTIFS( hospital_population_cleaned_table[province],$A16,hospital_population_cleaned_table[class],"B" )</f>
        <v>1</v>
      </c>
      <c r="H16" s="3">
        <f t="shared" si="0"/>
        <v>1</v>
      </c>
      <c r="I16" s="4">
        <f t="shared" si="1"/>
        <v>2.2403795466526093</v>
      </c>
      <c r="J16" s="4">
        <f t="shared" si="2"/>
        <v>2.3537163943068005</v>
      </c>
      <c r="K16" s="4">
        <f t="shared" si="3"/>
        <v>3.6412756984712704</v>
      </c>
      <c r="L16" s="4">
        <f t="shared" si="4"/>
        <v>105.05882352941177</v>
      </c>
      <c r="M16" s="4">
        <f t="shared" si="5"/>
        <v>1.5470324748040314</v>
      </c>
    </row>
    <row r="17" spans="1:13" x14ac:dyDescent="0.35">
      <c r="A17" s="2" t="str">
        <v>Kepulauan Bangka Belitung</v>
      </c>
      <c r="B17" s="3">
        <f>(_xlfn.XLOOKUP($A17,hospital_population_cleaned_table[province],hospital_population_cleaned_table[population_thousand]))*1000</f>
        <v>1569700</v>
      </c>
      <c r="C17" s="3">
        <f>COUNTIF(hospital_population_cleaned_table[province],$A17)</f>
        <v>28</v>
      </c>
      <c r="D17" s="3">
        <f>SUMIF(hospital_population_cleaned_table[province],$A17,hospital_population_cleaned_table[total_beds])</f>
        <v>2605</v>
      </c>
      <c r="E17" s="3">
        <f>SUMIF(hospital_population_cleaned_table[province],$A17,hospital_population_cleaned_table[total_labors])</f>
        <v>6519</v>
      </c>
      <c r="F17" s="3">
        <f>COUNTIFS( hospital_population_cleaned_table[province],$A17,hospital_population_cleaned_table[class],"A" )</f>
        <v>0</v>
      </c>
      <c r="G17" s="3">
        <f>COUNTIFS( hospital_population_cleaned_table[province],$A17,hospital_population_cleaned_table[class],"B" )</f>
        <v>2</v>
      </c>
      <c r="H17" s="3">
        <f t="shared" si="0"/>
        <v>2</v>
      </c>
      <c r="I17" s="4">
        <f t="shared" si="1"/>
        <v>1.7837803401923935</v>
      </c>
      <c r="J17" s="4">
        <f t="shared" si="2"/>
        <v>1.6595527807861374</v>
      </c>
      <c r="K17" s="4">
        <f t="shared" si="3"/>
        <v>4.1530228706122188</v>
      </c>
      <c r="L17" s="4">
        <f t="shared" si="4"/>
        <v>93.035714285714292</v>
      </c>
      <c r="M17" s="4">
        <f t="shared" si="5"/>
        <v>2.5024952015355084</v>
      </c>
    </row>
    <row r="18" spans="1:13" x14ac:dyDescent="0.35">
      <c r="A18" s="2" t="str">
        <v>Kepulauan Riau</v>
      </c>
      <c r="B18" s="3">
        <f>(_xlfn.XLOOKUP($A18,hospital_population_cleaned_table[province],hospital_population_cleaned_table[population_thousand]))*1000</f>
        <v>2243100</v>
      </c>
      <c r="C18" s="3">
        <f>COUNTIF(hospital_population_cleaned_table[province],$A18)</f>
        <v>35</v>
      </c>
      <c r="D18" s="3">
        <f>SUMIF(hospital_population_cleaned_table[province],$A18,hospital_population_cleaned_table[total_beds])</f>
        <v>4284</v>
      </c>
      <c r="E18" s="3">
        <f>SUMIF(hospital_population_cleaned_table[province],$A18,hospital_population_cleaned_table[total_labors])</f>
        <v>7976</v>
      </c>
      <c r="F18" s="3">
        <f>COUNTIFS( hospital_population_cleaned_table[province],$A18,hospital_population_cleaned_table[class],"A" )</f>
        <v>0</v>
      </c>
      <c r="G18" s="3">
        <f>COUNTIFS( hospital_population_cleaned_table[province],$A18,hospital_population_cleaned_table[class],"B" )</f>
        <v>8</v>
      </c>
      <c r="H18" s="3">
        <f t="shared" si="0"/>
        <v>8</v>
      </c>
      <c r="I18" s="4">
        <f t="shared" si="1"/>
        <v>1.5603406000624134</v>
      </c>
      <c r="J18" s="4">
        <f t="shared" si="2"/>
        <v>1.9098568944763943</v>
      </c>
      <c r="K18" s="4">
        <f t="shared" si="3"/>
        <v>3.5557933217422315</v>
      </c>
      <c r="L18" s="4">
        <f t="shared" si="4"/>
        <v>122.4</v>
      </c>
      <c r="M18" s="4">
        <f t="shared" si="5"/>
        <v>1.861811391223156</v>
      </c>
    </row>
    <row r="19" spans="1:13" x14ac:dyDescent="0.35">
      <c r="A19" s="2" t="str">
        <v>Lampung</v>
      </c>
      <c r="B19" s="3">
        <f>(_xlfn.XLOOKUP($A19,hospital_population_cleaned_table[province],hospital_population_cleaned_table[population_thousand]))*1000</f>
        <v>9623800</v>
      </c>
      <c r="C19" s="3">
        <f>COUNTIF(hospital_population_cleaned_table[province],$A19)</f>
        <v>80</v>
      </c>
      <c r="D19" s="3">
        <f>SUMIF(hospital_population_cleaned_table[province],$A19,hospital_population_cleaned_table[total_beds])</f>
        <v>9116</v>
      </c>
      <c r="E19" s="3">
        <f>SUMIF(hospital_population_cleaned_table[province],$A19,hospital_population_cleaned_table[total_labors])</f>
        <v>18174</v>
      </c>
      <c r="F19" s="3">
        <f>COUNTIFS( hospital_population_cleaned_table[province],$A19,hospital_population_cleaned_table[class],"A" )</f>
        <v>2</v>
      </c>
      <c r="G19" s="3">
        <f>COUNTIFS( hospital_population_cleaned_table[province],$A19,hospital_population_cleaned_table[class],"B" )</f>
        <v>5</v>
      </c>
      <c r="H19" s="3">
        <f t="shared" si="0"/>
        <v>7</v>
      </c>
      <c r="I19" s="4">
        <f t="shared" si="1"/>
        <v>0.83127247033396368</v>
      </c>
      <c r="J19" s="4">
        <f t="shared" si="2"/>
        <v>0.94723497994555161</v>
      </c>
      <c r="K19" s="4">
        <f t="shared" si="3"/>
        <v>1.8884432344811821</v>
      </c>
      <c r="L19" s="4">
        <f t="shared" si="4"/>
        <v>113.95</v>
      </c>
      <c r="M19" s="4">
        <f t="shared" si="5"/>
        <v>1.9936375603334795</v>
      </c>
    </row>
    <row r="20" spans="1:13" x14ac:dyDescent="0.35">
      <c r="A20" s="2" t="str">
        <v>Maluku</v>
      </c>
      <c r="B20" s="3">
        <f>(_xlfn.XLOOKUP($A20,hospital_population_cleaned_table[province],hospital_population_cleaned_table[population_thousand]))*1000</f>
        <v>1995200</v>
      </c>
      <c r="C20" s="3">
        <f>COUNTIF(hospital_population_cleaned_table[province],$A20)</f>
        <v>28</v>
      </c>
      <c r="D20" s="3">
        <f>SUMIF(hospital_population_cleaned_table[province],$A20,hospital_population_cleaned_table[total_beds])</f>
        <v>2932</v>
      </c>
      <c r="E20" s="3">
        <f>SUMIF(hospital_population_cleaned_table[province],$A20,hospital_population_cleaned_table[total_labors])</f>
        <v>4191</v>
      </c>
      <c r="F20" s="3">
        <f>COUNTIFS( hospital_population_cleaned_table[province],$A20,hospital_population_cleaned_table[class],"A" )</f>
        <v>0</v>
      </c>
      <c r="G20" s="3">
        <f>COUNTIFS( hospital_population_cleaned_table[province],$A20,hospital_population_cleaned_table[class],"B" )</f>
        <v>3</v>
      </c>
      <c r="H20" s="3">
        <f t="shared" si="0"/>
        <v>3</v>
      </c>
      <c r="I20" s="4">
        <f t="shared" si="1"/>
        <v>1.4033680834001605</v>
      </c>
      <c r="J20" s="4">
        <f t="shared" si="2"/>
        <v>1.4695268644747392</v>
      </c>
      <c r="K20" s="4">
        <f t="shared" si="3"/>
        <v>2.1005412991178827</v>
      </c>
      <c r="L20" s="4">
        <f t="shared" si="4"/>
        <v>104.71428571428571</v>
      </c>
      <c r="M20" s="4">
        <f t="shared" si="5"/>
        <v>1.429399727148704</v>
      </c>
    </row>
    <row r="21" spans="1:13" x14ac:dyDescent="0.35">
      <c r="A21" s="2" t="str">
        <v>Maluku Utara</v>
      </c>
      <c r="B21" s="3">
        <f>(_xlfn.XLOOKUP($A21,hospital_population_cleaned_table[province],hospital_population_cleaned_table[population_thousand]))*1000</f>
        <v>1391700</v>
      </c>
      <c r="C21" s="3">
        <f>COUNTIF(hospital_population_cleaned_table[province],$A21)</f>
        <v>22</v>
      </c>
      <c r="D21" s="3">
        <f>SUMIF(hospital_population_cleaned_table[province],$A21,hospital_population_cleaned_table[total_beds])</f>
        <v>1936</v>
      </c>
      <c r="E21" s="3">
        <f>SUMIF(hospital_population_cleaned_table[province],$A21,hospital_population_cleaned_table[total_labors])</f>
        <v>3780</v>
      </c>
      <c r="F21" s="3">
        <f>COUNTIFS( hospital_population_cleaned_table[province],$A21,hospital_population_cleaned_table[class],"A" )</f>
        <v>0</v>
      </c>
      <c r="G21" s="3">
        <f>COUNTIFS( hospital_population_cleaned_table[province],$A21,hospital_population_cleaned_table[class],"B" )</f>
        <v>2</v>
      </c>
      <c r="H21" s="3">
        <f t="shared" si="0"/>
        <v>2</v>
      </c>
      <c r="I21" s="4">
        <f t="shared" si="1"/>
        <v>1.5808004598692247</v>
      </c>
      <c r="J21" s="4">
        <f t="shared" si="2"/>
        <v>1.3911044046849177</v>
      </c>
      <c r="K21" s="4">
        <f t="shared" si="3"/>
        <v>2.7161026083207589</v>
      </c>
      <c r="L21" s="4">
        <f t="shared" si="4"/>
        <v>88</v>
      </c>
      <c r="M21" s="4">
        <f t="shared" si="5"/>
        <v>1.9524793388429753</v>
      </c>
    </row>
    <row r="22" spans="1:13" x14ac:dyDescent="0.35">
      <c r="A22" s="2" t="str">
        <v>Nusa Tenggara Barat</v>
      </c>
      <c r="B22" s="3">
        <f>(_xlfn.XLOOKUP($A22,hospital_population_cleaned_table[province],hospital_population_cleaned_table[population_thousand]))*1000</f>
        <v>5815300</v>
      </c>
      <c r="C22" s="3">
        <f>COUNTIF(hospital_population_cleaned_table[province],$A22)</f>
        <v>46</v>
      </c>
      <c r="D22" s="3">
        <f>SUMIF(hospital_population_cleaned_table[province],$A22,hospital_population_cleaned_table[total_beds])</f>
        <v>5482</v>
      </c>
      <c r="E22" s="3">
        <f>SUMIF(hospital_population_cleaned_table[province],$A22,hospital_population_cleaned_table[total_labors])</f>
        <v>11677</v>
      </c>
      <c r="F22" s="3">
        <f>COUNTIFS( hospital_population_cleaned_table[province],$A22,hospital_population_cleaned_table[class],"A" )</f>
        <v>1</v>
      </c>
      <c r="G22" s="3">
        <f>COUNTIFS( hospital_population_cleaned_table[province],$A22,hospital_population_cleaned_table[class],"B" )</f>
        <v>4</v>
      </c>
      <c r="H22" s="3">
        <f t="shared" si="0"/>
        <v>5</v>
      </c>
      <c r="I22" s="4">
        <f t="shared" si="1"/>
        <v>0.79101680050900214</v>
      </c>
      <c r="J22" s="4">
        <f t="shared" si="2"/>
        <v>0.94268567399790204</v>
      </c>
      <c r="K22" s="4">
        <f t="shared" si="3"/>
        <v>2.0079789520746996</v>
      </c>
      <c r="L22" s="4">
        <f t="shared" si="4"/>
        <v>119.17391304347827</v>
      </c>
      <c r="M22" s="4">
        <f t="shared" si="5"/>
        <v>2.1300620211601604</v>
      </c>
    </row>
    <row r="23" spans="1:13" x14ac:dyDescent="0.35">
      <c r="A23" s="2" t="str">
        <v>Nusa Tenggara Timur</v>
      </c>
      <c r="B23" s="3">
        <f>(_xlfn.XLOOKUP($A23,hospital_population_cleaned_table[province],hospital_population_cleaned_table[population_thousand]))*1000</f>
        <v>5828600</v>
      </c>
      <c r="C23" s="3">
        <f>COUNTIF(hospital_population_cleaned_table[province],$A23)</f>
        <v>62</v>
      </c>
      <c r="D23" s="3">
        <f>SUMIF(hospital_population_cleaned_table[province],$A23,hospital_population_cleaned_table[total_beds])</f>
        <v>6181</v>
      </c>
      <c r="E23" s="3">
        <f>SUMIF(hospital_population_cleaned_table[province],$A23,hospital_population_cleaned_table[total_labors])</f>
        <v>11417</v>
      </c>
      <c r="F23" s="3">
        <f>COUNTIFS( hospital_population_cleaned_table[province],$A23,hospital_population_cleaned_table[class],"A" )</f>
        <v>0</v>
      </c>
      <c r="G23" s="3">
        <f>COUNTIFS( hospital_population_cleaned_table[province],$A23,hospital_population_cleaned_table[class],"B" )</f>
        <v>3</v>
      </c>
      <c r="H23" s="3">
        <f t="shared" si="0"/>
        <v>3</v>
      </c>
      <c r="I23" s="4">
        <f t="shared" si="1"/>
        <v>1.0637202758810007</v>
      </c>
      <c r="J23" s="4">
        <f t="shared" si="2"/>
        <v>1.0604604879387847</v>
      </c>
      <c r="K23" s="4">
        <f t="shared" si="3"/>
        <v>1.9587894176989331</v>
      </c>
      <c r="L23" s="4">
        <f t="shared" si="4"/>
        <v>99.693548387096769</v>
      </c>
      <c r="M23" s="4">
        <f t="shared" si="5"/>
        <v>1.8471121177802945</v>
      </c>
    </row>
    <row r="24" spans="1:13" x14ac:dyDescent="0.35">
      <c r="A24" s="2" t="str">
        <v>Papua</v>
      </c>
      <c r="B24" s="3">
        <f>(_xlfn.XLOOKUP($A24,hospital_population_cleaned_table[province],hospital_population_cleaned_table[population_thousand]))*1000</f>
        <v>1086500</v>
      </c>
      <c r="C24" s="3">
        <f>COUNTIF(hospital_population_cleaned_table[province],$A24)</f>
        <v>18</v>
      </c>
      <c r="D24" s="3">
        <f>SUMIF(hospital_population_cleaned_table[province],$A24,hospital_population_cleaned_table[total_beds])</f>
        <v>3478</v>
      </c>
      <c r="E24" s="3">
        <f>SUMIF(hospital_population_cleaned_table[province],$A24,hospital_population_cleaned_table[total_labors])</f>
        <v>3513</v>
      </c>
      <c r="F24" s="3">
        <f>COUNTIFS( hospital_population_cleaned_table[province],$A24,hospital_population_cleaned_table[class],"A" )</f>
        <v>0</v>
      </c>
      <c r="G24" s="3">
        <f>COUNTIFS( hospital_population_cleaned_table[province],$A24,hospital_population_cleaned_table[class],"B" )</f>
        <v>2</v>
      </c>
      <c r="H24" s="3">
        <f t="shared" si="0"/>
        <v>2</v>
      </c>
      <c r="I24" s="4">
        <f t="shared" si="1"/>
        <v>1.6566958122411413</v>
      </c>
      <c r="J24" s="4">
        <f t="shared" si="2"/>
        <v>3.2011044638748278</v>
      </c>
      <c r="K24" s="4">
        <f t="shared" si="3"/>
        <v>3.2333179935572942</v>
      </c>
      <c r="L24" s="4">
        <f t="shared" si="4"/>
        <v>193.22222222222223</v>
      </c>
      <c r="M24" s="4">
        <f t="shared" si="5"/>
        <v>1.0100632547441057</v>
      </c>
    </row>
    <row r="25" spans="1:13" x14ac:dyDescent="0.35">
      <c r="A25" s="2" t="str">
        <v>Papua Barat</v>
      </c>
      <c r="B25" s="3">
        <f>(_xlfn.XLOOKUP($A25,hospital_population_cleaned_table[province],hospital_population_cleaned_table[population_thousand]))*1000</f>
        <v>596500</v>
      </c>
      <c r="C25" s="3">
        <f>COUNTIF(hospital_population_cleaned_table[province],$A25)</f>
        <v>12</v>
      </c>
      <c r="D25" s="3">
        <f>SUMIF(hospital_population_cleaned_table[province],$A25,hospital_population_cleaned_table[total_beds])</f>
        <v>1182</v>
      </c>
      <c r="E25" s="3">
        <f>SUMIF(hospital_population_cleaned_table[province],$A25,hospital_population_cleaned_table[total_labors])</f>
        <v>2072</v>
      </c>
      <c r="F25" s="3">
        <f>COUNTIFS( hospital_population_cleaned_table[province],$A25,hospital_population_cleaned_table[class],"A" )</f>
        <v>0</v>
      </c>
      <c r="G25" s="3">
        <f>COUNTIFS( hospital_population_cleaned_table[province],$A25,hospital_population_cleaned_table[class],"B" )</f>
        <v>0</v>
      </c>
      <c r="H25" s="3">
        <f t="shared" si="0"/>
        <v>0</v>
      </c>
      <c r="I25" s="4">
        <f t="shared" si="1"/>
        <v>2.0117351215423303</v>
      </c>
      <c r="J25" s="4">
        <f t="shared" si="2"/>
        <v>1.9815590947191954</v>
      </c>
      <c r="K25" s="4">
        <f t="shared" si="3"/>
        <v>3.473595976529757</v>
      </c>
      <c r="L25" s="4">
        <f t="shared" si="4"/>
        <v>98.5</v>
      </c>
      <c r="M25" s="4">
        <f t="shared" si="5"/>
        <v>1.7529610829103215</v>
      </c>
    </row>
    <row r="26" spans="1:13" x14ac:dyDescent="0.35">
      <c r="A26" s="2" t="str">
        <v>Papua Barat Daya</v>
      </c>
      <c r="B26" s="3">
        <f>(_xlfn.XLOOKUP($A26,hospital_population_cleaned_table[province],hospital_population_cleaned_table[population_thousand]))*1000</f>
        <v>645500</v>
      </c>
      <c r="C26" s="3">
        <f>COUNTIF(hospital_population_cleaned_table[province],$A26)</f>
        <v>11</v>
      </c>
      <c r="D26" s="3">
        <f>SUMIF(hospital_population_cleaned_table[province],$A26,hospital_population_cleaned_table[total_beds])</f>
        <v>983</v>
      </c>
      <c r="E26" s="3">
        <f>SUMIF(hospital_population_cleaned_table[province],$A26,hospital_population_cleaned_table[total_labors])</f>
        <v>1454</v>
      </c>
      <c r="F26" s="3">
        <f>COUNTIFS( hospital_population_cleaned_table[province],$A26,hospital_population_cleaned_table[class],"A" )</f>
        <v>0</v>
      </c>
      <c r="G26" s="3">
        <f>COUNTIFS( hospital_population_cleaned_table[province],$A26,hospital_population_cleaned_table[class],"B" )</f>
        <v>0</v>
      </c>
      <c r="H26" s="3">
        <f t="shared" si="0"/>
        <v>0</v>
      </c>
      <c r="I26" s="4">
        <f t="shared" si="1"/>
        <v>1.7041053446940357</v>
      </c>
      <c r="J26" s="4">
        <f t="shared" si="2"/>
        <v>1.5228505034856701</v>
      </c>
      <c r="K26" s="4">
        <f t="shared" si="3"/>
        <v>2.2525174283501159</v>
      </c>
      <c r="L26" s="4">
        <f t="shared" si="4"/>
        <v>89.36363636363636</v>
      </c>
      <c r="M26" s="4">
        <f t="shared" si="5"/>
        <v>1.4791454730417091</v>
      </c>
    </row>
    <row r="27" spans="1:13" x14ac:dyDescent="0.35">
      <c r="A27" s="2" t="str">
        <v>Papua Pegunungan</v>
      </c>
      <c r="B27" s="3">
        <f>(_xlfn.XLOOKUP($A27,hospital_population_cleaned_table[province],hospital_population_cleaned_table[population_thousand]))*1000</f>
        <v>1501900</v>
      </c>
      <c r="C27" s="3">
        <f>COUNTIF(hospital_population_cleaned_table[province],$A27)</f>
        <v>7</v>
      </c>
      <c r="D27" s="3">
        <f>SUMIF(hospital_population_cleaned_table[province],$A27,hospital_population_cleaned_table[total_beds])</f>
        <v>392</v>
      </c>
      <c r="E27" s="3">
        <f>SUMIF(hospital_population_cleaned_table[province],$A27,hospital_population_cleaned_table[total_labors])</f>
        <v>322</v>
      </c>
      <c r="F27" s="3">
        <f>COUNTIFS( hospital_population_cleaned_table[province],$A27,hospital_population_cleaned_table[class],"A" )</f>
        <v>0</v>
      </c>
      <c r="G27" s="3">
        <f>COUNTIFS( hospital_population_cleaned_table[province],$A27,hospital_population_cleaned_table[class],"B" )</f>
        <v>0</v>
      </c>
      <c r="H27" s="3">
        <f t="shared" si="0"/>
        <v>0</v>
      </c>
      <c r="I27" s="4">
        <f t="shared" si="1"/>
        <v>0.46607630334909117</v>
      </c>
      <c r="J27" s="4">
        <f t="shared" si="2"/>
        <v>0.261002729875491</v>
      </c>
      <c r="K27" s="4">
        <f t="shared" si="3"/>
        <v>0.21439509954058192</v>
      </c>
      <c r="L27" s="4">
        <f t="shared" si="4"/>
        <v>56</v>
      </c>
      <c r="M27" s="4">
        <f t="shared" si="5"/>
        <v>0.8214285714285714</v>
      </c>
    </row>
    <row r="28" spans="1:13" x14ac:dyDescent="0.35">
      <c r="A28" s="2" t="str">
        <v>Papua Selatan</v>
      </c>
      <c r="B28" s="3">
        <f>(_xlfn.XLOOKUP($A28,hospital_population_cleaned_table[province],hospital_population_cleaned_table[population_thousand]))*1000</f>
        <v>557200</v>
      </c>
      <c r="C28" s="3">
        <f>COUNTIF(hospital_population_cleaned_table[province],$A28)</f>
        <v>8</v>
      </c>
      <c r="D28" s="3">
        <f>SUMIF(hospital_population_cleaned_table[province],$A28,hospital_population_cleaned_table[total_beds])</f>
        <v>876</v>
      </c>
      <c r="E28" s="3">
        <f>SUMIF(hospital_population_cleaned_table[province],$A28,hospital_population_cleaned_table[total_labors])</f>
        <v>1165</v>
      </c>
      <c r="F28" s="3">
        <f>COUNTIFS( hospital_population_cleaned_table[province],$A28,hospital_population_cleaned_table[class],"A" )</f>
        <v>0</v>
      </c>
      <c r="G28" s="3">
        <f>COUNTIFS( hospital_population_cleaned_table[province],$A28,hospital_population_cleaned_table[class],"B" )</f>
        <v>1</v>
      </c>
      <c r="H28" s="3">
        <f t="shared" si="0"/>
        <v>1</v>
      </c>
      <c r="I28" s="4">
        <f t="shared" si="1"/>
        <v>1.4357501794687724</v>
      </c>
      <c r="J28" s="4">
        <f t="shared" si="2"/>
        <v>1.5721464465183057</v>
      </c>
      <c r="K28" s="4">
        <f t="shared" si="3"/>
        <v>2.0908111988513998</v>
      </c>
      <c r="L28" s="4">
        <f t="shared" si="4"/>
        <v>109.5</v>
      </c>
      <c r="M28" s="4">
        <f t="shared" si="5"/>
        <v>1.3299086757990868</v>
      </c>
    </row>
    <row r="29" spans="1:13" x14ac:dyDescent="0.35">
      <c r="A29" s="2" t="str">
        <v>Papua Tengah</v>
      </c>
      <c r="B29" s="3">
        <f>(_xlfn.XLOOKUP($A29,hospital_population_cleaned_table[province],hospital_population_cleaned_table[population_thousand]))*1000</f>
        <v>1510800</v>
      </c>
      <c r="C29" s="3">
        <f>COUNTIF(hospital_population_cleaned_table[province],$A29)</f>
        <v>12</v>
      </c>
      <c r="D29" s="3">
        <f>SUMIF(hospital_population_cleaned_table[province],$A29,hospital_population_cleaned_table[total_beds])</f>
        <v>1042</v>
      </c>
      <c r="E29" s="3">
        <f>SUMIF(hospital_population_cleaned_table[province],$A29,hospital_population_cleaned_table[total_labors])</f>
        <v>1154</v>
      </c>
      <c r="F29" s="3">
        <f>COUNTIFS( hospital_population_cleaned_table[province],$A29,hospital_population_cleaned_table[class],"A" )</f>
        <v>0</v>
      </c>
      <c r="G29" s="3">
        <f>COUNTIFS( hospital_population_cleaned_table[province],$A29,hospital_population_cleaned_table[class],"B" )</f>
        <v>0</v>
      </c>
      <c r="H29" s="3">
        <f t="shared" si="0"/>
        <v>0</v>
      </c>
      <c r="I29" s="4">
        <f t="shared" si="1"/>
        <v>0.79428117553613986</v>
      </c>
      <c r="J29" s="4">
        <f t="shared" si="2"/>
        <v>0.68970082075721473</v>
      </c>
      <c r="K29" s="4">
        <f t="shared" si="3"/>
        <v>0.76383373047392111</v>
      </c>
      <c r="L29" s="4">
        <f t="shared" si="4"/>
        <v>86.833333333333329</v>
      </c>
      <c r="M29" s="4">
        <f t="shared" si="5"/>
        <v>1.107485604606526</v>
      </c>
    </row>
    <row r="30" spans="1:13" x14ac:dyDescent="0.35">
      <c r="A30" s="2" t="str">
        <v>Riau</v>
      </c>
      <c r="B30" s="3">
        <f>(_xlfn.XLOOKUP($A30,hospital_population_cleaned_table[province],hospital_population_cleaned_table[population_thousand]))*1000</f>
        <v>6892400</v>
      </c>
      <c r="C30" s="3">
        <f>COUNTIF(hospital_population_cleaned_table[province],$A30)</f>
        <v>81</v>
      </c>
      <c r="D30" s="3">
        <f>SUMIF(hospital_population_cleaned_table[province],$A30,hospital_population_cleaned_table[total_beds])</f>
        <v>8852</v>
      </c>
      <c r="E30" s="3">
        <f>SUMIF(hospital_population_cleaned_table[province],$A30,hospital_population_cleaned_table[total_labors])</f>
        <v>18235</v>
      </c>
      <c r="F30" s="3">
        <f>COUNTIFS( hospital_population_cleaned_table[province],$A30,hospital_population_cleaned_table[class],"A" )</f>
        <v>2</v>
      </c>
      <c r="G30" s="3">
        <f>COUNTIFS( hospital_population_cleaned_table[province],$A30,hospital_population_cleaned_table[class],"B" )</f>
        <v>6</v>
      </c>
      <c r="H30" s="3">
        <f t="shared" si="0"/>
        <v>8</v>
      </c>
      <c r="I30" s="4">
        <f t="shared" si="1"/>
        <v>1.1752074748998897</v>
      </c>
      <c r="J30" s="4">
        <f t="shared" si="2"/>
        <v>1.2843131565202253</v>
      </c>
      <c r="K30" s="4">
        <f t="shared" si="3"/>
        <v>2.6456676919505542</v>
      </c>
      <c r="L30" s="4">
        <f t="shared" si="4"/>
        <v>109.28395061728395</v>
      </c>
      <c r="M30" s="4">
        <f t="shared" si="5"/>
        <v>2.0599864437415274</v>
      </c>
    </row>
    <row r="31" spans="1:13" x14ac:dyDescent="0.35">
      <c r="A31" s="2" t="str">
        <v>Sulawesi Barat</v>
      </c>
      <c r="B31" s="3">
        <f>(_xlfn.XLOOKUP($A31,hospital_population_cleaned_table[province],hospital_population_cleaned_table[population_thousand]))*1000</f>
        <v>1547400</v>
      </c>
      <c r="C31" s="3">
        <f>COUNTIF(hospital_population_cleaned_table[province],$A31)</f>
        <v>15</v>
      </c>
      <c r="D31" s="3">
        <f>SUMIF(hospital_population_cleaned_table[province],$A31,hospital_population_cleaned_table[total_beds])</f>
        <v>1917</v>
      </c>
      <c r="E31" s="3">
        <f>SUMIF(hospital_population_cleaned_table[province],$A31,hospital_population_cleaned_table[total_labors])</f>
        <v>2825</v>
      </c>
      <c r="F31" s="3">
        <f>COUNTIFS( hospital_population_cleaned_table[province],$A31,hospital_population_cleaned_table[class],"A" )</f>
        <v>0</v>
      </c>
      <c r="G31" s="3">
        <f>COUNTIFS( hospital_population_cleaned_table[province],$A31,hospital_population_cleaned_table[class],"B" )</f>
        <v>1</v>
      </c>
      <c r="H31" s="3">
        <f t="shared" si="0"/>
        <v>1</v>
      </c>
      <c r="I31" s="4">
        <f t="shared" si="1"/>
        <v>0.96936797208220238</v>
      </c>
      <c r="J31" s="4">
        <f t="shared" si="2"/>
        <v>1.2388522683210548</v>
      </c>
      <c r="K31" s="4">
        <f t="shared" si="3"/>
        <v>1.8256430140881479</v>
      </c>
      <c r="L31" s="4">
        <f t="shared" si="4"/>
        <v>127.8</v>
      </c>
      <c r="M31" s="4">
        <f t="shared" si="5"/>
        <v>1.4736567553468962</v>
      </c>
    </row>
    <row r="32" spans="1:13" x14ac:dyDescent="0.35">
      <c r="A32" s="2" t="str">
        <v>Sulawesi Selatan</v>
      </c>
      <c r="B32" s="3">
        <f>(_xlfn.XLOOKUP($A32,hospital_population_cleaned_table[province],hospital_population_cleaned_table[population_thousand]))*1000</f>
        <v>9661300</v>
      </c>
      <c r="C32" s="3">
        <f>COUNTIF(hospital_population_cleaned_table[province],$A32)</f>
        <v>123</v>
      </c>
      <c r="D32" s="3">
        <f>SUMIF(hospital_population_cleaned_table[province],$A32,hospital_population_cleaned_table[total_beds])</f>
        <v>16710</v>
      </c>
      <c r="E32" s="3">
        <f>SUMIF(hospital_population_cleaned_table[province],$A32,hospital_population_cleaned_table[total_labors])</f>
        <v>31709</v>
      </c>
      <c r="F32" s="3">
        <f>COUNTIFS( hospital_population_cleaned_table[province],$A32,hospital_population_cleaned_table[class],"A" )</f>
        <v>3</v>
      </c>
      <c r="G32" s="3">
        <f>COUNTIFS( hospital_population_cleaned_table[province],$A32,hospital_population_cleaned_table[class],"B" )</f>
        <v>28</v>
      </c>
      <c r="H32" s="3">
        <f t="shared" si="0"/>
        <v>31</v>
      </c>
      <c r="I32" s="4">
        <f t="shared" si="1"/>
        <v>1.273120594536967</v>
      </c>
      <c r="J32" s="4">
        <f t="shared" si="2"/>
        <v>1.7295809052611968</v>
      </c>
      <c r="K32" s="4">
        <f t="shared" si="3"/>
        <v>3.2820634904205441</v>
      </c>
      <c r="L32" s="4">
        <f t="shared" si="4"/>
        <v>135.85365853658536</v>
      </c>
      <c r="M32" s="4">
        <f t="shared" si="5"/>
        <v>1.8976062238180731</v>
      </c>
    </row>
    <row r="33" spans="1:13" x14ac:dyDescent="0.35">
      <c r="A33" s="2" t="str">
        <v>Sulawesi Tengah</v>
      </c>
      <c r="B33" s="3">
        <f>(_xlfn.XLOOKUP($A33,hospital_population_cleaned_table[province],hospital_population_cleaned_table[population_thousand]))*1000</f>
        <v>3189800</v>
      </c>
      <c r="C33" s="3">
        <f>COUNTIF(hospital_population_cleaned_table[province],$A33)</f>
        <v>39</v>
      </c>
      <c r="D33" s="3">
        <f>SUMIF(hospital_population_cleaned_table[province],$A33,hospital_population_cleaned_table[total_beds])</f>
        <v>4974</v>
      </c>
      <c r="E33" s="3">
        <f>SUMIF(hospital_population_cleaned_table[province],$A33,hospital_population_cleaned_table[total_labors])</f>
        <v>10935</v>
      </c>
      <c r="F33" s="3">
        <f>COUNTIFS( hospital_population_cleaned_table[province],$A33,hospital_population_cleaned_table[class],"A" )</f>
        <v>0</v>
      </c>
      <c r="G33" s="3">
        <f>COUNTIFS( hospital_population_cleaned_table[province],$A33,hospital_population_cleaned_table[class],"B" )</f>
        <v>4</v>
      </c>
      <c r="H33" s="3">
        <f t="shared" si="0"/>
        <v>4</v>
      </c>
      <c r="I33" s="4">
        <f t="shared" si="1"/>
        <v>1.222647187911468</v>
      </c>
      <c r="J33" s="4">
        <f t="shared" si="2"/>
        <v>1.5593454135055489</v>
      </c>
      <c r="K33" s="4">
        <f t="shared" si="3"/>
        <v>3.4281146153363844</v>
      </c>
      <c r="L33" s="4">
        <f t="shared" si="4"/>
        <v>127.53846153846153</v>
      </c>
      <c r="M33" s="4">
        <f t="shared" si="5"/>
        <v>2.198431845597105</v>
      </c>
    </row>
    <row r="34" spans="1:13" x14ac:dyDescent="0.35">
      <c r="A34" s="2" t="str">
        <v>Sulawesi Tenggara</v>
      </c>
      <c r="B34" s="3">
        <f>(_xlfn.XLOOKUP($A34,hospital_population_cleaned_table[province],hospital_population_cleaned_table[population_thousand]))*1000</f>
        <v>2880000</v>
      </c>
      <c r="C34" s="3">
        <f>COUNTIF(hospital_population_cleaned_table[province],$A34)</f>
        <v>38</v>
      </c>
      <c r="D34" s="3">
        <f>SUMIF(hospital_population_cleaned_table[province],$A34,hospital_population_cleaned_table[total_beds])</f>
        <v>3968</v>
      </c>
      <c r="E34" s="3">
        <f>SUMIF(hospital_population_cleaned_table[province],$A34,hospital_population_cleaned_table[total_labors])</f>
        <v>7790</v>
      </c>
      <c r="F34" s="3">
        <f>COUNTIFS( hospital_population_cleaned_table[province],$A34,hospital_population_cleaned_table[class],"A" )</f>
        <v>0</v>
      </c>
      <c r="G34" s="3">
        <f>COUNTIFS( hospital_population_cleaned_table[province],$A34,hospital_population_cleaned_table[class],"B" )</f>
        <v>4</v>
      </c>
      <c r="H34" s="3">
        <f t="shared" si="0"/>
        <v>4</v>
      </c>
      <c r="I34" s="4">
        <f t="shared" si="1"/>
        <v>1.3194444444444444</v>
      </c>
      <c r="J34" s="4">
        <f t="shared" si="2"/>
        <v>1.3777777777777778</v>
      </c>
      <c r="K34" s="4">
        <f t="shared" si="3"/>
        <v>2.7048611111111112</v>
      </c>
      <c r="L34" s="4">
        <f t="shared" si="4"/>
        <v>104.42105263157895</v>
      </c>
      <c r="M34" s="4">
        <f t="shared" si="5"/>
        <v>1.9632056451612903</v>
      </c>
    </row>
    <row r="35" spans="1:13" x14ac:dyDescent="0.35">
      <c r="A35" s="2" t="str">
        <v>Sulawesi Utara</v>
      </c>
      <c r="B35" s="3">
        <f>(_xlfn.XLOOKUP($A35,hospital_population_cleaned_table[province],hospital_population_cleaned_table[population_thousand]))*1000</f>
        <v>2740500</v>
      </c>
      <c r="C35" s="3">
        <f>COUNTIF(hospital_population_cleaned_table[province],$A35)</f>
        <v>58</v>
      </c>
      <c r="D35" s="3">
        <f>SUMIF(hospital_population_cleaned_table[province],$A35,hospital_population_cleaned_table[total_beds])</f>
        <v>7358</v>
      </c>
      <c r="E35" s="3">
        <f>SUMIF(hospital_population_cleaned_table[province],$A35,hospital_population_cleaned_table[total_labors])</f>
        <v>12417</v>
      </c>
      <c r="F35" s="3">
        <f>COUNTIFS( hospital_population_cleaned_table[province],$A35,hospital_population_cleaned_table[class],"A" )</f>
        <v>1</v>
      </c>
      <c r="G35" s="3">
        <f>COUNTIFS( hospital_population_cleaned_table[province],$A35,hospital_population_cleaned_table[class],"B" )</f>
        <v>6</v>
      </c>
      <c r="H35" s="3">
        <f t="shared" si="0"/>
        <v>7</v>
      </c>
      <c r="I35" s="4">
        <f t="shared" si="1"/>
        <v>2.1164021164021163</v>
      </c>
      <c r="J35" s="4">
        <f t="shared" si="2"/>
        <v>2.6849115124977194</v>
      </c>
      <c r="K35" s="4">
        <f t="shared" si="3"/>
        <v>4.5309250136836337</v>
      </c>
      <c r="L35" s="4">
        <f t="shared" si="4"/>
        <v>126.86206896551724</v>
      </c>
      <c r="M35" s="4">
        <f t="shared" si="5"/>
        <v>1.687550964936124</v>
      </c>
    </row>
    <row r="36" spans="1:13" x14ac:dyDescent="0.35">
      <c r="A36" s="2" t="str">
        <v>Sumatera Barat</v>
      </c>
      <c r="B36" s="3">
        <f>(_xlfn.XLOOKUP($A36,hospital_population_cleaned_table[province],hospital_population_cleaned_table[population_thousand]))*1000</f>
        <v>5991600</v>
      </c>
      <c r="C36" s="3">
        <f>COUNTIF(hospital_population_cleaned_table[province],$A36)</f>
        <v>78</v>
      </c>
      <c r="D36" s="3">
        <f>SUMIF(hospital_population_cleaned_table[province],$A36,hospital_population_cleaned_table[total_beds])</f>
        <v>8219</v>
      </c>
      <c r="E36" s="3">
        <f>SUMIF(hospital_population_cleaned_table[province],$A36,hospital_population_cleaned_table[total_labors])</f>
        <v>18925</v>
      </c>
      <c r="F36" s="3">
        <f>COUNTIFS( hospital_population_cleaned_table[province],$A36,hospital_population_cleaned_table[class],"A" )</f>
        <v>3</v>
      </c>
      <c r="G36" s="3">
        <f>COUNTIFS( hospital_population_cleaned_table[province],$A36,hospital_population_cleaned_table[class],"B" )</f>
        <v>7</v>
      </c>
      <c r="H36" s="3">
        <f t="shared" si="0"/>
        <v>10</v>
      </c>
      <c r="I36" s="4">
        <f t="shared" si="1"/>
        <v>1.3018225515722011</v>
      </c>
      <c r="J36" s="4">
        <f t="shared" si="2"/>
        <v>1.3717537886374256</v>
      </c>
      <c r="K36" s="4">
        <f t="shared" si="3"/>
        <v>3.1585886908338341</v>
      </c>
      <c r="L36" s="4">
        <f t="shared" si="4"/>
        <v>105.37179487179488</v>
      </c>
      <c r="M36" s="4">
        <f t="shared" si="5"/>
        <v>2.3025915561503831</v>
      </c>
    </row>
    <row r="37" spans="1:13" x14ac:dyDescent="0.35">
      <c r="A37" s="2" t="str">
        <v>Sumatera Selatan</v>
      </c>
      <c r="B37" s="3">
        <f>(_xlfn.XLOOKUP($A37,hospital_population_cleaned_table[province],hospital_population_cleaned_table[population_thousand]))*1000</f>
        <v>9017100</v>
      </c>
      <c r="C37" s="3">
        <f>COUNTIF(hospital_population_cleaned_table[province],$A37)</f>
        <v>87</v>
      </c>
      <c r="D37" s="3">
        <f>SUMIF(hospital_population_cleaned_table[province],$A37,hospital_population_cleaned_table[total_beds])</f>
        <v>10366</v>
      </c>
      <c r="E37" s="3">
        <f>SUMIF(hospital_population_cleaned_table[province],$A37,hospital_population_cleaned_table[total_labors])</f>
        <v>23931</v>
      </c>
      <c r="F37" s="3">
        <f>COUNTIFS( hospital_population_cleaned_table[province],$A37,hospital_population_cleaned_table[class],"A" )</f>
        <v>2</v>
      </c>
      <c r="G37" s="3">
        <f>COUNTIFS( hospital_population_cleaned_table[province],$A37,hospital_population_cleaned_table[class],"B" )</f>
        <v>7</v>
      </c>
      <c r="H37" s="3">
        <f t="shared" si="0"/>
        <v>9</v>
      </c>
      <c r="I37" s="4">
        <f t="shared" si="1"/>
        <v>0.96483348304887384</v>
      </c>
      <c r="J37" s="4">
        <f t="shared" si="2"/>
        <v>1.1495935500327155</v>
      </c>
      <c r="K37" s="4">
        <f t="shared" si="3"/>
        <v>2.6539574807865058</v>
      </c>
      <c r="L37" s="4">
        <f t="shared" si="4"/>
        <v>119.14942528735632</v>
      </c>
      <c r="M37" s="4">
        <f t="shared" si="5"/>
        <v>2.308605054987459</v>
      </c>
    </row>
    <row r="38" spans="1:13" x14ac:dyDescent="0.35">
      <c r="A38" s="2" t="str">
        <v>Sumatera Utara</v>
      </c>
      <c r="B38" s="3">
        <f>(_xlfn.XLOOKUP($A38,hospital_population_cleaned_table[province],hospital_population_cleaned_table[population_thousand]))*1000</f>
        <v>15978600</v>
      </c>
      <c r="C38" s="3">
        <f>COUNTIF(hospital_population_cleaned_table[province],$A38)</f>
        <v>202</v>
      </c>
      <c r="D38" s="3">
        <f>SUMIF(hospital_population_cleaned_table[province],$A38,hospital_population_cleaned_table[total_beds])</f>
        <v>23813</v>
      </c>
      <c r="E38" s="3">
        <f>SUMIF(hospital_population_cleaned_table[province],$A38,hospital_population_cleaned_table[total_labors])</f>
        <v>38964</v>
      </c>
      <c r="F38" s="3">
        <f>COUNTIFS( hospital_population_cleaned_table[province],$A38,hospital_population_cleaned_table[class],"A" )</f>
        <v>3</v>
      </c>
      <c r="G38" s="3">
        <f>COUNTIFS( hospital_population_cleaned_table[province],$A38,hospital_population_cleaned_table[class],"B" )</f>
        <v>25</v>
      </c>
      <c r="H38" s="3">
        <f t="shared" si="0"/>
        <v>28</v>
      </c>
      <c r="I38" s="4">
        <f t="shared" si="1"/>
        <v>1.2641908552689223</v>
      </c>
      <c r="J38" s="4">
        <f t="shared" si="2"/>
        <v>1.4903057839860814</v>
      </c>
      <c r="K38" s="4">
        <f t="shared" si="3"/>
        <v>2.4385115091434795</v>
      </c>
      <c r="L38" s="4">
        <f t="shared" si="4"/>
        <v>117.88613861386139</v>
      </c>
      <c r="M38" s="4">
        <f t="shared" si="5"/>
        <v>1.6362491076302861</v>
      </c>
    </row>
    <row r="39" spans="1:13" x14ac:dyDescent="0.35">
      <c r="A39" s="2" t="str">
        <v>Yogyakarta</v>
      </c>
      <c r="B39" s="3">
        <f>(_xlfn.XLOOKUP($A39,hospital_population_cleaned_table[province],hospital_population_cleaned_table[population_thousand]))*1000</f>
        <v>3802700</v>
      </c>
      <c r="C39" s="3">
        <f>COUNTIF(hospital_population_cleaned_table[province],$A39)</f>
        <v>80</v>
      </c>
      <c r="D39" s="3">
        <f>SUMIF(hospital_population_cleaned_table[province],$A39,hospital_population_cleaned_table[total_beds])</f>
        <v>9211</v>
      </c>
      <c r="E39" s="3">
        <f>SUMIF(hospital_population_cleaned_table[province],$A39,hospital_population_cleaned_table[total_labors])</f>
        <v>19346</v>
      </c>
      <c r="F39" s="3">
        <f>COUNTIFS( hospital_population_cleaned_table[province],$A39,hospital_population_cleaned_table[class],"A" )</f>
        <v>3</v>
      </c>
      <c r="G39" s="3">
        <f>COUNTIFS( hospital_population_cleaned_table[province],$A39,hospital_population_cleaned_table[class],"B" )</f>
        <v>14</v>
      </c>
      <c r="H39" s="3">
        <f t="shared" si="0"/>
        <v>17</v>
      </c>
      <c r="I39" s="4">
        <f t="shared" si="1"/>
        <v>2.1037683751019012</v>
      </c>
      <c r="J39" s="4">
        <f t="shared" si="2"/>
        <v>2.4222263128829518</v>
      </c>
      <c r="K39" s="4">
        <f t="shared" si="3"/>
        <v>5.0874378730901721</v>
      </c>
      <c r="L39" s="4">
        <f t="shared" si="4"/>
        <v>115.1375</v>
      </c>
      <c r="M39" s="4">
        <f t="shared" si="5"/>
        <v>2.1003148409510368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F2AA1F-E80B-4038-9B11-AC0CB8BDC8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hospital_population_cleaned</vt:lpstr>
      <vt:lpstr>province_summary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Rangga</dc:creator>
  <cp:lastModifiedBy>Rangga</cp:lastModifiedBy>
  <dcterms:created xsi:type="dcterms:W3CDTF">2026-07-25T22:51:50Z</dcterms:created>
  <dcterms:modified xsi:type="dcterms:W3CDTF">2026-07-27T02:47:29Z</dcterms:modified>
</cp:coreProperties>
</file>